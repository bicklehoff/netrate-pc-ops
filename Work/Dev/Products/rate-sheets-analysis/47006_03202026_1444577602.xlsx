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Y:\Secondary Marketing Library\AWF Daily Rate\Pricing source\"/>
    </mc:Choice>
  </mc:AlternateContent>
  <xr:revisionPtr revIDLastSave="0" documentId="13_ncr:1_{241748DD-167C-4B08-A9EF-F8D1827CE5D3}" xr6:coauthVersionLast="47" xr6:coauthVersionMax="47" xr10:uidLastSave="{00000000-0000-0000-0000-000000000000}"/>
  <bookViews>
    <workbookView xWindow="-120" yWindow="-120" windowWidth="29040" windowHeight="15720" tabRatio="792" xr2:uid="{00000000-000D-0000-FFFF-FFFF00000000}"/>
  </bookViews>
  <sheets>
    <sheet name="CONV" sheetId="47" r:id="rId1"/>
    <sheet name="FT_LLPAS" sheetId="44" r:id="rId2"/>
    <sheet name="LLPAS" sheetId="37" r:id="rId3"/>
    <sheet name="HR &amp; HP" sheetId="39" r:id="rId4"/>
    <sheet name="CES" sheetId="40" r:id="rId5"/>
    <sheet name="HELOC" sheetId="42" r:id="rId6"/>
    <sheet name="AAA_AAI_AAQ_AAO" sheetId="25" r:id="rId7"/>
    <sheet name="AIA_AIP" sheetId="27" r:id="rId8"/>
    <sheet name="JUMBO" sheetId="43" r:id="rId9"/>
    <sheet name="GOV" sheetId="15" r:id="rId10"/>
    <sheet name="3 SPRING SPECIAL_AAA_AAB" sheetId="45" r:id="rId11"/>
    <sheet name="3 SPRING SPECIAL_ AIA DSCR" sheetId="46" r:id="rId12"/>
  </sheets>
  <externalReferences>
    <externalReference r:id="rId13"/>
    <externalReference r:id="rId14"/>
  </externalReferences>
  <definedNames>
    <definedName name="_xlnm._FilterDatabase" localSheetId="4" hidden="1">CES!$AJ$20:$AP$27</definedName>
    <definedName name="_xlnm._FilterDatabase" localSheetId="5" hidden="1">HELOC!$Y$21:$AG$27</definedName>
    <definedName name="lender_paid_offset">#REF!</definedName>
    <definedName name="_xlnm.Print_Area" localSheetId="11">'3 SPRING SPECIAL_ AIA DSCR'!$B$1:$P$111</definedName>
    <definedName name="_xlnm.Print_Area" localSheetId="10">'3 SPRING SPECIAL_AAA_AAB'!$B$1:$R$116</definedName>
    <definedName name="_xlnm.Print_Area" localSheetId="6">AAA_AAI_AAQ_AAO!$B$1:$R$115</definedName>
    <definedName name="_xlnm.Print_Area" localSheetId="7">AIA_AIP!$B$1:$P$112</definedName>
    <definedName name="_xlnm.Print_Area" localSheetId="4">CES!$B$1:$P$99</definedName>
    <definedName name="_xlnm.Print_Area" localSheetId="1">FT_LLPAS!$B$1:$T$109</definedName>
    <definedName name="_xlnm.Print_Area" localSheetId="9">GOV!$B$1:$S$124</definedName>
    <definedName name="_xlnm.Print_Area" localSheetId="5">HELOC!$B$1:$P$100</definedName>
    <definedName name="_xlnm.Print_Area" localSheetId="3">'HR &amp; HP'!$B$1:$P$118</definedName>
    <definedName name="_xlnm.Print_Area" localSheetId="8">JUMBO!$B$1:$P$94</definedName>
    <definedName name="_xlnm.Print_Area" localSheetId="2">LLPAS!$B$1:$T$110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46" l="1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C44" i="46"/>
  <c r="C43" i="46"/>
  <c r="C42" i="46"/>
  <c r="C41" i="46"/>
  <c r="C40" i="46"/>
  <c r="C39" i="46"/>
  <c r="C38" i="46"/>
  <c r="C37" i="46"/>
  <c r="C36" i="46"/>
  <c r="C35" i="46"/>
  <c r="C34" i="46"/>
  <c r="C33" i="46"/>
  <c r="C32" i="46"/>
  <c r="C31" i="46"/>
  <c r="C30" i="46"/>
  <c r="C29" i="46"/>
  <c r="C28" i="46"/>
  <c r="C27" i="46"/>
  <c r="C26" i="46"/>
  <c r="C25" i="46"/>
  <c r="C24" i="46"/>
  <c r="E82" i="45"/>
  <c r="F82" i="45"/>
  <c r="G82" i="45"/>
  <c r="H82" i="45"/>
  <c r="I82" i="45"/>
  <c r="J82" i="45"/>
  <c r="K82" i="45"/>
  <c r="E83" i="45"/>
  <c r="F83" i="45"/>
  <c r="G83" i="45"/>
  <c r="H83" i="45"/>
  <c r="I83" i="45"/>
  <c r="J83" i="45"/>
  <c r="K83" i="45"/>
  <c r="E84" i="45"/>
  <c r="F84" i="45"/>
  <c r="G84" i="45"/>
  <c r="H84" i="45"/>
  <c r="I84" i="45"/>
  <c r="J84" i="45"/>
  <c r="K84" i="45"/>
  <c r="E85" i="45"/>
  <c r="F85" i="45"/>
  <c r="G85" i="45"/>
  <c r="H85" i="45"/>
  <c r="I85" i="45"/>
  <c r="J85" i="45"/>
  <c r="K85" i="45"/>
  <c r="E86" i="45"/>
  <c r="F86" i="45"/>
  <c r="G86" i="45"/>
  <c r="H86" i="45"/>
  <c r="I86" i="45"/>
  <c r="J86" i="45"/>
  <c r="K86" i="45"/>
  <c r="E87" i="45"/>
  <c r="F87" i="45"/>
  <c r="G87" i="45"/>
  <c r="H87" i="45"/>
  <c r="I87" i="45"/>
  <c r="J87" i="45"/>
  <c r="K87" i="45"/>
  <c r="F81" i="45"/>
  <c r="G81" i="45"/>
  <c r="H81" i="45"/>
  <c r="I81" i="45"/>
  <c r="J81" i="45"/>
  <c r="K81" i="45"/>
  <c r="Q53" i="15" l="1"/>
  <c r="Q54" i="15" s="1"/>
  <c r="Q55" i="15" s="1"/>
  <c r="R53" i="15"/>
  <c r="S53" i="15" s="1"/>
  <c r="R52" i="15"/>
  <c r="S52" i="15" s="1"/>
  <c r="B44" i="46"/>
  <c r="B41" i="46"/>
  <c r="B42" i="46"/>
  <c r="B43" i="46"/>
  <c r="Q56" i="15" l="1"/>
  <c r="R55" i="15"/>
  <c r="S55" i="15" s="1"/>
  <c r="R54" i="15"/>
  <c r="S54" i="15" s="1"/>
  <c r="C27" i="25"/>
  <c r="B28" i="25"/>
  <c r="D20" i="42"/>
  <c r="C19" i="39"/>
  <c r="D19" i="39" s="1"/>
  <c r="F19" i="39"/>
  <c r="G19" i="39" s="1"/>
  <c r="I19" i="39"/>
  <c r="J19" i="39" s="1"/>
  <c r="L19" i="39"/>
  <c r="M19" i="39" s="1"/>
  <c r="O19" i="39"/>
  <c r="P19" i="39" s="1"/>
  <c r="B43" i="47"/>
  <c r="B44" i="47" s="1" a="1"/>
  <c r="B44" i="47" s="1"/>
  <c r="B45" i="47" s="1" a="1"/>
  <c r="B45" i="47" s="1"/>
  <c r="B46" i="47" s="1" a="1"/>
  <c r="B46" i="47" s="1"/>
  <c r="B47" i="47" s="1" a="1"/>
  <c r="B47" i="47" s="1"/>
  <c r="B48" i="47" s="1" a="1"/>
  <c r="B48" i="47" s="1"/>
  <c r="B49" i="47" s="1" a="1"/>
  <c r="B49" i="47" s="1"/>
  <c r="B50" i="47" s="1" a="1"/>
  <c r="B50" i="47" s="1"/>
  <c r="B51" i="47" s="1" a="1"/>
  <c r="B51" i="47" s="1"/>
  <c r="B52" i="47" s="1" a="1"/>
  <c r="B52" i="47" s="1"/>
  <c r="B53" i="47" s="1" a="1"/>
  <c r="B53" i="47" s="1"/>
  <c r="B54" i="47" s="1" a="1"/>
  <c r="B54" i="47" s="1"/>
  <c r="B55" i="47" s="1" a="1"/>
  <c r="B55" i="47" s="1"/>
  <c r="B56" i="47" s="1" a="1"/>
  <c r="B56" i="47" s="1"/>
  <c r="B57" i="47" s="1" a="1"/>
  <c r="B57" i="47" s="1"/>
  <c r="B58" i="47" s="1" a="1"/>
  <c r="B58" i="47" s="1"/>
  <c r="B59" i="47" s="1" a="1"/>
  <c r="B59" i="47" s="1"/>
  <c r="B60" i="47" s="1" a="1"/>
  <c r="B60" i="47" s="1"/>
  <c r="B61" i="47" s="1" a="1"/>
  <c r="B61" i="47" s="1"/>
  <c r="B62" i="47" s="1" a="1"/>
  <c r="B62" i="47" s="1"/>
  <c r="B63" i="47" s="1" a="1"/>
  <c r="B63" i="47" s="1"/>
  <c r="B64" i="47" s="1" a="1"/>
  <c r="B64" i="47" s="1"/>
  <c r="B65" i="47" s="1" a="1"/>
  <c r="B65" i="47" s="1"/>
  <c r="B66" i="47" s="1" a="1"/>
  <c r="B66" i="47" s="1"/>
  <c r="B67" i="47" s="1" a="1"/>
  <c r="B67" i="47" s="1"/>
  <c r="R56" i="15" l="1"/>
  <c r="S56" i="15" s="1"/>
  <c r="Q57" i="15"/>
  <c r="C28" i="25"/>
  <c r="B29" i="25"/>
  <c r="R57" i="15" l="1"/>
  <c r="S57" i="15" s="1"/>
  <c r="Q58" i="15"/>
  <c r="C29" i="25"/>
  <c r="B30" i="25"/>
  <c r="N7" i="25"/>
  <c r="B24" i="40"/>
  <c r="M7" i="40"/>
  <c r="O7" i="37"/>
  <c r="L7" i="37"/>
  <c r="Q59" i="15" l="1"/>
  <c r="R58" i="15"/>
  <c r="S58" i="15" s="1"/>
  <c r="C30" i="25"/>
  <c r="B31" i="25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C47" i="25" s="1"/>
  <c r="B25" i="40"/>
  <c r="K62" i="46"/>
  <c r="L62" i="46"/>
  <c r="M62" i="46"/>
  <c r="N62" i="46"/>
  <c r="O62" i="46"/>
  <c r="P62" i="46"/>
  <c r="K63" i="46"/>
  <c r="L63" i="46"/>
  <c r="M63" i="46"/>
  <c r="N63" i="46"/>
  <c r="O63" i="46"/>
  <c r="P63" i="46"/>
  <c r="K64" i="46"/>
  <c r="L64" i="46"/>
  <c r="M64" i="46"/>
  <c r="N64" i="46"/>
  <c r="O64" i="46"/>
  <c r="P64" i="46"/>
  <c r="K65" i="46"/>
  <c r="L65" i="46"/>
  <c r="M65" i="46"/>
  <c r="N65" i="46"/>
  <c r="O65" i="46"/>
  <c r="P65" i="46"/>
  <c r="K66" i="46"/>
  <c r="L66" i="46"/>
  <c r="M66" i="46"/>
  <c r="N66" i="46"/>
  <c r="O66" i="46"/>
  <c r="P66" i="46"/>
  <c r="K67" i="46"/>
  <c r="L67" i="46"/>
  <c r="M67" i="46"/>
  <c r="N67" i="46"/>
  <c r="O67" i="46"/>
  <c r="P67" i="46"/>
  <c r="K68" i="46"/>
  <c r="L68" i="46"/>
  <c r="M68" i="46"/>
  <c r="N68" i="46"/>
  <c r="O68" i="46"/>
  <c r="P68" i="46"/>
  <c r="K69" i="46"/>
  <c r="L69" i="46"/>
  <c r="M69" i="46"/>
  <c r="N69" i="46"/>
  <c r="O69" i="46"/>
  <c r="P69" i="46"/>
  <c r="K70" i="46"/>
  <c r="L70" i="46"/>
  <c r="M70" i="46"/>
  <c r="N70" i="46"/>
  <c r="O70" i="46"/>
  <c r="P70" i="46"/>
  <c r="K71" i="46"/>
  <c r="L71" i="46"/>
  <c r="M71" i="46"/>
  <c r="N71" i="46"/>
  <c r="O71" i="46"/>
  <c r="P71" i="46"/>
  <c r="L61" i="46"/>
  <c r="M61" i="46"/>
  <c r="N61" i="46"/>
  <c r="O61" i="46"/>
  <c r="P61" i="46"/>
  <c r="K61" i="46"/>
  <c r="K52" i="46"/>
  <c r="L52" i="46"/>
  <c r="M52" i="46"/>
  <c r="N52" i="46"/>
  <c r="O52" i="46"/>
  <c r="P52" i="46"/>
  <c r="K53" i="46"/>
  <c r="L53" i="46"/>
  <c r="M53" i="46"/>
  <c r="N53" i="46"/>
  <c r="O53" i="46"/>
  <c r="P53" i="46"/>
  <c r="K54" i="46"/>
  <c r="L54" i="46"/>
  <c r="M54" i="46"/>
  <c r="N54" i="46"/>
  <c r="O54" i="46"/>
  <c r="P54" i="46"/>
  <c r="K55" i="46"/>
  <c r="L55" i="46"/>
  <c r="M55" i="46"/>
  <c r="N55" i="46"/>
  <c r="O55" i="46"/>
  <c r="P55" i="46"/>
  <c r="K56" i="46"/>
  <c r="L56" i="46"/>
  <c r="M56" i="46"/>
  <c r="N56" i="46"/>
  <c r="O56" i="46"/>
  <c r="P56" i="46"/>
  <c r="K57" i="46"/>
  <c r="L57" i="46"/>
  <c r="M57" i="46"/>
  <c r="N57" i="46"/>
  <c r="O57" i="46"/>
  <c r="P57" i="46"/>
  <c r="K58" i="46"/>
  <c r="L58" i="46"/>
  <c r="M58" i="46"/>
  <c r="N58" i="46"/>
  <c r="O58" i="46"/>
  <c r="P58" i="46"/>
  <c r="K59" i="46"/>
  <c r="L59" i="46"/>
  <c r="M59" i="46"/>
  <c r="N59" i="46"/>
  <c r="O59" i="46"/>
  <c r="P59" i="46"/>
  <c r="L51" i="46"/>
  <c r="M51" i="46"/>
  <c r="N51" i="46"/>
  <c r="O51" i="46"/>
  <c r="P51" i="46"/>
  <c r="K51" i="46"/>
  <c r="O7" i="44"/>
  <c r="Q60" i="15" l="1"/>
  <c r="R59" i="15"/>
  <c r="S59" i="15" s="1"/>
  <c r="B26" i="40"/>
  <c r="E24" i="46"/>
  <c r="B25" i="46"/>
  <c r="R60" i="15" l="1"/>
  <c r="S60" i="15" s="1"/>
  <c r="Q61" i="15"/>
  <c r="B26" i="46"/>
  <c r="B27" i="46" s="1"/>
  <c r="B28" i="46" s="1"/>
  <c r="B29" i="46" s="1"/>
  <c r="B30" i="46" s="1"/>
  <c r="B31" i="46" s="1"/>
  <c r="B32" i="46" s="1"/>
  <c r="B33" i="46" s="1"/>
  <c r="B34" i="46" s="1"/>
  <c r="B35" i="46" s="1"/>
  <c r="B36" i="46" s="1"/>
  <c r="B37" i="46" s="1"/>
  <c r="B38" i="46" s="1"/>
  <c r="B39" i="46" s="1"/>
  <c r="B40" i="46" s="1"/>
  <c r="E25" i="46"/>
  <c r="B27" i="40"/>
  <c r="M7" i="39"/>
  <c r="M7" i="42" s="1"/>
  <c r="L7" i="27" s="1"/>
  <c r="M8" i="43" s="1"/>
  <c r="O7" i="15" s="1"/>
  <c r="N7" i="45" s="1"/>
  <c r="L7" i="46" s="1"/>
  <c r="Q62" i="15" l="1"/>
  <c r="R61" i="15"/>
  <c r="S61" i="15" s="1"/>
  <c r="B28" i="40"/>
  <c r="R7" i="47"/>
  <c r="L7" i="44" s="1"/>
  <c r="R62" i="15" l="1"/>
  <c r="S62" i="15" s="1"/>
  <c r="Q63" i="15"/>
  <c r="B29" i="40"/>
  <c r="Q64" i="15" l="1"/>
  <c r="R63" i="15"/>
  <c r="S63" i="15" s="1"/>
  <c r="B30" i="40"/>
  <c r="Q65" i="15" l="1"/>
  <c r="R64" i="15"/>
  <c r="S64" i="15" s="1"/>
  <c r="B31" i="40"/>
  <c r="R65" i="15" l="1"/>
  <c r="S65" i="15" s="1"/>
  <c r="Q66" i="15"/>
  <c r="B32" i="40"/>
  <c r="R66" i="15" l="1"/>
  <c r="S66" i="15" s="1"/>
  <c r="Q67" i="15"/>
  <c r="B33" i="40"/>
  <c r="R67" i="15" l="1"/>
  <c r="S67" i="15" s="1"/>
  <c r="Q68" i="15"/>
  <c r="Q69" i="15" s="1"/>
  <c r="R69" i="15" s="1"/>
  <c r="S69" i="15" s="1"/>
  <c r="B34" i="40"/>
  <c r="R68" i="15" l="1"/>
  <c r="S68" i="15" s="1"/>
  <c r="B35" i="40"/>
  <c r="B36" i="40" l="1"/>
  <c r="B37" i="40" l="1"/>
  <c r="B38" i="40" l="1"/>
  <c r="B39" i="40" l="1"/>
  <c r="B40" i="40" l="1"/>
  <c r="B41" i="40" l="1"/>
  <c r="B42" i="40" s="1"/>
  <c r="C42" i="40" l="1"/>
  <c r="D42" i="40" s="1"/>
  <c r="B43" i="40"/>
  <c r="C43" i="40" l="1"/>
  <c r="D43" i="40" s="1"/>
  <c r="B44" i="40"/>
  <c r="C44" i="40" l="1"/>
  <c r="D44" i="40" s="1"/>
  <c r="B45" i="40"/>
  <c r="E63" i="45"/>
  <c r="F63" i="45"/>
  <c r="G63" i="45"/>
  <c r="H63" i="45"/>
  <c r="I63" i="45"/>
  <c r="J63" i="45"/>
  <c r="K63" i="45"/>
  <c r="E64" i="45"/>
  <c r="F64" i="45"/>
  <c r="G64" i="45"/>
  <c r="H64" i="45"/>
  <c r="I64" i="45"/>
  <c r="J64" i="45"/>
  <c r="K64" i="45"/>
  <c r="E65" i="45"/>
  <c r="F65" i="45"/>
  <c r="G65" i="45"/>
  <c r="H65" i="45"/>
  <c r="I65" i="45"/>
  <c r="J65" i="45"/>
  <c r="K65" i="45"/>
  <c r="E66" i="45"/>
  <c r="F66" i="45"/>
  <c r="G66" i="45"/>
  <c r="H66" i="45"/>
  <c r="I66" i="45"/>
  <c r="J66" i="45"/>
  <c r="K66" i="45"/>
  <c r="E67" i="45"/>
  <c r="F67" i="45"/>
  <c r="G67" i="45"/>
  <c r="H67" i="45"/>
  <c r="I67" i="45"/>
  <c r="J67" i="45"/>
  <c r="K67" i="45"/>
  <c r="E68" i="45"/>
  <c r="F68" i="45"/>
  <c r="G68" i="45"/>
  <c r="H68" i="45"/>
  <c r="I68" i="45"/>
  <c r="J68" i="45"/>
  <c r="K68" i="45"/>
  <c r="E69" i="45"/>
  <c r="F69" i="45"/>
  <c r="G69" i="45"/>
  <c r="H69" i="45"/>
  <c r="I69" i="45"/>
  <c r="J69" i="45"/>
  <c r="K69" i="45"/>
  <c r="E70" i="45"/>
  <c r="F70" i="45"/>
  <c r="G70" i="45"/>
  <c r="H70" i="45"/>
  <c r="I70" i="45"/>
  <c r="J70" i="45"/>
  <c r="K70" i="45"/>
  <c r="E71" i="45"/>
  <c r="F71" i="45"/>
  <c r="G71" i="45"/>
  <c r="H71" i="45"/>
  <c r="I71" i="45"/>
  <c r="J71" i="45"/>
  <c r="K71" i="45"/>
  <c r="E72" i="45"/>
  <c r="F72" i="45"/>
  <c r="G72" i="45"/>
  <c r="H72" i="45"/>
  <c r="I72" i="45"/>
  <c r="J72" i="45"/>
  <c r="K72" i="45"/>
  <c r="E73" i="45"/>
  <c r="F73" i="45"/>
  <c r="G73" i="45"/>
  <c r="H73" i="45"/>
  <c r="I73" i="45"/>
  <c r="J73" i="45"/>
  <c r="K73" i="45"/>
  <c r="E74" i="45"/>
  <c r="F74" i="45"/>
  <c r="G74" i="45"/>
  <c r="H74" i="45"/>
  <c r="I74" i="45"/>
  <c r="J74" i="45"/>
  <c r="K74" i="45"/>
  <c r="E75" i="45"/>
  <c r="F75" i="45"/>
  <c r="G75" i="45"/>
  <c r="H75" i="45"/>
  <c r="I75" i="45"/>
  <c r="J75" i="45"/>
  <c r="K75" i="45"/>
  <c r="E76" i="45"/>
  <c r="F76" i="45"/>
  <c r="G76" i="45"/>
  <c r="H76" i="45"/>
  <c r="I76" i="45"/>
  <c r="J76" i="45"/>
  <c r="K76" i="45"/>
  <c r="E77" i="45"/>
  <c r="F77" i="45"/>
  <c r="G77" i="45"/>
  <c r="H77" i="45"/>
  <c r="I77" i="45"/>
  <c r="J77" i="45"/>
  <c r="K77" i="45"/>
  <c r="E78" i="45"/>
  <c r="F78" i="45"/>
  <c r="G78" i="45"/>
  <c r="H78" i="45"/>
  <c r="I78" i="45"/>
  <c r="J78" i="45"/>
  <c r="K78" i="45"/>
  <c r="E79" i="45"/>
  <c r="F79" i="45"/>
  <c r="G79" i="45"/>
  <c r="H79" i="45"/>
  <c r="I79" i="45"/>
  <c r="J79" i="45"/>
  <c r="K79" i="45"/>
  <c r="E80" i="45"/>
  <c r="F80" i="45"/>
  <c r="G80" i="45"/>
  <c r="H80" i="45"/>
  <c r="I80" i="45"/>
  <c r="J80" i="45"/>
  <c r="K80" i="45"/>
  <c r="E81" i="45"/>
  <c r="E88" i="45"/>
  <c r="F88" i="45"/>
  <c r="G88" i="45"/>
  <c r="H88" i="45"/>
  <c r="I88" i="45"/>
  <c r="J88" i="45"/>
  <c r="K88" i="45"/>
  <c r="E89" i="45"/>
  <c r="F89" i="45"/>
  <c r="G89" i="45"/>
  <c r="H89" i="45"/>
  <c r="I89" i="45"/>
  <c r="J89" i="45"/>
  <c r="K89" i="45"/>
  <c r="E90" i="45"/>
  <c r="F90" i="45"/>
  <c r="G90" i="45"/>
  <c r="H90" i="45"/>
  <c r="I90" i="45"/>
  <c r="J90" i="45"/>
  <c r="K90" i="45"/>
  <c r="F62" i="45"/>
  <c r="G62" i="45"/>
  <c r="H62" i="45"/>
  <c r="I62" i="45"/>
  <c r="J62" i="45"/>
  <c r="K62" i="45"/>
  <c r="E62" i="45"/>
  <c r="C45" i="40" l="1"/>
  <c r="D45" i="40" s="1"/>
  <c r="B46" i="40"/>
  <c r="H86" i="46"/>
  <c r="N33" i="46"/>
  <c r="C46" i="40" l="1"/>
  <c r="D46" i="40" s="1"/>
  <c r="B47" i="40"/>
  <c r="B48" i="40" s="1"/>
  <c r="E26" i="46"/>
  <c r="E27" i="46" l="1"/>
  <c r="E28" i="46" l="1"/>
  <c r="E29" i="46" l="1"/>
  <c r="E30" i="46" l="1"/>
  <c r="E31" i="46" l="1"/>
  <c r="E32" i="46" l="1"/>
  <c r="E33" i="46" l="1"/>
  <c r="E34" i="46" l="1"/>
  <c r="E35" i="46" l="1"/>
  <c r="E36" i="46" l="1"/>
  <c r="E37" i="46" l="1"/>
  <c r="E38" i="46" l="1"/>
  <c r="E39" i="46" l="1"/>
  <c r="E40" i="46" l="1"/>
  <c r="E41" i="46" s="1"/>
  <c r="E42" i="46" l="1"/>
  <c r="E43" i="46" l="1"/>
  <c r="B13" i="27"/>
  <c r="E44" i="46" l="1"/>
  <c r="N53" i="15"/>
  <c r="K53" i="15"/>
  <c r="H53" i="15"/>
  <c r="E53" i="15"/>
  <c r="B53" i="15"/>
  <c r="Q24" i="15"/>
  <c r="Q25" i="15" s="1"/>
  <c r="N24" i="15"/>
  <c r="N25" i="15" s="1"/>
  <c r="K24" i="15"/>
  <c r="K25" i="15" s="1"/>
  <c r="H24" i="15"/>
  <c r="H25" i="15" s="1"/>
  <c r="E24" i="15"/>
  <c r="E25" i="15" s="1"/>
  <c r="B24" i="15"/>
  <c r="B25" i="15" s="1"/>
  <c r="E28" i="43"/>
  <c r="B28" i="43"/>
  <c r="L8" i="43"/>
  <c r="N44" i="39"/>
  <c r="K44" i="39"/>
  <c r="H44" i="39"/>
  <c r="E44" i="39"/>
  <c r="B44" i="39"/>
  <c r="N20" i="39"/>
  <c r="N21" i="39" s="1"/>
  <c r="K20" i="39"/>
  <c r="K21" i="39" s="1"/>
  <c r="H20" i="39"/>
  <c r="H21" i="39" s="1"/>
  <c r="E20" i="39"/>
  <c r="E21" i="39" s="1"/>
  <c r="B20" i="39"/>
  <c r="B21" i="39" s="1"/>
  <c r="L7" i="39"/>
  <c r="H86" i="27"/>
  <c r="F25" i="15" l="1"/>
  <c r="G25" i="15" s="1"/>
  <c r="E26" i="15"/>
  <c r="L25" i="15"/>
  <c r="M25" i="15" s="1"/>
  <c r="K26" i="15"/>
  <c r="R25" i="15"/>
  <c r="S25" i="15" s="1"/>
  <c r="Q26" i="15"/>
  <c r="C25" i="15"/>
  <c r="D25" i="15" s="1"/>
  <c r="B26" i="15"/>
  <c r="I25" i="15"/>
  <c r="J25" i="15" s="1"/>
  <c r="H26" i="15"/>
  <c r="O25" i="15"/>
  <c r="P25" i="15" s="1"/>
  <c r="N26" i="15"/>
  <c r="O21" i="39"/>
  <c r="P21" i="39" s="1"/>
  <c r="N22" i="39"/>
  <c r="L21" i="39"/>
  <c r="M21" i="39" s="1"/>
  <c r="K22" i="39"/>
  <c r="I21" i="39"/>
  <c r="J21" i="39" s="1"/>
  <c r="H22" i="39"/>
  <c r="F21" i="39"/>
  <c r="G21" i="39" s="1"/>
  <c r="E22" i="39"/>
  <c r="C21" i="39"/>
  <c r="D21" i="39" s="1"/>
  <c r="B22" i="39"/>
  <c r="B54" i="15"/>
  <c r="E54" i="15"/>
  <c r="H54" i="15"/>
  <c r="K54" i="15"/>
  <c r="N54" i="15"/>
  <c r="B29" i="43"/>
  <c r="E29" i="43"/>
  <c r="B45" i="39"/>
  <c r="E45" i="39"/>
  <c r="H45" i="39"/>
  <c r="K45" i="39"/>
  <c r="N45" i="39"/>
  <c r="R26" i="15" l="1"/>
  <c r="S26" i="15" s="1"/>
  <c r="Q27" i="15"/>
  <c r="L26" i="15"/>
  <c r="M26" i="15" s="1"/>
  <c r="K27" i="15"/>
  <c r="F26" i="15"/>
  <c r="G26" i="15" s="1"/>
  <c r="E27" i="15"/>
  <c r="C26" i="15"/>
  <c r="D26" i="15" s="1"/>
  <c r="B27" i="15"/>
  <c r="I26" i="15"/>
  <c r="J26" i="15" s="1"/>
  <c r="H27" i="15"/>
  <c r="O26" i="15"/>
  <c r="P26" i="15" s="1"/>
  <c r="N27" i="15"/>
  <c r="O22" i="39"/>
  <c r="P22" i="39" s="1"/>
  <c r="N23" i="39"/>
  <c r="L22" i="39"/>
  <c r="M22" i="39" s="1"/>
  <c r="K23" i="39"/>
  <c r="I22" i="39"/>
  <c r="J22" i="39" s="1"/>
  <c r="H23" i="39"/>
  <c r="F22" i="39"/>
  <c r="G22" i="39" s="1"/>
  <c r="E23" i="39"/>
  <c r="C22" i="39"/>
  <c r="D22" i="39" s="1"/>
  <c r="B23" i="39"/>
  <c r="N55" i="15"/>
  <c r="N56" i="15" s="1"/>
  <c r="K55" i="15"/>
  <c r="K56" i="15" s="1"/>
  <c r="H55" i="15"/>
  <c r="H56" i="15" s="1"/>
  <c r="E55" i="15"/>
  <c r="E56" i="15" s="1"/>
  <c r="B55" i="15"/>
  <c r="B56" i="15" s="1"/>
  <c r="E30" i="43"/>
  <c r="B30" i="43"/>
  <c r="N46" i="39"/>
  <c r="N47" i="39" s="1"/>
  <c r="K46" i="39"/>
  <c r="K47" i="39" s="1"/>
  <c r="H46" i="39"/>
  <c r="H47" i="39" s="1"/>
  <c r="E46" i="39"/>
  <c r="E47" i="39" s="1"/>
  <c r="B46" i="39"/>
  <c r="B47" i="39" s="1"/>
  <c r="F47" i="39" l="1"/>
  <c r="G47" i="39" s="1"/>
  <c r="E48" i="39"/>
  <c r="C47" i="39"/>
  <c r="D47" i="39" s="1"/>
  <c r="B48" i="39"/>
  <c r="F56" i="15"/>
  <c r="G56" i="15" s="1"/>
  <c r="E57" i="15"/>
  <c r="C56" i="15"/>
  <c r="D56" i="15" s="1"/>
  <c r="B57" i="15"/>
  <c r="L56" i="15"/>
  <c r="M56" i="15" s="1"/>
  <c r="K57" i="15"/>
  <c r="O56" i="15"/>
  <c r="P56" i="15" s="1"/>
  <c r="N57" i="15"/>
  <c r="I56" i="15"/>
  <c r="J56" i="15" s="1"/>
  <c r="H57" i="15"/>
  <c r="F27" i="15"/>
  <c r="G27" i="15" s="1"/>
  <c r="E28" i="15"/>
  <c r="L27" i="15"/>
  <c r="M27" i="15" s="1"/>
  <c r="K28" i="15"/>
  <c r="R27" i="15"/>
  <c r="S27" i="15" s="1"/>
  <c r="Q28" i="15"/>
  <c r="C27" i="15"/>
  <c r="D27" i="15" s="1"/>
  <c r="B28" i="15"/>
  <c r="I27" i="15"/>
  <c r="J27" i="15" s="1"/>
  <c r="H28" i="15"/>
  <c r="O27" i="15"/>
  <c r="P27" i="15" s="1"/>
  <c r="N28" i="15"/>
  <c r="O47" i="39"/>
  <c r="P47" i="39" s="1"/>
  <c r="N48" i="39"/>
  <c r="L47" i="39"/>
  <c r="M47" i="39" s="1"/>
  <c r="K48" i="39"/>
  <c r="I47" i="39"/>
  <c r="J47" i="39" s="1"/>
  <c r="H48" i="39"/>
  <c r="O23" i="39"/>
  <c r="P23" i="39" s="1"/>
  <c r="N24" i="39"/>
  <c r="L23" i="39"/>
  <c r="M23" i="39" s="1"/>
  <c r="K24" i="39"/>
  <c r="I23" i="39"/>
  <c r="J23" i="39" s="1"/>
  <c r="H24" i="39"/>
  <c r="F23" i="39"/>
  <c r="G23" i="39" s="1"/>
  <c r="E24" i="39"/>
  <c r="C23" i="39"/>
  <c r="D23" i="39" s="1"/>
  <c r="B24" i="39"/>
  <c r="B31" i="43"/>
  <c r="E31" i="43"/>
  <c r="F48" i="39" l="1"/>
  <c r="G48" i="39" s="1"/>
  <c r="E49" i="39"/>
  <c r="C48" i="39"/>
  <c r="D48" i="39" s="1"/>
  <c r="B49" i="39"/>
  <c r="F57" i="15"/>
  <c r="G57" i="15" s="1"/>
  <c r="E58" i="15"/>
  <c r="C57" i="15"/>
  <c r="D57" i="15" s="1"/>
  <c r="B58" i="15"/>
  <c r="L57" i="15"/>
  <c r="M57" i="15" s="1"/>
  <c r="K58" i="15"/>
  <c r="O57" i="15"/>
  <c r="P57" i="15" s="1"/>
  <c r="N58" i="15"/>
  <c r="I57" i="15"/>
  <c r="J57" i="15" s="1"/>
  <c r="H58" i="15"/>
  <c r="R28" i="15"/>
  <c r="S28" i="15" s="1"/>
  <c r="Q29" i="15"/>
  <c r="L28" i="15"/>
  <c r="M28" i="15" s="1"/>
  <c r="K29" i="15"/>
  <c r="F28" i="15"/>
  <c r="G28" i="15" s="1"/>
  <c r="E29" i="15"/>
  <c r="C28" i="15"/>
  <c r="D28" i="15" s="1"/>
  <c r="B29" i="15"/>
  <c r="I28" i="15"/>
  <c r="J28" i="15" s="1"/>
  <c r="H29" i="15"/>
  <c r="O28" i="15"/>
  <c r="P28" i="15" s="1"/>
  <c r="N29" i="15"/>
  <c r="O48" i="39"/>
  <c r="P48" i="39" s="1"/>
  <c r="N49" i="39"/>
  <c r="L48" i="39"/>
  <c r="M48" i="39" s="1"/>
  <c r="K49" i="39"/>
  <c r="I48" i="39"/>
  <c r="J48" i="39" s="1"/>
  <c r="H49" i="39"/>
  <c r="O24" i="39"/>
  <c r="P24" i="39" s="1"/>
  <c r="N25" i="39"/>
  <c r="L24" i="39"/>
  <c r="M24" i="39" s="1"/>
  <c r="K25" i="39"/>
  <c r="I24" i="39"/>
  <c r="J24" i="39" s="1"/>
  <c r="H25" i="39"/>
  <c r="F24" i="39"/>
  <c r="G24" i="39" s="1"/>
  <c r="E25" i="39"/>
  <c r="C24" i="39"/>
  <c r="D24" i="39" s="1"/>
  <c r="B25" i="39"/>
  <c r="E32" i="43"/>
  <c r="B32" i="43"/>
  <c r="E50" i="39" l="1"/>
  <c r="F49" i="39"/>
  <c r="G49" i="39" s="1"/>
  <c r="C49" i="39"/>
  <c r="D49" i="39" s="1"/>
  <c r="B50" i="39"/>
  <c r="F58" i="15"/>
  <c r="G58" i="15" s="1"/>
  <c r="E59" i="15"/>
  <c r="C58" i="15"/>
  <c r="D58" i="15" s="1"/>
  <c r="B59" i="15"/>
  <c r="L58" i="15"/>
  <c r="M58" i="15" s="1"/>
  <c r="K59" i="15"/>
  <c r="O58" i="15"/>
  <c r="P58" i="15" s="1"/>
  <c r="N59" i="15"/>
  <c r="I58" i="15"/>
  <c r="J58" i="15" s="1"/>
  <c r="H59" i="15"/>
  <c r="F29" i="15"/>
  <c r="G29" i="15" s="1"/>
  <c r="E30" i="15"/>
  <c r="L29" i="15"/>
  <c r="M29" i="15" s="1"/>
  <c r="K30" i="15"/>
  <c r="R29" i="15"/>
  <c r="S29" i="15" s="1"/>
  <c r="Q30" i="15"/>
  <c r="C29" i="15"/>
  <c r="D29" i="15" s="1"/>
  <c r="B30" i="15"/>
  <c r="I29" i="15"/>
  <c r="J29" i="15" s="1"/>
  <c r="H30" i="15"/>
  <c r="O29" i="15"/>
  <c r="P29" i="15" s="1"/>
  <c r="N30" i="15"/>
  <c r="O49" i="39"/>
  <c r="P49" i="39" s="1"/>
  <c r="N50" i="39"/>
  <c r="L49" i="39"/>
  <c r="M49" i="39" s="1"/>
  <c r="K50" i="39"/>
  <c r="I49" i="39"/>
  <c r="J49" i="39" s="1"/>
  <c r="H50" i="39"/>
  <c r="O25" i="39"/>
  <c r="P25" i="39" s="1"/>
  <c r="N26" i="39"/>
  <c r="L25" i="39"/>
  <c r="M25" i="39" s="1"/>
  <c r="K26" i="39"/>
  <c r="I25" i="39"/>
  <c r="J25" i="39" s="1"/>
  <c r="H26" i="39"/>
  <c r="F25" i="39"/>
  <c r="G25" i="39" s="1"/>
  <c r="E26" i="39"/>
  <c r="C25" i="39"/>
  <c r="D25" i="39" s="1"/>
  <c r="B26" i="39"/>
  <c r="B33" i="43"/>
  <c r="E33" i="43"/>
  <c r="E34" i="43" s="1"/>
  <c r="F50" i="39" l="1"/>
  <c r="G50" i="39" s="1"/>
  <c r="E51" i="39"/>
  <c r="B51" i="39"/>
  <c r="C50" i="39"/>
  <c r="D50" i="39" s="1"/>
  <c r="F59" i="15"/>
  <c r="G59" i="15" s="1"/>
  <c r="E60" i="15"/>
  <c r="C59" i="15"/>
  <c r="D59" i="15" s="1"/>
  <c r="B60" i="15"/>
  <c r="L59" i="15"/>
  <c r="M59" i="15" s="1"/>
  <c r="K60" i="15"/>
  <c r="O59" i="15"/>
  <c r="P59" i="15" s="1"/>
  <c r="N60" i="15"/>
  <c r="I59" i="15"/>
  <c r="J59" i="15" s="1"/>
  <c r="H60" i="15"/>
  <c r="R30" i="15"/>
  <c r="S30" i="15" s="1"/>
  <c r="Q31" i="15"/>
  <c r="L30" i="15"/>
  <c r="M30" i="15" s="1"/>
  <c r="K31" i="15"/>
  <c r="F30" i="15"/>
  <c r="G30" i="15" s="1"/>
  <c r="E31" i="15"/>
  <c r="C30" i="15"/>
  <c r="D30" i="15" s="1"/>
  <c r="B31" i="15"/>
  <c r="I30" i="15"/>
  <c r="J30" i="15" s="1"/>
  <c r="H31" i="15"/>
  <c r="O30" i="15"/>
  <c r="P30" i="15" s="1"/>
  <c r="N31" i="15"/>
  <c r="O50" i="39"/>
  <c r="P50" i="39" s="1"/>
  <c r="N51" i="39"/>
  <c r="L50" i="39"/>
  <c r="M50" i="39" s="1"/>
  <c r="K51" i="39"/>
  <c r="I50" i="39"/>
  <c r="J50" i="39" s="1"/>
  <c r="H51" i="39"/>
  <c r="O26" i="39"/>
  <c r="P26" i="39" s="1"/>
  <c r="N27" i="39"/>
  <c r="L26" i="39"/>
  <c r="M26" i="39" s="1"/>
  <c r="K27" i="39"/>
  <c r="I26" i="39"/>
  <c r="J26" i="39" s="1"/>
  <c r="H27" i="39"/>
  <c r="F26" i="39"/>
  <c r="G26" i="39" s="1"/>
  <c r="E27" i="39"/>
  <c r="C26" i="39"/>
  <c r="D26" i="39" s="1"/>
  <c r="B27" i="39"/>
  <c r="E35" i="43"/>
  <c r="B34" i="43"/>
  <c r="F51" i="39" l="1"/>
  <c r="G51" i="39" s="1"/>
  <c r="E52" i="39"/>
  <c r="C51" i="39"/>
  <c r="D51" i="39" s="1"/>
  <c r="B52" i="39"/>
  <c r="F60" i="15"/>
  <c r="G60" i="15" s="1"/>
  <c r="E61" i="15"/>
  <c r="C60" i="15"/>
  <c r="D60" i="15" s="1"/>
  <c r="B61" i="15"/>
  <c r="L60" i="15"/>
  <c r="M60" i="15" s="1"/>
  <c r="K61" i="15"/>
  <c r="O60" i="15"/>
  <c r="P60" i="15" s="1"/>
  <c r="N61" i="15"/>
  <c r="I60" i="15"/>
  <c r="J60" i="15" s="1"/>
  <c r="H61" i="15"/>
  <c r="F31" i="15"/>
  <c r="G31" i="15" s="1"/>
  <c r="E32" i="15"/>
  <c r="E33" i="15" s="1"/>
  <c r="E34" i="15" s="1"/>
  <c r="E35" i="15" s="1"/>
  <c r="E36" i="15" s="1"/>
  <c r="L31" i="15"/>
  <c r="M31" i="15" s="1"/>
  <c r="K32" i="15"/>
  <c r="K33" i="15" s="1"/>
  <c r="K34" i="15" s="1"/>
  <c r="K35" i="15" s="1"/>
  <c r="K36" i="15" s="1"/>
  <c r="R31" i="15"/>
  <c r="S31" i="15" s="1"/>
  <c r="Q32" i="15"/>
  <c r="Q33" i="15" s="1"/>
  <c r="Q34" i="15" s="1"/>
  <c r="Q35" i="15" s="1"/>
  <c r="Q36" i="15" s="1"/>
  <c r="C31" i="15"/>
  <c r="D31" i="15" s="1"/>
  <c r="B32" i="15"/>
  <c r="B33" i="15" s="1"/>
  <c r="B34" i="15" s="1"/>
  <c r="B35" i="15" s="1"/>
  <c r="B36" i="15" s="1"/>
  <c r="I31" i="15"/>
  <c r="J31" i="15" s="1"/>
  <c r="H32" i="15"/>
  <c r="H33" i="15" s="1"/>
  <c r="H34" i="15" s="1"/>
  <c r="H35" i="15" s="1"/>
  <c r="H36" i="15" s="1"/>
  <c r="O31" i="15"/>
  <c r="P31" i="15" s="1"/>
  <c r="N32" i="15"/>
  <c r="N33" i="15" s="1"/>
  <c r="N34" i="15" s="1"/>
  <c r="N35" i="15" s="1"/>
  <c r="N36" i="15" s="1"/>
  <c r="O51" i="39"/>
  <c r="P51" i="39" s="1"/>
  <c r="N52" i="39"/>
  <c r="L51" i="39"/>
  <c r="M51" i="39" s="1"/>
  <c r="K52" i="39"/>
  <c r="I51" i="39"/>
  <c r="J51" i="39" s="1"/>
  <c r="H52" i="39"/>
  <c r="O27" i="39"/>
  <c r="P27" i="39" s="1"/>
  <c r="N28" i="39"/>
  <c r="L27" i="39"/>
  <c r="M27" i="39" s="1"/>
  <c r="K28" i="39"/>
  <c r="I27" i="39"/>
  <c r="J27" i="39" s="1"/>
  <c r="H28" i="39"/>
  <c r="F27" i="39"/>
  <c r="G27" i="39" s="1"/>
  <c r="E28" i="39"/>
  <c r="C27" i="39"/>
  <c r="D27" i="39" s="1"/>
  <c r="B28" i="39"/>
  <c r="E36" i="43"/>
  <c r="B37" i="15"/>
  <c r="E37" i="15"/>
  <c r="H37" i="15"/>
  <c r="H38" i="15" s="1"/>
  <c r="K37" i="15"/>
  <c r="N37" i="15"/>
  <c r="N38" i="15" s="1"/>
  <c r="Q37" i="15"/>
  <c r="B35" i="43"/>
  <c r="F52" i="39" l="1"/>
  <c r="G52" i="39" s="1"/>
  <c r="E53" i="39"/>
  <c r="C52" i="39"/>
  <c r="D52" i="39" s="1"/>
  <c r="B53" i="39"/>
  <c r="F61" i="15"/>
  <c r="G61" i="15" s="1"/>
  <c r="E62" i="15"/>
  <c r="E63" i="15" s="1"/>
  <c r="E64" i="15" s="1"/>
  <c r="E65" i="15" s="1"/>
  <c r="C61" i="15"/>
  <c r="D61" i="15" s="1"/>
  <c r="B62" i="15"/>
  <c r="B63" i="15" s="1"/>
  <c r="B64" i="15" s="1"/>
  <c r="B65" i="15" s="1"/>
  <c r="L61" i="15"/>
  <c r="M61" i="15" s="1"/>
  <c r="K62" i="15"/>
  <c r="K63" i="15" s="1"/>
  <c r="K64" i="15" s="1"/>
  <c r="K65" i="15" s="1"/>
  <c r="O61" i="15"/>
  <c r="P61" i="15" s="1"/>
  <c r="N62" i="15"/>
  <c r="N63" i="15" s="1"/>
  <c r="N64" i="15" s="1"/>
  <c r="N65" i="15" s="1"/>
  <c r="I61" i="15"/>
  <c r="J61" i="15" s="1"/>
  <c r="H62" i="15"/>
  <c r="H63" i="15" s="1"/>
  <c r="H64" i="15" s="1"/>
  <c r="O52" i="39"/>
  <c r="P52" i="39" s="1"/>
  <c r="N53" i="39"/>
  <c r="L52" i="39"/>
  <c r="M52" i="39" s="1"/>
  <c r="K53" i="39"/>
  <c r="I52" i="39"/>
  <c r="J52" i="39" s="1"/>
  <c r="H53" i="39"/>
  <c r="O28" i="39"/>
  <c r="P28" i="39" s="1"/>
  <c r="N29" i="39"/>
  <c r="L28" i="39"/>
  <c r="M28" i="39" s="1"/>
  <c r="K29" i="39"/>
  <c r="I28" i="39"/>
  <c r="J28" i="39" s="1"/>
  <c r="H29" i="39"/>
  <c r="F28" i="39"/>
  <c r="G28" i="39" s="1"/>
  <c r="E29" i="39"/>
  <c r="C28" i="39"/>
  <c r="D28" i="39" s="1"/>
  <c r="B29" i="39"/>
  <c r="O38" i="15"/>
  <c r="P38" i="15" s="1"/>
  <c r="I38" i="15"/>
  <c r="J38" i="15" s="1"/>
  <c r="E37" i="43"/>
  <c r="N66" i="15"/>
  <c r="K66" i="15"/>
  <c r="E66" i="15"/>
  <c r="B66" i="15"/>
  <c r="Q38" i="15"/>
  <c r="K38" i="15"/>
  <c r="E38" i="15"/>
  <c r="B38" i="15"/>
  <c r="B36" i="43"/>
  <c r="F53" i="39" l="1"/>
  <c r="G53" i="39" s="1"/>
  <c r="E54" i="39"/>
  <c r="E55" i="39" s="1"/>
  <c r="E56" i="39" s="1"/>
  <c r="E57" i="39" s="1"/>
  <c r="E58" i="39" s="1"/>
  <c r="C53" i="39"/>
  <c r="D53" i="39" s="1"/>
  <c r="B54" i="39"/>
  <c r="B55" i="39" s="1"/>
  <c r="B56" i="39" s="1"/>
  <c r="B57" i="39" s="1"/>
  <c r="B58" i="39" s="1"/>
  <c r="I64" i="15"/>
  <c r="J64" i="15" s="1"/>
  <c r="H65" i="15"/>
  <c r="O53" i="39"/>
  <c r="P53" i="39" s="1"/>
  <c r="N54" i="39"/>
  <c r="N55" i="39" s="1"/>
  <c r="N56" i="39" s="1"/>
  <c r="N57" i="39" s="1"/>
  <c r="N58" i="39" s="1"/>
  <c r="L53" i="39"/>
  <c r="M53" i="39" s="1"/>
  <c r="K54" i="39"/>
  <c r="K55" i="39" s="1"/>
  <c r="K56" i="39" s="1"/>
  <c r="K57" i="39" s="1"/>
  <c r="K58" i="39" s="1"/>
  <c r="K59" i="39" s="1"/>
  <c r="K60" i="39" s="1"/>
  <c r="K61" i="39" s="1"/>
  <c r="I53" i="39"/>
  <c r="J53" i="39" s="1"/>
  <c r="H54" i="39"/>
  <c r="H55" i="39" s="1"/>
  <c r="H56" i="39" s="1"/>
  <c r="H57" i="39" s="1"/>
  <c r="H58" i="39" s="1"/>
  <c r="H59" i="39" s="1"/>
  <c r="H60" i="39" s="1"/>
  <c r="H61" i="39" s="1"/>
  <c r="B30" i="39"/>
  <c r="E30" i="39"/>
  <c r="H30" i="39"/>
  <c r="K30" i="39"/>
  <c r="N30" i="39"/>
  <c r="E38" i="43"/>
  <c r="B39" i="15"/>
  <c r="E39" i="15"/>
  <c r="K39" i="15"/>
  <c r="Q39" i="15"/>
  <c r="B67" i="15"/>
  <c r="B68" i="15" s="1"/>
  <c r="E67" i="15"/>
  <c r="E68" i="15" s="1"/>
  <c r="K67" i="15"/>
  <c r="K68" i="15" s="1"/>
  <c r="N67" i="15"/>
  <c r="N68" i="15" s="1"/>
  <c r="B37" i="43"/>
  <c r="B59" i="39"/>
  <c r="E59" i="39"/>
  <c r="N59" i="39"/>
  <c r="N60" i="39" s="1"/>
  <c r="N61" i="39" s="1"/>
  <c r="O68" i="15" l="1"/>
  <c r="P68" i="15" s="1"/>
  <c r="N69" i="15"/>
  <c r="L68" i="15"/>
  <c r="M68" i="15" s="1"/>
  <c r="K69" i="15"/>
  <c r="F68" i="15"/>
  <c r="G68" i="15" s="1"/>
  <c r="E69" i="15"/>
  <c r="C68" i="15"/>
  <c r="D68" i="15" s="1"/>
  <c r="B69" i="15"/>
  <c r="I65" i="15"/>
  <c r="J65" i="15" s="1"/>
  <c r="H66" i="15"/>
  <c r="O61" i="39"/>
  <c r="P61" i="39" s="1"/>
  <c r="L61" i="39"/>
  <c r="M61" i="39" s="1"/>
  <c r="I61" i="39"/>
  <c r="J61" i="39" s="1"/>
  <c r="O30" i="39"/>
  <c r="P30" i="39" s="1"/>
  <c r="N31" i="39"/>
  <c r="N32" i="39" s="1"/>
  <c r="N33" i="39" s="1"/>
  <c r="N34" i="39" s="1"/>
  <c r="N35" i="39" s="1"/>
  <c r="N36" i="39" s="1"/>
  <c r="N37" i="39" s="1"/>
  <c r="N38" i="39" s="1"/>
  <c r="O38" i="39" s="1"/>
  <c r="P38" i="39" s="1"/>
  <c r="L30" i="39"/>
  <c r="M30" i="39" s="1"/>
  <c r="K31" i="39"/>
  <c r="K32" i="39" s="1"/>
  <c r="K33" i="39" s="1"/>
  <c r="K34" i="39" s="1"/>
  <c r="K35" i="39" s="1"/>
  <c r="K36" i="39" s="1"/>
  <c r="K37" i="39" s="1"/>
  <c r="L37" i="39" s="1"/>
  <c r="M37" i="39" s="1"/>
  <c r="I30" i="39"/>
  <c r="J30" i="39" s="1"/>
  <c r="H31" i="39"/>
  <c r="H32" i="39" s="1"/>
  <c r="H33" i="39" s="1"/>
  <c r="H34" i="39" s="1"/>
  <c r="H35" i="39" s="1"/>
  <c r="H36" i="39" s="1"/>
  <c r="H37" i="39" s="1"/>
  <c r="I37" i="39" s="1"/>
  <c r="J37" i="39" s="1"/>
  <c r="F30" i="39"/>
  <c r="G30" i="39" s="1"/>
  <c r="E31" i="39"/>
  <c r="E32" i="39" s="1"/>
  <c r="E33" i="39" s="1"/>
  <c r="E34" i="39" s="1"/>
  <c r="E35" i="39" s="1"/>
  <c r="C30" i="39"/>
  <c r="D30" i="39" s="1"/>
  <c r="B31" i="39"/>
  <c r="B32" i="39" s="1"/>
  <c r="B33" i="39" s="1"/>
  <c r="B34" i="39" s="1"/>
  <c r="B35" i="39" s="1"/>
  <c r="B36" i="39" s="1"/>
  <c r="Q40" i="15"/>
  <c r="Q41" i="15" s="1"/>
  <c r="K40" i="15"/>
  <c r="K41" i="15" s="1"/>
  <c r="E40" i="15"/>
  <c r="E41" i="15" s="1"/>
  <c r="B40" i="15"/>
  <c r="B41" i="15" s="1"/>
  <c r="B38" i="43"/>
  <c r="B39" i="43" s="1"/>
  <c r="E60" i="39"/>
  <c r="B60" i="39"/>
  <c r="E36" i="39"/>
  <c r="H38" i="39" l="1"/>
  <c r="I38" i="39" s="1"/>
  <c r="J38" i="39" s="1"/>
  <c r="O37" i="39"/>
  <c r="P37" i="39" s="1"/>
  <c r="K38" i="39"/>
  <c r="L38" i="39" s="1"/>
  <c r="M38" i="39" s="1"/>
  <c r="C41" i="15"/>
  <c r="D41" i="15" s="1"/>
  <c r="B42" i="15"/>
  <c r="F41" i="15"/>
  <c r="G41" i="15" s="1"/>
  <c r="E42" i="15"/>
  <c r="L41" i="15"/>
  <c r="M41" i="15" s="1"/>
  <c r="K42" i="15"/>
  <c r="R41" i="15"/>
  <c r="S41" i="15" s="1"/>
  <c r="Q42" i="15"/>
  <c r="C69" i="15"/>
  <c r="D69" i="15" s="1"/>
  <c r="B70" i="15"/>
  <c r="F69" i="15"/>
  <c r="G69" i="15" s="1"/>
  <c r="E70" i="15"/>
  <c r="L69" i="15"/>
  <c r="M69" i="15" s="1"/>
  <c r="K70" i="15"/>
  <c r="O69" i="15"/>
  <c r="P69" i="15" s="1"/>
  <c r="N70" i="15"/>
  <c r="I66" i="15"/>
  <c r="J66" i="15" s="1"/>
  <c r="H67" i="15"/>
  <c r="H68" i="15" s="1"/>
  <c r="B40" i="43"/>
  <c r="B37" i="39"/>
  <c r="E37" i="39"/>
  <c r="E38" i="39" s="1"/>
  <c r="B61" i="39"/>
  <c r="E61" i="39"/>
  <c r="R42" i="15" l="1"/>
  <c r="S42" i="15" s="1"/>
  <c r="Q43" i="15"/>
  <c r="L42" i="15"/>
  <c r="M42" i="15" s="1"/>
  <c r="K43" i="15"/>
  <c r="F42" i="15"/>
  <c r="G42" i="15" s="1"/>
  <c r="E43" i="15"/>
  <c r="C42" i="15"/>
  <c r="D42" i="15" s="1"/>
  <c r="B43" i="15"/>
  <c r="I68" i="15"/>
  <c r="J68" i="15" s="1"/>
  <c r="H69" i="15"/>
  <c r="O70" i="15"/>
  <c r="P70" i="15" s="1"/>
  <c r="N71" i="15"/>
  <c r="L70" i="15"/>
  <c r="M70" i="15" s="1"/>
  <c r="K71" i="15"/>
  <c r="F70" i="15"/>
  <c r="G70" i="15" s="1"/>
  <c r="E71" i="15"/>
  <c r="C70" i="15"/>
  <c r="D70" i="15" s="1"/>
  <c r="B71" i="15"/>
  <c r="I67" i="15"/>
  <c r="J67" i="15" s="1"/>
  <c r="E62" i="39"/>
  <c r="B62" i="39"/>
  <c r="B38" i="39"/>
  <c r="C43" i="15" l="1"/>
  <c r="D43" i="15" s="1"/>
  <c r="B44" i="15"/>
  <c r="F43" i="15"/>
  <c r="G43" i="15" s="1"/>
  <c r="E44" i="15"/>
  <c r="L43" i="15"/>
  <c r="M43" i="15" s="1"/>
  <c r="K44" i="15"/>
  <c r="R43" i="15"/>
  <c r="S43" i="15" s="1"/>
  <c r="Q44" i="15"/>
  <c r="C71" i="15"/>
  <c r="D71" i="15" s="1"/>
  <c r="B72" i="15"/>
  <c r="B73" i="15" s="1"/>
  <c r="B74" i="15" s="1"/>
  <c r="F71" i="15"/>
  <c r="G71" i="15" s="1"/>
  <c r="E72" i="15"/>
  <c r="E73" i="15" s="1"/>
  <c r="E74" i="15" s="1"/>
  <c r="E75" i="15" s="1"/>
  <c r="F75" i="15" s="1"/>
  <c r="G75" i="15" s="1"/>
  <c r="L71" i="15"/>
  <c r="M71" i="15" s="1"/>
  <c r="K72" i="15"/>
  <c r="O71" i="15"/>
  <c r="P71" i="15" s="1"/>
  <c r="N72" i="15"/>
  <c r="N73" i="15" s="1"/>
  <c r="N74" i="15" s="1"/>
  <c r="N75" i="15" s="1"/>
  <c r="O75" i="15" s="1"/>
  <c r="P75" i="15" s="1"/>
  <c r="I69" i="15"/>
  <c r="J69" i="15" s="1"/>
  <c r="H70" i="15"/>
  <c r="I70" i="15" s="1"/>
  <c r="J70" i="15" s="1"/>
  <c r="C74" i="15"/>
  <c r="D74" i="15" s="1"/>
  <c r="B75" i="15"/>
  <c r="C75" i="15" s="1"/>
  <c r="D75" i="15" s="1"/>
  <c r="R44" i="15" l="1"/>
  <c r="S44" i="15" s="1"/>
  <c r="Q45" i="15"/>
  <c r="R45" i="15" s="1"/>
  <c r="S45" i="15" s="1"/>
  <c r="L44" i="15"/>
  <c r="M44" i="15" s="1"/>
  <c r="K45" i="15"/>
  <c r="F44" i="15"/>
  <c r="G44" i="15" s="1"/>
  <c r="E45" i="15"/>
  <c r="F45" i="15" s="1"/>
  <c r="G45" i="15" s="1"/>
  <c r="C44" i="15"/>
  <c r="D44" i="15" s="1"/>
  <c r="B45" i="15"/>
  <c r="L72" i="15"/>
  <c r="M72" i="15" s="1"/>
  <c r="K73" i="15"/>
  <c r="R4" i="25"/>
  <c r="T4" i="37"/>
  <c r="P4" i="40"/>
  <c r="R5" i="25"/>
  <c r="T5" i="37"/>
  <c r="P5" i="40"/>
  <c r="R6" i="25"/>
  <c r="T6" i="37"/>
  <c r="P6" i="40"/>
  <c r="L7" i="40"/>
  <c r="L7" i="42" s="1"/>
  <c r="M7" i="25"/>
  <c r="K7" i="27" s="1"/>
  <c r="N7" i="15" s="1"/>
  <c r="M7" i="45" s="1"/>
  <c r="K7" i="46" s="1"/>
  <c r="C45" i="15" l="1"/>
  <c r="D45" i="15" s="1"/>
  <c r="B46" i="15"/>
  <c r="L45" i="15"/>
  <c r="M45" i="15" s="1"/>
  <c r="K46" i="15"/>
  <c r="L73" i="15"/>
  <c r="M73" i="15" s="1"/>
  <c r="K74" i="15"/>
  <c r="K75" i="15" l="1"/>
  <c r="L75" i="15" s="1"/>
  <c r="M75" i="15" s="1"/>
  <c r="L74" i="15"/>
  <c r="M74" i="15" s="1"/>
  <c r="B24" i="27"/>
  <c r="E24" i="27" l="1"/>
  <c r="B25" i="27"/>
  <c r="B26" i="27" l="1"/>
  <c r="E25" i="27"/>
  <c r="B27" i="27" l="1"/>
  <c r="E26" i="27"/>
  <c r="B28" i="27" l="1"/>
  <c r="E27" i="27"/>
  <c r="B29" i="27" l="1"/>
  <c r="E28" i="27"/>
  <c r="B30" i="27" l="1"/>
  <c r="E29" i="27"/>
  <c r="B31" i="27" l="1"/>
  <c r="E30" i="27"/>
  <c r="B32" i="27" l="1"/>
  <c r="E31" i="27"/>
  <c r="B33" i="27" l="1"/>
  <c r="E32" i="27"/>
  <c r="B34" i="27" l="1"/>
  <c r="E33" i="27"/>
  <c r="B35" i="27" l="1"/>
  <c r="E34" i="27"/>
  <c r="B36" i="27" l="1"/>
  <c r="E35" i="27"/>
  <c r="B37" i="27" l="1"/>
  <c r="E36" i="27"/>
  <c r="B38" i="27" l="1"/>
  <c r="E37" i="27"/>
  <c r="B39" i="27" l="1"/>
  <c r="E38" i="27"/>
  <c r="B40" i="27" l="1"/>
  <c r="B41" i="27" s="1"/>
  <c r="E39" i="27"/>
  <c r="C41" i="27" l="1"/>
  <c r="E41" i="27"/>
  <c r="F41" i="27" s="1"/>
  <c r="B42" i="27"/>
  <c r="E40" i="27"/>
  <c r="C42" i="27" l="1"/>
  <c r="E42" i="27"/>
  <c r="F42" i="27" s="1"/>
  <c r="B43" i="27"/>
  <c r="B58" i="40"/>
  <c r="C43" i="27" l="1"/>
  <c r="E43" i="27"/>
  <c r="F43" i="27" s="1"/>
  <c r="B44" i="27"/>
  <c r="B59" i="40"/>
  <c r="C44" i="27" l="1"/>
  <c r="E44" i="27"/>
  <c r="F44" i="27" s="1"/>
  <c r="B60" i="40"/>
  <c r="B61" i="40" l="1"/>
  <c r="B62" i="40" l="1"/>
  <c r="B63" i="40" l="1"/>
  <c r="B64" i="40" l="1"/>
  <c r="B65" i="40" l="1"/>
  <c r="B66" i="40" l="1"/>
  <c r="B67" i="40" l="1"/>
  <c r="B68" i="40" l="1"/>
  <c r="B69" i="40" l="1"/>
  <c r="B70" i="40" l="1"/>
  <c r="B71" i="40" l="1"/>
  <c r="B72" i="40" l="1"/>
  <c r="E20" i="42" l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E43" i="42" s="1"/>
  <c r="E44" i="42" s="1"/>
  <c r="E45" i="42" s="1"/>
  <c r="E46" i="42" s="1"/>
  <c r="E47" i="42" s="1"/>
  <c r="E48" i="42" s="1"/>
  <c r="E49" i="42" s="1"/>
  <c r="E50" i="42" s="1"/>
  <c r="E51" i="42" s="1"/>
  <c r="E52" i="42" s="1"/>
  <c r="B73" i="40"/>
  <c r="B74" i="40" l="1"/>
  <c r="B75" i="40" l="1"/>
  <c r="B76" i="40" l="1"/>
  <c r="B77" i="40" l="1"/>
  <c r="B78" i="40" l="1"/>
  <c r="B79" i="40" l="1"/>
  <c r="B80" i="40" s="1"/>
  <c r="C80" i="40" s="1"/>
  <c r="D80" i="40" s="1"/>
  <c r="B81" i="40" l="1"/>
  <c r="B82" i="40" l="1"/>
  <c r="B83" i="40" l="1"/>
  <c r="B84" i="40" s="1"/>
  <c r="C84" i="40" s="1"/>
  <c r="D84" i="40" s="1"/>
  <c r="C83" i="40" l="1"/>
  <c r="D83" i="40" s="1"/>
  <c r="C75" i="40" l="1"/>
  <c r="D75" i="40" s="1"/>
  <c r="C76" i="40"/>
  <c r="D76" i="40" s="1"/>
  <c r="C70" i="40"/>
  <c r="D70" i="40" s="1"/>
  <c r="C61" i="40"/>
  <c r="D61" i="40" s="1"/>
  <c r="C66" i="40"/>
  <c r="D66" i="40" s="1"/>
  <c r="C63" i="40"/>
  <c r="D63" i="40" s="1"/>
  <c r="C69" i="40"/>
  <c r="D69" i="40" s="1"/>
  <c r="C67" i="40" l="1"/>
  <c r="D67" i="40" s="1"/>
  <c r="C68" i="40"/>
  <c r="D68" i="40" s="1"/>
  <c r="C73" i="40"/>
  <c r="D73" i="40" s="1"/>
  <c r="C65" i="40"/>
  <c r="D65" i="40" s="1"/>
  <c r="C82" i="40"/>
  <c r="D82" i="40" s="1"/>
  <c r="C71" i="40"/>
  <c r="D71" i="40" s="1"/>
  <c r="C62" i="40"/>
  <c r="D62" i="40" s="1"/>
  <c r="C59" i="40"/>
  <c r="D59" i="40" s="1"/>
  <c r="C77" i="40"/>
  <c r="D77" i="40" s="1"/>
  <c r="C57" i="40"/>
  <c r="D57" i="40" s="1"/>
  <c r="C74" i="40"/>
  <c r="D74" i="40" s="1"/>
  <c r="C79" i="40"/>
  <c r="D79" i="40" s="1"/>
  <c r="C78" i="40"/>
  <c r="D78" i="40" s="1"/>
  <c r="C81" i="40"/>
  <c r="D81" i="40" s="1"/>
  <c r="C72" i="40"/>
  <c r="D72" i="40" s="1"/>
  <c r="C58" i="40"/>
  <c r="D58" i="40" s="1"/>
  <c r="C60" i="40"/>
  <c r="D60" i="40" s="1"/>
  <c r="C64" i="40"/>
  <c r="D64" i="40" s="1"/>
  <c r="D21" i="42" l="1"/>
  <c r="F20" i="42"/>
  <c r="D22" i="42" l="1"/>
  <c r="F21" i="42"/>
  <c r="D23" i="42" l="1"/>
  <c r="F22" i="42"/>
  <c r="D24" i="42" l="1"/>
  <c r="F23" i="42"/>
  <c r="D25" i="42" l="1"/>
  <c r="F24" i="42"/>
  <c r="D26" i="42" l="1"/>
  <c r="F25" i="42"/>
  <c r="D27" i="42" l="1"/>
  <c r="F26" i="42"/>
  <c r="D28" i="42" l="1"/>
  <c r="F27" i="42"/>
  <c r="D29" i="42" l="1"/>
  <c r="F28" i="42"/>
  <c r="D30" i="42" l="1"/>
  <c r="F29" i="42"/>
  <c r="D31" i="42" l="1"/>
  <c r="F30" i="42"/>
  <c r="D32" i="42" l="1"/>
  <c r="F31" i="42"/>
  <c r="D33" i="42" l="1"/>
  <c r="F32" i="42"/>
  <c r="D34" i="42" l="1"/>
  <c r="F33" i="42"/>
  <c r="D35" i="42" l="1"/>
  <c r="F34" i="42"/>
  <c r="C28" i="43" l="1"/>
  <c r="D28" i="43" s="1"/>
  <c r="C32" i="43"/>
  <c r="D32" i="43" s="1"/>
  <c r="C38" i="43"/>
  <c r="D38" i="43" s="1"/>
  <c r="C37" i="43"/>
  <c r="D37" i="43" s="1"/>
  <c r="C40" i="43"/>
  <c r="D40" i="43" s="1"/>
  <c r="C35" i="43"/>
  <c r="D35" i="43" s="1"/>
  <c r="C39" i="43"/>
  <c r="D39" i="43" s="1"/>
  <c r="C36" i="43"/>
  <c r="D36" i="43" s="1"/>
  <c r="C31" i="43"/>
  <c r="D31" i="43" s="1"/>
  <c r="C30" i="43"/>
  <c r="D30" i="43" s="1"/>
  <c r="C29" i="43"/>
  <c r="D29" i="43" s="1"/>
  <c r="C33" i="43"/>
  <c r="D33" i="43" s="1"/>
  <c r="C27" i="43"/>
  <c r="D27" i="43" s="1"/>
  <c r="C34" i="43"/>
  <c r="D34" i="43" s="1"/>
  <c r="D36" i="42"/>
  <c r="F35" i="42"/>
  <c r="B26" i="45" l="1"/>
  <c r="C26" i="45" s="1"/>
  <c r="D37" i="42"/>
  <c r="F36" i="42"/>
  <c r="D38" i="42" l="1"/>
  <c r="F37" i="42"/>
  <c r="B27" i="45"/>
  <c r="C27" i="45" s="1"/>
  <c r="C50" i="47" l="1"/>
  <c r="D50" i="47" s="1"/>
  <c r="C31" i="25"/>
  <c r="B28" i="45"/>
  <c r="C28" i="45" s="1"/>
  <c r="D39" i="42"/>
  <c r="F38" i="42"/>
  <c r="C51" i="47" l="1"/>
  <c r="D51" i="47" s="1"/>
  <c r="D40" i="42"/>
  <c r="F39" i="42"/>
  <c r="B29" i="45"/>
  <c r="C29" i="45" s="1"/>
  <c r="C32" i="25"/>
  <c r="C52" i="47" l="1"/>
  <c r="D52" i="47" s="1"/>
  <c r="C33" i="25"/>
  <c r="B30" i="45"/>
  <c r="C30" i="45" s="1"/>
  <c r="D41" i="42"/>
  <c r="F40" i="42"/>
  <c r="C53" i="47" l="1"/>
  <c r="D53" i="47" s="1"/>
  <c r="C54" i="47"/>
  <c r="D54" i="47" s="1"/>
  <c r="D42" i="42"/>
  <c r="F41" i="42"/>
  <c r="B31" i="45"/>
  <c r="C31" i="45" s="1"/>
  <c r="C34" i="25"/>
  <c r="C35" i="25" l="1"/>
  <c r="B32" i="45"/>
  <c r="C32" i="45" s="1"/>
  <c r="D43" i="42"/>
  <c r="F42" i="42"/>
  <c r="D44" i="42" l="1"/>
  <c r="F43" i="42"/>
  <c r="B33" i="45"/>
  <c r="C33" i="45" s="1"/>
  <c r="C36" i="25"/>
  <c r="C37" i="25" l="1"/>
  <c r="B34" i="45"/>
  <c r="C34" i="45" s="1"/>
  <c r="D45" i="42"/>
  <c r="F44" i="42"/>
  <c r="D46" i="42" l="1"/>
  <c r="F45" i="42"/>
  <c r="B35" i="45"/>
  <c r="C35" i="45" s="1"/>
  <c r="C38" i="25"/>
  <c r="C39" i="25" l="1"/>
  <c r="B36" i="45"/>
  <c r="C36" i="45" s="1"/>
  <c r="D47" i="42"/>
  <c r="F46" i="42"/>
  <c r="D48" i="42" l="1"/>
  <c r="F47" i="42"/>
  <c r="B37" i="45"/>
  <c r="C37" i="45" s="1"/>
  <c r="C40" i="25"/>
  <c r="C41" i="25" l="1"/>
  <c r="B38" i="45"/>
  <c r="C38" i="45" s="1"/>
  <c r="D49" i="42"/>
  <c r="F48" i="42"/>
  <c r="D50" i="42" l="1"/>
  <c r="F49" i="42"/>
  <c r="B39" i="45"/>
  <c r="C39" i="45" s="1"/>
  <c r="C42" i="25"/>
  <c r="C43" i="25" l="1"/>
  <c r="B40" i="45"/>
  <c r="C40" i="45" s="1"/>
  <c r="D51" i="42"/>
  <c r="F50" i="42"/>
  <c r="D52" i="42" l="1"/>
  <c r="F52" i="42" s="1"/>
  <c r="F51" i="42"/>
  <c r="B41" i="45"/>
  <c r="C41" i="45" s="1"/>
  <c r="C44" i="25"/>
  <c r="C45" i="25" l="1"/>
  <c r="B42" i="45"/>
  <c r="B43" i="45" l="1"/>
  <c r="C43" i="45" s="1"/>
  <c r="C42" i="45"/>
  <c r="C38" i="39"/>
  <c r="D38" i="39" s="1"/>
  <c r="B44" i="45" l="1"/>
  <c r="C44" i="45" s="1"/>
  <c r="B45" i="45"/>
  <c r="C45" i="45" s="1"/>
  <c r="C37" i="39"/>
  <c r="D37" i="39" s="1"/>
  <c r="C62" i="39"/>
  <c r="D62" i="39" s="1"/>
  <c r="B46" i="45" l="1"/>
  <c r="C46" i="45" s="1"/>
  <c r="C36" i="39"/>
  <c r="D36" i="39" s="1"/>
  <c r="C61" i="39"/>
  <c r="D61" i="39" s="1"/>
  <c r="O74" i="15"/>
  <c r="P74" i="15" s="1"/>
  <c r="C35" i="39" l="1"/>
  <c r="D35" i="39" s="1"/>
  <c r="C60" i="39"/>
  <c r="D60" i="39" s="1"/>
  <c r="O73" i="15"/>
  <c r="P73" i="15" s="1"/>
  <c r="C34" i="39" l="1"/>
  <c r="D34" i="39" s="1"/>
  <c r="C59" i="39"/>
  <c r="D59" i="39" s="1"/>
  <c r="O72" i="15"/>
  <c r="P72" i="15" s="1"/>
  <c r="C33" i="39" l="1"/>
  <c r="D33" i="39" s="1"/>
  <c r="C32" i="39" l="1"/>
  <c r="D32" i="39" s="1"/>
  <c r="O67" i="15"/>
  <c r="P67" i="15" s="1"/>
  <c r="C31" i="39" l="1"/>
  <c r="D31" i="39" s="1"/>
  <c r="C29" i="39" l="1"/>
  <c r="D29" i="39" s="1"/>
  <c r="K43" i="47"/>
  <c r="K44" i="47" l="1"/>
  <c r="Q43" i="47"/>
  <c r="Q44" i="47" l="1"/>
  <c r="K45" i="47"/>
  <c r="C20" i="39" l="1"/>
  <c r="D20" i="39" s="1"/>
  <c r="K46" i="47"/>
  <c r="L45" i="47"/>
  <c r="M45" i="47" s="1"/>
  <c r="Q45" i="47"/>
  <c r="Q46" i="47" l="1"/>
  <c r="K47" i="47"/>
  <c r="L46" i="47"/>
  <c r="M46" i="47" s="1"/>
  <c r="C48" i="40" l="1"/>
  <c r="D48" i="40" s="1"/>
  <c r="K48" i="47"/>
  <c r="L47" i="47"/>
  <c r="M47" i="47" s="1"/>
  <c r="Q47" i="47"/>
  <c r="H43" i="47"/>
  <c r="C47" i="40" l="1"/>
  <c r="D47" i="40" s="1"/>
  <c r="H44" i="47"/>
  <c r="Q48" i="47"/>
  <c r="AF43" i="47"/>
  <c r="K49" i="47"/>
  <c r="K50" i="47" s="1"/>
  <c r="L48" i="47"/>
  <c r="M48" i="47" s="1"/>
  <c r="H13" i="47"/>
  <c r="L50" i="47" l="1"/>
  <c r="M50" i="47" s="1"/>
  <c r="K51" i="47"/>
  <c r="H14" i="47"/>
  <c r="L49" i="47"/>
  <c r="M49" i="47" s="1"/>
  <c r="AF44" i="47"/>
  <c r="Q49" i="47"/>
  <c r="Q50" i="47" s="1"/>
  <c r="H45" i="47"/>
  <c r="R50" i="47" l="1"/>
  <c r="S50" i="47" s="1"/>
  <c r="Q51" i="47"/>
  <c r="L51" i="47"/>
  <c r="M51" i="47" s="1"/>
  <c r="K52" i="47"/>
  <c r="H46" i="47"/>
  <c r="AF45" i="47"/>
  <c r="H15" i="47"/>
  <c r="L52" i="47" l="1"/>
  <c r="M52" i="47" s="1"/>
  <c r="K53" i="47"/>
  <c r="R51" i="47"/>
  <c r="S51" i="47" s="1"/>
  <c r="Q52" i="47"/>
  <c r="C41" i="40"/>
  <c r="D41" i="40" s="1"/>
  <c r="H16" i="47"/>
  <c r="AF46" i="47"/>
  <c r="AG45" i="47"/>
  <c r="AH45" i="47" s="1"/>
  <c r="H47" i="47"/>
  <c r="R52" i="47" l="1"/>
  <c r="S52" i="47" s="1"/>
  <c r="Q53" i="47"/>
  <c r="L53" i="47"/>
  <c r="M53" i="47" s="1"/>
  <c r="K54" i="47"/>
  <c r="C40" i="40"/>
  <c r="D40" i="40" s="1"/>
  <c r="H48" i="47"/>
  <c r="I47" i="47"/>
  <c r="J47" i="47" s="1"/>
  <c r="AF47" i="47"/>
  <c r="AG46" i="47"/>
  <c r="AH46" i="47" s="1"/>
  <c r="H17" i="47"/>
  <c r="L54" i="47" l="1"/>
  <c r="M54" i="47" s="1"/>
  <c r="K55" i="47"/>
  <c r="R53" i="47"/>
  <c r="S53" i="47" s="1"/>
  <c r="Q54" i="47"/>
  <c r="C39" i="40"/>
  <c r="D39" i="40" s="1"/>
  <c r="H18" i="47"/>
  <c r="AF48" i="47"/>
  <c r="AG47" i="47"/>
  <c r="AH47" i="47" s="1"/>
  <c r="H49" i="47"/>
  <c r="H50" i="47" s="1"/>
  <c r="I48" i="47"/>
  <c r="J48" i="47" s="1"/>
  <c r="I50" i="47" l="1"/>
  <c r="J50" i="47" s="1"/>
  <c r="H51" i="47"/>
  <c r="R54" i="47"/>
  <c r="S54" i="47" s="1"/>
  <c r="Q55" i="47"/>
  <c r="Q56" i="47" s="1"/>
  <c r="K56" i="47"/>
  <c r="K57" i="47" s="1"/>
  <c r="K58" i="47" s="1"/>
  <c r="L55" i="47"/>
  <c r="M55" i="47" s="1"/>
  <c r="C38" i="40"/>
  <c r="D38" i="40" s="1"/>
  <c r="M25" i="25"/>
  <c r="M26" i="25" s="1"/>
  <c r="M25" i="45"/>
  <c r="N25" i="45" s="1"/>
  <c r="I49" i="47"/>
  <c r="J49" i="47" s="1"/>
  <c r="AF49" i="47"/>
  <c r="AF50" i="47" s="1"/>
  <c r="AG48" i="47"/>
  <c r="AH48" i="47" s="1"/>
  <c r="K59" i="47"/>
  <c r="H19" i="47"/>
  <c r="I18" i="47"/>
  <c r="J18" i="47" s="1"/>
  <c r="N26" i="25" l="1"/>
  <c r="M27" i="25"/>
  <c r="AG50" i="47"/>
  <c r="AH50" i="47" s="1"/>
  <c r="AF51" i="47"/>
  <c r="Q57" i="47"/>
  <c r="R56" i="47"/>
  <c r="S56" i="47" s="1"/>
  <c r="I51" i="47"/>
  <c r="J51" i="47" s="1"/>
  <c r="H52" i="47"/>
  <c r="C37" i="40"/>
  <c r="D37" i="40" s="1"/>
  <c r="H20" i="47"/>
  <c r="I19" i="47"/>
  <c r="J19" i="47" s="1"/>
  <c r="K60" i="47"/>
  <c r="AG49" i="47"/>
  <c r="AH49" i="47" s="1"/>
  <c r="M26" i="45"/>
  <c r="N26" i="45" s="1"/>
  <c r="N25" i="25"/>
  <c r="N27" i="25" l="1"/>
  <c r="M28" i="25"/>
  <c r="I52" i="47"/>
  <c r="J52" i="47" s="1"/>
  <c r="H53" i="47"/>
  <c r="Q58" i="47"/>
  <c r="R57" i="47"/>
  <c r="S57" i="47" s="1"/>
  <c r="AG51" i="47"/>
  <c r="AH51" i="47" s="1"/>
  <c r="AF52" i="47"/>
  <c r="C36" i="40"/>
  <c r="D36" i="40" s="1"/>
  <c r="M27" i="45"/>
  <c r="N27" i="45" s="1"/>
  <c r="K61" i="47"/>
  <c r="H21" i="47"/>
  <c r="I20" i="47"/>
  <c r="J20" i="47" s="1"/>
  <c r="N28" i="25" l="1"/>
  <c r="M29" i="25"/>
  <c r="AG52" i="47"/>
  <c r="AH52" i="47" s="1"/>
  <c r="AF53" i="47"/>
  <c r="Q59" i="47"/>
  <c r="R58" i="47"/>
  <c r="S58" i="47" s="1"/>
  <c r="I53" i="47"/>
  <c r="J53" i="47" s="1"/>
  <c r="H54" i="47"/>
  <c r="C35" i="40"/>
  <c r="D35" i="40" s="1"/>
  <c r="H22" i="47"/>
  <c r="I21" i="47"/>
  <c r="J21" i="47" s="1"/>
  <c r="K62" i="47"/>
  <c r="M28" i="45"/>
  <c r="N28" i="45" s="1"/>
  <c r="N29" i="25" l="1"/>
  <c r="M30" i="25"/>
  <c r="I54" i="47"/>
  <c r="J54" i="47" s="1"/>
  <c r="H55" i="47"/>
  <c r="Q60" i="47"/>
  <c r="R59" i="47"/>
  <c r="S59" i="47" s="1"/>
  <c r="AG53" i="47"/>
  <c r="AH53" i="47" s="1"/>
  <c r="AF54" i="47"/>
  <c r="C34" i="40"/>
  <c r="D34" i="40" s="1"/>
  <c r="M29" i="45"/>
  <c r="N29" i="45" s="1"/>
  <c r="K63" i="47"/>
  <c r="H23" i="47"/>
  <c r="I22" i="47"/>
  <c r="J22" i="47" s="1"/>
  <c r="N30" i="25" l="1"/>
  <c r="M31" i="25"/>
  <c r="AG54" i="47"/>
  <c r="AH54" i="47" s="1"/>
  <c r="AF55" i="47"/>
  <c r="Q61" i="47"/>
  <c r="R60" i="47"/>
  <c r="S60" i="47" s="1"/>
  <c r="H56" i="47"/>
  <c r="I55" i="47"/>
  <c r="J55" i="47" s="1"/>
  <c r="C33" i="40"/>
  <c r="D33" i="40" s="1"/>
  <c r="H24" i="47"/>
  <c r="I23" i="47"/>
  <c r="J23" i="47" s="1"/>
  <c r="K64" i="47"/>
  <c r="M30" i="45"/>
  <c r="N30" i="45" s="1"/>
  <c r="N31" i="25" l="1"/>
  <c r="M32" i="25"/>
  <c r="H57" i="47"/>
  <c r="I56" i="47"/>
  <c r="J56" i="47" s="1"/>
  <c r="Q62" i="47"/>
  <c r="Q63" i="47" s="1"/>
  <c r="R61" i="47"/>
  <c r="S61" i="47" s="1"/>
  <c r="AF56" i="47"/>
  <c r="AG55" i="47"/>
  <c r="AH55" i="47" s="1"/>
  <c r="C32" i="40"/>
  <c r="D32" i="40" s="1"/>
  <c r="M31" i="45"/>
  <c r="N31" i="45" s="1"/>
  <c r="Q64" i="47"/>
  <c r="K65" i="47"/>
  <c r="H25" i="47"/>
  <c r="I24" i="47"/>
  <c r="J24" i="47" s="1"/>
  <c r="M33" i="25" l="1"/>
  <c r="N32" i="25"/>
  <c r="AF57" i="47"/>
  <c r="AG56" i="47"/>
  <c r="AH56" i="47" s="1"/>
  <c r="H58" i="47"/>
  <c r="I57" i="47"/>
  <c r="J57" i="47" s="1"/>
  <c r="C31" i="40"/>
  <c r="D31" i="40" s="1"/>
  <c r="H26" i="47"/>
  <c r="K66" i="47"/>
  <c r="Q65" i="47"/>
  <c r="M32" i="45"/>
  <c r="N32" i="45" s="1"/>
  <c r="M34" i="25" l="1"/>
  <c r="N33" i="25"/>
  <c r="H59" i="47"/>
  <c r="I58" i="47"/>
  <c r="J58" i="47" s="1"/>
  <c r="AF58" i="47"/>
  <c r="AG57" i="47"/>
  <c r="AH57" i="47" s="1"/>
  <c r="C30" i="40"/>
  <c r="D30" i="40" s="1"/>
  <c r="M33" i="45"/>
  <c r="N33" i="45" s="1"/>
  <c r="Q66" i="47"/>
  <c r="K67" i="47"/>
  <c r="H27" i="47"/>
  <c r="M35" i="25" l="1"/>
  <c r="N34" i="25"/>
  <c r="AF59" i="47"/>
  <c r="AG58" i="47"/>
  <c r="AH58" i="47" s="1"/>
  <c r="H60" i="47"/>
  <c r="I59" i="47"/>
  <c r="J59" i="47" s="1"/>
  <c r="C29" i="40"/>
  <c r="D29" i="40" s="1"/>
  <c r="H28" i="47"/>
  <c r="Q67" i="47"/>
  <c r="M34" i="45"/>
  <c r="N34" i="45" s="1"/>
  <c r="M36" i="25" l="1"/>
  <c r="N35" i="25"/>
  <c r="H61" i="47"/>
  <c r="I60" i="47"/>
  <c r="J60" i="47" s="1"/>
  <c r="AF60" i="47"/>
  <c r="AG59" i="47"/>
  <c r="AH59" i="47" s="1"/>
  <c r="C28" i="40"/>
  <c r="D28" i="40" s="1"/>
  <c r="M35" i="45"/>
  <c r="N35" i="45" s="1"/>
  <c r="H29" i="47"/>
  <c r="H30" i="47" s="1"/>
  <c r="M37" i="25" l="1"/>
  <c r="N36" i="25"/>
  <c r="AF61" i="47"/>
  <c r="AG60" i="47"/>
  <c r="AH60" i="47" s="1"/>
  <c r="H62" i="47"/>
  <c r="I61" i="47"/>
  <c r="J61" i="47" s="1"/>
  <c r="I30" i="47"/>
  <c r="J30" i="47" s="1"/>
  <c r="H31" i="47"/>
  <c r="C27" i="40"/>
  <c r="D27" i="40" s="1"/>
  <c r="M36" i="45"/>
  <c r="N36" i="45" s="1"/>
  <c r="M38" i="25" l="1"/>
  <c r="N37" i="25"/>
  <c r="H63" i="47"/>
  <c r="I62" i="47"/>
  <c r="J62" i="47" s="1"/>
  <c r="AF62" i="47"/>
  <c r="AG61" i="47"/>
  <c r="AH61" i="47" s="1"/>
  <c r="I31" i="47"/>
  <c r="J31" i="47" s="1"/>
  <c r="H32" i="47"/>
  <c r="C26" i="40"/>
  <c r="D26" i="40" s="1"/>
  <c r="M37" i="45"/>
  <c r="N37" i="45" s="1"/>
  <c r="M39" i="25" l="1"/>
  <c r="N38" i="25"/>
  <c r="AF63" i="47"/>
  <c r="AG62" i="47"/>
  <c r="AH62" i="47" s="1"/>
  <c r="H64" i="47"/>
  <c r="I63" i="47"/>
  <c r="J63" i="47" s="1"/>
  <c r="I32" i="47"/>
  <c r="J32" i="47" s="1"/>
  <c r="H33" i="47"/>
  <c r="C25" i="40"/>
  <c r="D25" i="40" s="1"/>
  <c r="M38" i="45"/>
  <c r="N38" i="45" s="1"/>
  <c r="M40" i="25" l="1"/>
  <c r="N39" i="25"/>
  <c r="H65" i="47"/>
  <c r="I64" i="47"/>
  <c r="J64" i="47" s="1"/>
  <c r="AF64" i="47"/>
  <c r="AG63" i="47"/>
  <c r="AH63" i="47" s="1"/>
  <c r="I33" i="47"/>
  <c r="J33" i="47" s="1"/>
  <c r="H34" i="47"/>
  <c r="C23" i="40"/>
  <c r="D23" i="40" s="1"/>
  <c r="C24" i="40"/>
  <c r="D24" i="40" s="1"/>
  <c r="M39" i="45"/>
  <c r="N39" i="45" s="1"/>
  <c r="M40" i="45" l="1"/>
  <c r="N40" i="45" s="1"/>
  <c r="M41" i="25"/>
  <c r="N40" i="25"/>
  <c r="AF65" i="47"/>
  <c r="AG64" i="47"/>
  <c r="AH64" i="47" s="1"/>
  <c r="H66" i="47"/>
  <c r="I65" i="47"/>
  <c r="J65" i="47" s="1"/>
  <c r="I34" i="47"/>
  <c r="J34" i="47" s="1"/>
  <c r="H35" i="47"/>
  <c r="H36" i="47" s="1"/>
  <c r="H37" i="47" s="1"/>
  <c r="M41" i="45" l="1"/>
  <c r="N41" i="45" s="1"/>
  <c r="M42" i="25"/>
  <c r="N41" i="25"/>
  <c r="H67" i="47"/>
  <c r="I67" i="47" s="1"/>
  <c r="J67" i="47" s="1"/>
  <c r="I66" i="47"/>
  <c r="J66" i="47" s="1"/>
  <c r="AF66" i="47"/>
  <c r="AG65" i="47"/>
  <c r="AH65" i="47" s="1"/>
  <c r="C73" i="15"/>
  <c r="D73" i="15" s="1"/>
  <c r="M42" i="45" l="1"/>
  <c r="N42" i="45" s="1"/>
  <c r="M43" i="25"/>
  <c r="N42" i="25"/>
  <c r="AF67" i="47"/>
  <c r="AG67" i="47" s="1"/>
  <c r="AH67" i="47" s="1"/>
  <c r="AG66" i="47"/>
  <c r="AH66" i="47" s="1"/>
  <c r="C72" i="15"/>
  <c r="D72" i="15" s="1"/>
  <c r="M43" i="45" l="1"/>
  <c r="N43" i="45" s="1"/>
  <c r="M44" i="25"/>
  <c r="N44" i="25" s="1"/>
  <c r="N43" i="25"/>
  <c r="F35" i="43"/>
  <c r="G35" i="43" s="1"/>
  <c r="F36" i="43"/>
  <c r="G36" i="43" s="1"/>
  <c r="F29" i="43"/>
  <c r="G29" i="43" s="1"/>
  <c r="F34" i="43"/>
  <c r="G34" i="43" s="1"/>
  <c r="F28" i="43"/>
  <c r="G28" i="43" s="1"/>
  <c r="F30" i="43"/>
  <c r="G30" i="43" s="1"/>
  <c r="F27" i="43"/>
  <c r="G27" i="43" s="1"/>
  <c r="F33" i="43"/>
  <c r="G33" i="43" s="1"/>
  <c r="F37" i="43"/>
  <c r="G37" i="43" s="1"/>
  <c r="F32" i="43"/>
  <c r="G32" i="43" s="1"/>
  <c r="F38" i="43"/>
  <c r="G38" i="43" s="1"/>
  <c r="F31" i="43"/>
  <c r="G31" i="43" s="1"/>
  <c r="M44" i="45" l="1"/>
  <c r="N44" i="45" s="1"/>
  <c r="L36" i="39"/>
  <c r="M36" i="39" s="1"/>
  <c r="L35" i="39" l="1"/>
  <c r="M35" i="39" s="1"/>
  <c r="L34" i="39" l="1"/>
  <c r="M34" i="39" s="1"/>
  <c r="L33" i="39" l="1"/>
  <c r="M33" i="39" s="1"/>
  <c r="L31" i="39" l="1"/>
  <c r="M31" i="39" s="1"/>
  <c r="L32" i="39"/>
  <c r="M32" i="39" s="1"/>
  <c r="K73" i="47" l="1"/>
  <c r="N73" i="47"/>
  <c r="N74" i="47" l="1"/>
  <c r="K74" i="47"/>
  <c r="K75" i="47" l="1"/>
  <c r="N75" i="47"/>
  <c r="N76" i="47" l="1"/>
  <c r="K76" i="47"/>
  <c r="K77" i="47" l="1"/>
  <c r="N77" i="47"/>
  <c r="N78" i="47" l="1"/>
  <c r="K78" i="47"/>
  <c r="K79" i="47" l="1"/>
  <c r="N79" i="47"/>
  <c r="N80" i="47" l="1"/>
  <c r="K80" i="47"/>
  <c r="E43" i="47" l="1"/>
  <c r="E44" i="47" s="1" a="1"/>
  <c r="E44" i="47" s="1"/>
  <c r="E45" i="47" s="1" a="1"/>
  <c r="E45" i="47" s="1"/>
  <c r="E46" i="47" s="1" a="1"/>
  <c r="E46" i="47" s="1"/>
  <c r="E47" i="47" s="1" a="1"/>
  <c r="E47" i="47" s="1"/>
  <c r="E48" i="47" s="1" a="1"/>
  <c r="E48" i="47" s="1"/>
  <c r="E49" i="47" s="1" a="1"/>
  <c r="E49" i="47" s="1"/>
  <c r="E50" i="47" s="1" a="1"/>
  <c r="E50" i="47" s="1"/>
  <c r="E51" i="47" s="1" a="1"/>
  <c r="E51" i="47" s="1"/>
  <c r="E52" i="47" s="1" a="1"/>
  <c r="E52" i="47" s="1"/>
  <c r="E53" i="47" s="1" a="1"/>
  <c r="E53" i="47" s="1"/>
  <c r="E54" i="47" s="1" a="1"/>
  <c r="E54" i="47" s="1"/>
  <c r="E55" i="47" s="1" a="1"/>
  <c r="E55" i="47" s="1"/>
  <c r="E56" i="47" s="1" a="1"/>
  <c r="E56" i="47" s="1"/>
  <c r="E57" i="47" s="1" a="1"/>
  <c r="E57" i="47" s="1"/>
  <c r="E58" i="47" s="1" a="1"/>
  <c r="E58" i="47" s="1"/>
  <c r="E59" i="47" s="1" a="1"/>
  <c r="E59" i="47" s="1"/>
  <c r="E60" i="47" s="1" a="1"/>
  <c r="E60" i="47" s="1"/>
  <c r="E61" i="47" s="1" a="1"/>
  <c r="E61" i="47" s="1"/>
  <c r="E62" i="47" s="1" a="1"/>
  <c r="E62" i="47" s="1"/>
  <c r="E63" i="47" s="1" a="1"/>
  <c r="E63" i="47" s="1"/>
  <c r="E64" i="47" s="1" a="1"/>
  <c r="E64" i="47" s="1"/>
  <c r="E65" i="47" s="1" a="1"/>
  <c r="E65" i="47" s="1"/>
  <c r="E66" i="47" s="1" a="1"/>
  <c r="E66" i="47" s="1"/>
  <c r="E67" i="47" s="1" a="1"/>
  <c r="E67" i="47" s="1"/>
  <c r="K81" i="47"/>
  <c r="N81" i="47"/>
  <c r="N82" i="47" l="1"/>
  <c r="K82" i="47"/>
  <c r="K83" i="47" l="1"/>
  <c r="N83" i="47"/>
  <c r="N84" i="47" l="1"/>
  <c r="K84" i="47"/>
  <c r="B87" i="46" l="1"/>
  <c r="B87" i="27"/>
  <c r="F46" i="47"/>
  <c r="G46" i="47" s="1"/>
  <c r="K85" i="47"/>
  <c r="N85" i="47"/>
  <c r="N86" i="47" l="1"/>
  <c r="K86" i="47"/>
  <c r="F47" i="47"/>
  <c r="G47" i="47" s="1"/>
  <c r="B88" i="27"/>
  <c r="B88" i="46"/>
  <c r="B89" i="46" l="1"/>
  <c r="B89" i="27"/>
  <c r="F48" i="47"/>
  <c r="G48" i="47" s="1"/>
  <c r="K87" i="47"/>
  <c r="N87" i="47"/>
  <c r="F50" i="47" l="1"/>
  <c r="G50" i="47" s="1"/>
  <c r="N88" i="47"/>
  <c r="K88" i="47"/>
  <c r="F49" i="47"/>
  <c r="G49" i="47" s="1"/>
  <c r="B90" i="27"/>
  <c r="B90" i="46"/>
  <c r="F51" i="47" l="1"/>
  <c r="G51" i="47" s="1"/>
  <c r="B91" i="46"/>
  <c r="B91" i="27"/>
  <c r="K89" i="47"/>
  <c r="N89" i="47"/>
  <c r="F52" i="47" l="1"/>
  <c r="G52" i="47" s="1"/>
  <c r="N90" i="47"/>
  <c r="K90" i="47"/>
  <c r="B92" i="27"/>
  <c r="B92" i="46"/>
  <c r="F53" i="47" l="1"/>
  <c r="G53" i="47" s="1"/>
  <c r="B93" i="46"/>
  <c r="B93" i="27"/>
  <c r="K91" i="47"/>
  <c r="N91" i="47"/>
  <c r="F54" i="47" l="1"/>
  <c r="G54" i="47" s="1"/>
  <c r="N92" i="47"/>
  <c r="K92" i="47"/>
  <c r="B94" i="27"/>
  <c r="B94" i="46"/>
  <c r="F55" i="47" l="1"/>
  <c r="G55" i="47" s="1"/>
  <c r="B95" i="46"/>
  <c r="B95" i="27"/>
  <c r="K93" i="47"/>
  <c r="N93" i="47"/>
  <c r="N94" i="47" l="1"/>
  <c r="K94" i="47"/>
  <c r="B96" i="27"/>
  <c r="B96" i="46"/>
  <c r="K95" i="47" l="1"/>
  <c r="N95" i="47"/>
  <c r="N96" i="47" l="1"/>
  <c r="K96" i="47"/>
  <c r="K97" i="47" l="1"/>
  <c r="N97" i="47"/>
  <c r="B13" i="47" l="1"/>
  <c r="B14" i="47" l="1" a="1"/>
  <c r="B14" i="47" s="1"/>
  <c r="F65" i="47"/>
  <c r="G65" i="47" s="1"/>
  <c r="F67" i="47" l="1"/>
  <c r="G67" i="47" s="1"/>
  <c r="F66" i="47"/>
  <c r="G66" i="47" s="1"/>
  <c r="B15" i="47" a="1"/>
  <c r="B15" i="47" s="1"/>
  <c r="B16" i="47" l="1" a="1"/>
  <c r="B16" i="47" s="1"/>
  <c r="B17" i="47" l="1" a="1"/>
  <c r="B17" i="47" s="1"/>
  <c r="B18" i="47" l="1" a="1"/>
  <c r="B18" i="47" s="1"/>
  <c r="B19" i="47" l="1" a="1"/>
  <c r="B19" i="47" s="1"/>
  <c r="B20" i="47" l="1" a="1"/>
  <c r="B20" i="47" s="1"/>
  <c r="B21" i="47" l="1" a="1"/>
  <c r="B21" i="47" s="1"/>
  <c r="C20" i="47"/>
  <c r="D20" i="47" s="1"/>
  <c r="B22" i="47" l="1" a="1"/>
  <c r="B22" i="47" s="1"/>
  <c r="C21" i="47"/>
  <c r="D21" i="47" s="1"/>
  <c r="B73" i="47" l="1"/>
  <c r="B74" i="47" s="1"/>
  <c r="B75" i="47" s="1"/>
  <c r="B76" i="47" s="1"/>
  <c r="B77" i="47" s="1"/>
  <c r="B23" i="47" a="1"/>
  <c r="B23" i="47" s="1"/>
  <c r="C22" i="47"/>
  <c r="D22" i="47" s="1"/>
  <c r="B24" i="47" l="1" a="1"/>
  <c r="B24" i="47" s="1"/>
  <c r="C23" i="47"/>
  <c r="D23" i="47" s="1"/>
  <c r="B78" i="47"/>
  <c r="B79" i="47" l="1"/>
  <c r="B25" i="47" a="1"/>
  <c r="B25" i="47" s="1"/>
  <c r="C24" i="47"/>
  <c r="D24" i="47" s="1"/>
  <c r="B26" i="47" l="1" a="1"/>
  <c r="B26" i="47" s="1"/>
  <c r="C25" i="47"/>
  <c r="D25" i="47" s="1"/>
  <c r="B80" i="47"/>
  <c r="B81" i="47" l="1"/>
  <c r="B27" i="47" a="1"/>
  <c r="B27" i="47" s="1"/>
  <c r="B28" i="47" s="1" a="1"/>
  <c r="B28" i="47" s="1"/>
  <c r="C26" i="47"/>
  <c r="D26" i="47" s="1"/>
  <c r="C27" i="47" l="1"/>
  <c r="D27" i="47" s="1"/>
  <c r="B82" i="47"/>
  <c r="B83" i="47" l="1"/>
  <c r="B29" i="47" a="1"/>
  <c r="B29" i="47" s="1"/>
  <c r="B30" i="47" s="1" a="1"/>
  <c r="B30" i="47" s="1"/>
  <c r="C28" i="47"/>
  <c r="D28" i="47" s="1"/>
  <c r="C30" i="47" l="1"/>
  <c r="D30" i="47" s="1"/>
  <c r="B31" i="47" a="1"/>
  <c r="B31" i="47" s="1"/>
  <c r="C29" i="47"/>
  <c r="D29" i="47" s="1"/>
  <c r="B84" i="47"/>
  <c r="C31" i="47" l="1"/>
  <c r="D31" i="47" s="1"/>
  <c r="B32" i="47" a="1"/>
  <c r="B32" i="47" s="1"/>
  <c r="B85" i="47"/>
  <c r="C32" i="47" l="1"/>
  <c r="D32" i="47" s="1"/>
  <c r="B33" i="47" a="1"/>
  <c r="B33" i="47" s="1"/>
  <c r="B86" i="47"/>
  <c r="C33" i="47" l="1"/>
  <c r="D33" i="47" s="1"/>
  <c r="B34" i="47" a="1"/>
  <c r="B34" i="47" s="1"/>
  <c r="B87" i="47"/>
  <c r="C34" i="47" l="1"/>
  <c r="D34" i="47" s="1"/>
  <c r="B35" i="47" a="1"/>
  <c r="B35" i="47" s="1"/>
  <c r="B88" i="47"/>
  <c r="B36" i="47" l="1" a="1"/>
  <c r="B36" i="47" s="1"/>
  <c r="C35" i="47"/>
  <c r="D35" i="47" s="1"/>
  <c r="B89" i="47"/>
  <c r="B37" i="47" l="1" a="1"/>
  <c r="B37" i="47" s="1"/>
  <c r="C37" i="47" s="1"/>
  <c r="D37" i="47" s="1"/>
  <c r="C36" i="47"/>
  <c r="D36" i="47" s="1"/>
  <c r="B90" i="47"/>
  <c r="B91" i="47" l="1"/>
  <c r="C91" i="47" l="1"/>
  <c r="D91" i="47" s="1"/>
  <c r="B92" i="47"/>
  <c r="I36" i="39" l="1"/>
  <c r="J36" i="39" s="1"/>
  <c r="O36" i="39"/>
  <c r="P36" i="39" s="1"/>
  <c r="C92" i="47"/>
  <c r="D92" i="47" s="1"/>
  <c r="B93" i="47"/>
  <c r="B94" i="47" s="1"/>
  <c r="C94" i="47" l="1"/>
  <c r="D94" i="47" s="1"/>
  <c r="B95" i="47"/>
  <c r="I35" i="39"/>
  <c r="J35" i="39" s="1"/>
  <c r="O35" i="39"/>
  <c r="P35" i="39" s="1"/>
  <c r="I60" i="39"/>
  <c r="J60" i="39" s="1"/>
  <c r="L60" i="39"/>
  <c r="M60" i="39" s="1"/>
  <c r="O60" i="39"/>
  <c r="P60" i="39" s="1"/>
  <c r="C95" i="47" l="1"/>
  <c r="D95" i="47" s="1"/>
  <c r="B96" i="47"/>
  <c r="I34" i="39"/>
  <c r="J34" i="39" s="1"/>
  <c r="O34" i="39"/>
  <c r="P34" i="39" s="1"/>
  <c r="I59" i="39"/>
  <c r="J59" i="39" s="1"/>
  <c r="L59" i="39"/>
  <c r="M59" i="39" s="1"/>
  <c r="O59" i="39"/>
  <c r="P59" i="39" s="1"/>
  <c r="C96" i="47" l="1"/>
  <c r="D96" i="47" s="1"/>
  <c r="B97" i="47"/>
  <c r="C97" i="47" s="1"/>
  <c r="D97" i="47" s="1"/>
  <c r="I33" i="39"/>
  <c r="J33" i="39" s="1"/>
  <c r="O33" i="39"/>
  <c r="P33" i="39" s="1"/>
  <c r="I58" i="39"/>
  <c r="J58" i="39" s="1"/>
  <c r="L58" i="39"/>
  <c r="M58" i="39" s="1"/>
  <c r="O58" i="39"/>
  <c r="P58" i="39" s="1"/>
  <c r="E104" i="47"/>
  <c r="B104" i="47"/>
  <c r="I32" i="39" l="1"/>
  <c r="J32" i="39" s="1"/>
  <c r="O32" i="39"/>
  <c r="P32" i="39" s="1"/>
  <c r="I57" i="39"/>
  <c r="J57" i="39" s="1"/>
  <c r="L57" i="39"/>
  <c r="M57" i="39" s="1"/>
  <c r="O57" i="39"/>
  <c r="P57" i="39" s="1"/>
  <c r="B105" i="47"/>
  <c r="E105" i="47"/>
  <c r="I31" i="39" l="1"/>
  <c r="J31" i="39" s="1"/>
  <c r="O31" i="39"/>
  <c r="P31" i="39" s="1"/>
  <c r="E106" i="47"/>
  <c r="B106" i="47"/>
  <c r="B107" i="47" l="1"/>
  <c r="C106" i="47"/>
  <c r="D106" i="47" s="1"/>
  <c r="E107" i="47"/>
  <c r="F106" i="47"/>
  <c r="G106" i="47" s="1"/>
  <c r="O29" i="39" l="1"/>
  <c r="P29" i="39" s="1"/>
  <c r="E108" i="47"/>
  <c r="F107" i="47"/>
  <c r="G107" i="47" s="1"/>
  <c r="B108" i="47"/>
  <c r="C107" i="47"/>
  <c r="D107" i="47" s="1"/>
  <c r="B109" i="47" l="1"/>
  <c r="B110" i="47" s="1"/>
  <c r="C110" i="47" s="1"/>
  <c r="D110" i="47" s="1"/>
  <c r="C108" i="47"/>
  <c r="D108" i="47" s="1"/>
  <c r="E109" i="47"/>
  <c r="E110" i="47" s="1"/>
  <c r="F110" i="47" s="1"/>
  <c r="G110" i="47" s="1"/>
  <c r="F108" i="47"/>
  <c r="G108" i="47" s="1"/>
  <c r="F109" i="47" l="1"/>
  <c r="G109" i="47" s="1"/>
  <c r="C109" i="47"/>
  <c r="D109" i="47" s="1"/>
  <c r="H104" i="47"/>
  <c r="H105" i="47" l="1"/>
  <c r="B111" i="47"/>
  <c r="E111" i="47"/>
  <c r="AI104" i="47"/>
  <c r="AI105" i="47" l="1"/>
  <c r="E112" i="47"/>
  <c r="F111" i="47"/>
  <c r="G111" i="47" s="1"/>
  <c r="B112" i="47"/>
  <c r="C111" i="47"/>
  <c r="D111" i="47" s="1"/>
  <c r="H106" i="47"/>
  <c r="H107" i="47" l="1"/>
  <c r="I106" i="47"/>
  <c r="J106" i="47" s="1"/>
  <c r="B113" i="47"/>
  <c r="C112" i="47"/>
  <c r="D112" i="47" s="1"/>
  <c r="E113" i="47"/>
  <c r="F112" i="47"/>
  <c r="G112" i="47" s="1"/>
  <c r="AI106" i="47"/>
  <c r="AI107" i="47" l="1"/>
  <c r="AJ106" i="47"/>
  <c r="AK106" i="47" s="1"/>
  <c r="E114" i="47"/>
  <c r="F113" i="47"/>
  <c r="G113" i="47" s="1"/>
  <c r="B114" i="47"/>
  <c r="C113" i="47"/>
  <c r="D113" i="47" s="1"/>
  <c r="H108" i="47"/>
  <c r="I107" i="47"/>
  <c r="J107" i="47" s="1"/>
  <c r="H109" i="47" l="1"/>
  <c r="H110" i="47" s="1"/>
  <c r="I110" i="47" s="1"/>
  <c r="J110" i="47" s="1"/>
  <c r="I108" i="47"/>
  <c r="J108" i="47" s="1"/>
  <c r="B115" i="47"/>
  <c r="C114" i="47"/>
  <c r="D114" i="47" s="1"/>
  <c r="E115" i="47"/>
  <c r="F114" i="47"/>
  <c r="G114" i="47" s="1"/>
  <c r="AI108" i="47"/>
  <c r="AJ107" i="47"/>
  <c r="AK107" i="47" s="1"/>
  <c r="AI109" i="47" l="1"/>
  <c r="AI110" i="47" s="1"/>
  <c r="AJ110" i="47" s="1"/>
  <c r="AK110" i="47" s="1"/>
  <c r="AJ108" i="47"/>
  <c r="AK108" i="47" s="1"/>
  <c r="E116" i="47"/>
  <c r="B116" i="47"/>
  <c r="I109" i="47"/>
  <c r="J109" i="47" s="1"/>
  <c r="H111" i="47" l="1"/>
  <c r="B117" i="47"/>
  <c r="E117" i="47"/>
  <c r="AJ109" i="47"/>
  <c r="AK109" i="47" s="1"/>
  <c r="AI111" i="47" l="1"/>
  <c r="E118" i="47"/>
  <c r="E119" i="47" s="1"/>
  <c r="B118" i="47"/>
  <c r="B119" i="47" s="1"/>
  <c r="H112" i="47"/>
  <c r="I111" i="47"/>
  <c r="J111" i="47" s="1"/>
  <c r="C119" i="47" l="1"/>
  <c r="D119" i="47" s="1"/>
  <c r="B120" i="47"/>
  <c r="F119" i="47"/>
  <c r="G119" i="47" s="1"/>
  <c r="E120" i="47"/>
  <c r="H113" i="47"/>
  <c r="I112" i="47"/>
  <c r="J112" i="47" s="1"/>
  <c r="AI112" i="47"/>
  <c r="AJ111" i="47"/>
  <c r="AK111" i="47" s="1"/>
  <c r="F120" i="47" l="1"/>
  <c r="G120" i="47" s="1"/>
  <c r="E121" i="47"/>
  <c r="C120" i="47"/>
  <c r="D120" i="47" s="1"/>
  <c r="B121" i="47"/>
  <c r="AI113" i="47"/>
  <c r="AJ112" i="47"/>
  <c r="AK112" i="47" s="1"/>
  <c r="H114" i="47"/>
  <c r="I113" i="47"/>
  <c r="J113" i="47" s="1"/>
  <c r="C121" i="47" l="1"/>
  <c r="D121" i="47" s="1"/>
  <c r="B122" i="47"/>
  <c r="F121" i="47"/>
  <c r="G121" i="47" s="1"/>
  <c r="E122" i="47"/>
  <c r="H115" i="47"/>
  <c r="I114" i="47"/>
  <c r="J114" i="47" s="1"/>
  <c r="AI114" i="47"/>
  <c r="AJ113" i="47"/>
  <c r="AK113" i="47" s="1"/>
  <c r="F122" i="47" l="1"/>
  <c r="G122" i="47" s="1"/>
  <c r="E123" i="47"/>
  <c r="F123" i="47" s="1"/>
  <c r="G123" i="47" s="1"/>
  <c r="C122" i="47"/>
  <c r="D122" i="47" s="1"/>
  <c r="B123" i="47"/>
  <c r="C123" i="47" s="1"/>
  <c r="D123" i="47" s="1"/>
  <c r="AI115" i="47"/>
  <c r="AJ114" i="47"/>
  <c r="AK114" i="47" s="1"/>
  <c r="H116" i="47"/>
  <c r="H117" i="47" l="1"/>
  <c r="AI116" i="47"/>
  <c r="AI117" i="47" l="1"/>
  <c r="H118" i="47"/>
  <c r="H119" i="47" s="1"/>
  <c r="I119" i="47" l="1"/>
  <c r="J119" i="47" s="1"/>
  <c r="H120" i="47"/>
  <c r="AI118" i="47"/>
  <c r="AI119" i="47" s="1"/>
  <c r="AJ119" i="47" l="1"/>
  <c r="AK119" i="47" s="1"/>
  <c r="AI120" i="47"/>
  <c r="I120" i="47"/>
  <c r="J120" i="47" s="1"/>
  <c r="H121" i="47"/>
  <c r="I121" i="47" l="1"/>
  <c r="J121" i="47" s="1"/>
  <c r="H122" i="47"/>
  <c r="AJ120" i="47"/>
  <c r="AK120" i="47" s="1"/>
  <c r="AI121" i="47"/>
  <c r="C88" i="46"/>
  <c r="C88" i="27"/>
  <c r="D89" i="27"/>
  <c r="D89" i="46"/>
  <c r="D92" i="46"/>
  <c r="D92" i="27"/>
  <c r="D88" i="46"/>
  <c r="D88" i="27"/>
  <c r="D91" i="27"/>
  <c r="D91" i="46"/>
  <c r="D93" i="27"/>
  <c r="D93" i="46"/>
  <c r="D95" i="27"/>
  <c r="D95" i="46"/>
  <c r="E87" i="27"/>
  <c r="E87" i="46"/>
  <c r="E95" i="27"/>
  <c r="E95" i="46"/>
  <c r="E88" i="46"/>
  <c r="E88" i="27"/>
  <c r="E94" i="46"/>
  <c r="E94" i="27"/>
  <c r="C91" i="27"/>
  <c r="C91" i="46"/>
  <c r="C95" i="27"/>
  <c r="C95" i="46"/>
  <c r="AJ121" i="47" l="1"/>
  <c r="AK121" i="47" s="1"/>
  <c r="AI122" i="47"/>
  <c r="I122" i="47"/>
  <c r="J122" i="47" s="1"/>
  <c r="H123" i="47"/>
  <c r="I123" i="47" s="1"/>
  <c r="J123" i="47" s="1"/>
  <c r="C94" i="46"/>
  <c r="C94" i="27"/>
  <c r="C90" i="46"/>
  <c r="C90" i="27"/>
  <c r="C92" i="46"/>
  <c r="C92" i="27"/>
  <c r="C89" i="27"/>
  <c r="C89" i="46"/>
  <c r="C96" i="46"/>
  <c r="C96" i="27"/>
  <c r="C93" i="27"/>
  <c r="C93" i="46"/>
  <c r="D87" i="27"/>
  <c r="D87" i="46"/>
  <c r="D94" i="46"/>
  <c r="D94" i="27"/>
  <c r="D96" i="46"/>
  <c r="D96" i="27"/>
  <c r="D90" i="46"/>
  <c r="D90" i="27"/>
  <c r="E89" i="27"/>
  <c r="E89" i="46"/>
  <c r="E91" i="27"/>
  <c r="E91" i="46"/>
  <c r="E96" i="46"/>
  <c r="E96" i="27"/>
  <c r="E93" i="27"/>
  <c r="E93" i="46"/>
  <c r="E90" i="46"/>
  <c r="E90" i="27"/>
  <c r="E92" i="46"/>
  <c r="E92" i="27"/>
  <c r="C87" i="27"/>
  <c r="C87" i="46"/>
  <c r="AJ122" i="47" l="1"/>
  <c r="AK122" i="47" s="1"/>
  <c r="AI123" i="47"/>
  <c r="AJ123" i="47" s="1"/>
  <c r="AK123" i="47" s="1"/>
  <c r="T13" i="47"/>
  <c r="T14" i="47" l="1"/>
  <c r="T15" i="47" l="1"/>
  <c r="T16" i="47" l="1"/>
  <c r="T17" i="47" l="1"/>
  <c r="T18" i="47" l="1"/>
  <c r="T19" i="47" l="1"/>
  <c r="T20" i="47" l="1"/>
  <c r="U19" i="47"/>
  <c r="V19" i="47" s="1"/>
  <c r="T21" i="47" l="1"/>
  <c r="U20" i="47"/>
  <c r="V20" i="47" s="1"/>
  <c r="T22" i="47" l="1"/>
  <c r="U21" i="47"/>
  <c r="V21" i="47" s="1"/>
  <c r="T23" i="47" l="1"/>
  <c r="U22" i="47"/>
  <c r="V22" i="47" s="1"/>
  <c r="T24" i="47" l="1"/>
  <c r="U23" i="47"/>
  <c r="V23" i="47" s="1"/>
  <c r="T25" i="47" l="1"/>
  <c r="U24" i="47"/>
  <c r="V24" i="47" s="1"/>
  <c r="T26" i="47" l="1"/>
  <c r="U25" i="47"/>
  <c r="V25" i="47" s="1"/>
  <c r="T27" i="47" l="1"/>
  <c r="T28" i="47" l="1"/>
  <c r="T29" i="47" l="1"/>
  <c r="T30" i="47" s="1"/>
  <c r="U30" i="47" l="1"/>
  <c r="V30" i="47" s="1"/>
  <c r="T31" i="47"/>
  <c r="U31" i="47" l="1"/>
  <c r="V31" i="47" s="1"/>
  <c r="T32" i="47"/>
  <c r="U32" i="47" l="1"/>
  <c r="V32" i="47" s="1"/>
  <c r="T33" i="47"/>
  <c r="U33" i="47" l="1"/>
  <c r="V33" i="47" s="1"/>
  <c r="T34" i="47"/>
  <c r="F61" i="47"/>
  <c r="G61" i="47" s="1"/>
  <c r="U34" i="47" l="1"/>
  <c r="V34" i="47" s="1"/>
  <c r="T35" i="47"/>
  <c r="T36" i="47" s="1"/>
  <c r="T37" i="47" s="1"/>
  <c r="F29" i="39"/>
  <c r="G29" i="39" s="1"/>
  <c r="F31" i="39" l="1"/>
  <c r="G31" i="39" s="1"/>
  <c r="F32" i="39" l="1"/>
  <c r="G32" i="39" s="1"/>
  <c r="F55" i="39"/>
  <c r="G55" i="39" s="1"/>
  <c r="F33" i="39" l="1"/>
  <c r="G33" i="39" s="1"/>
  <c r="F56" i="39"/>
  <c r="G56" i="39" s="1"/>
  <c r="F57" i="39" l="1"/>
  <c r="G57" i="39" s="1"/>
  <c r="F58" i="39" l="1"/>
  <c r="G58" i="39" s="1"/>
  <c r="F34" i="39"/>
  <c r="G34" i="39" s="1"/>
  <c r="F59" i="39" l="1"/>
  <c r="G59" i="39" s="1"/>
  <c r="W13" i="47"/>
  <c r="W14" i="47" l="1"/>
  <c r="Q13" i="47"/>
  <c r="K13" i="47"/>
  <c r="K14" i="47" l="1"/>
  <c r="Q14" i="47"/>
  <c r="W15" i="47"/>
  <c r="AI13" i="47"/>
  <c r="AC13" i="47"/>
  <c r="AC14" i="47" l="1"/>
  <c r="AI14" i="47"/>
  <c r="W16" i="47"/>
  <c r="Q15" i="47"/>
  <c r="K15" i="47"/>
  <c r="K16" i="47" l="1"/>
  <c r="Q16" i="47"/>
  <c r="W17" i="47"/>
  <c r="AI15" i="47"/>
  <c r="AC15" i="47"/>
  <c r="AC16" i="47" l="1"/>
  <c r="AI16" i="47"/>
  <c r="W18" i="47"/>
  <c r="X17" i="47"/>
  <c r="Y17" i="47" s="1"/>
  <c r="Q17" i="47"/>
  <c r="K17" i="47"/>
  <c r="K18" i="47" l="1"/>
  <c r="Q18" i="47"/>
  <c r="R17" i="47"/>
  <c r="S17" i="47" s="1"/>
  <c r="W19" i="47"/>
  <c r="X18" i="47"/>
  <c r="Y18" i="47" s="1"/>
  <c r="AI17" i="47"/>
  <c r="AC17" i="47"/>
  <c r="AD16" i="47"/>
  <c r="AE16" i="47" s="1"/>
  <c r="E13" i="47"/>
  <c r="E14" i="47" s="1" a="1"/>
  <c r="E14" i="47" s="1"/>
  <c r="E15" i="47" s="1" a="1"/>
  <c r="E15" i="47" s="1"/>
  <c r="E16" i="47" s="1" a="1"/>
  <c r="E16" i="47" s="1"/>
  <c r="E17" i="47" s="1" a="1"/>
  <c r="E17" i="47" s="1"/>
  <c r="E18" i="47" s="1" a="1"/>
  <c r="E18" i="47" s="1"/>
  <c r="E19" i="47" s="1" a="1"/>
  <c r="E19" i="47" s="1"/>
  <c r="E20" i="47" s="1" a="1"/>
  <c r="E20" i="47" s="1"/>
  <c r="E21" i="47" s="1" a="1"/>
  <c r="E21" i="47" s="1"/>
  <c r="E22" i="47" s="1" a="1"/>
  <c r="E22" i="47" s="1"/>
  <c r="E23" i="47" s="1" a="1"/>
  <c r="E23" i="47" s="1"/>
  <c r="E24" i="47" s="1" a="1"/>
  <c r="E24" i="47" s="1"/>
  <c r="E25" i="47" s="1" a="1"/>
  <c r="E25" i="47" s="1"/>
  <c r="E26" i="47" s="1" a="1"/>
  <c r="E26" i="47" s="1"/>
  <c r="E27" i="47" s="1" a="1"/>
  <c r="E27" i="47" s="1"/>
  <c r="E28" i="47" l="1" a="1"/>
  <c r="E28" i="47" s="1"/>
  <c r="E29" i="47" s="1" a="1"/>
  <c r="E29" i="47" s="1"/>
  <c r="E30" i="47" s="1" a="1"/>
  <c r="E30" i="47" s="1"/>
  <c r="E31" i="47" s="1" a="1"/>
  <c r="E31" i="47" s="1"/>
  <c r="E32" i="47" s="1" a="1"/>
  <c r="E32" i="47" s="1"/>
  <c r="E33" i="47" s="1" a="1"/>
  <c r="E33" i="47" s="1"/>
  <c r="E34" i="47" s="1" a="1"/>
  <c r="E34" i="47" s="1"/>
  <c r="E35" i="47" s="1" a="1"/>
  <c r="E35" i="47" s="1"/>
  <c r="E36" i="47" s="1" a="1"/>
  <c r="E36" i="47" s="1"/>
  <c r="E37" i="47" s="1" a="1"/>
  <c r="E37" i="47" s="1"/>
  <c r="F27" i="47"/>
  <c r="G27" i="47" s="1"/>
  <c r="AC18" i="47"/>
  <c r="AD17" i="47"/>
  <c r="AE17" i="47" s="1"/>
  <c r="AI18" i="47"/>
  <c r="AJ17" i="47"/>
  <c r="AK17" i="47" s="1"/>
  <c r="W20" i="47"/>
  <c r="X19" i="47"/>
  <c r="Y19" i="47" s="1"/>
  <c r="Q19" i="47"/>
  <c r="R18" i="47"/>
  <c r="S18" i="47" s="1"/>
  <c r="K19" i="47"/>
  <c r="K20" i="47" l="1"/>
  <c r="Q20" i="47"/>
  <c r="R19" i="47"/>
  <c r="S19" i="47" s="1"/>
  <c r="W21" i="47"/>
  <c r="X20" i="47"/>
  <c r="Y20" i="47" s="1"/>
  <c r="AI19" i="47"/>
  <c r="AJ18" i="47"/>
  <c r="AK18" i="47" s="1"/>
  <c r="AC19" i="47"/>
  <c r="AD18" i="47"/>
  <c r="AE18" i="47" s="1"/>
  <c r="AC20" i="47" l="1"/>
  <c r="AD19" i="47"/>
  <c r="AE19" i="47" s="1"/>
  <c r="AI20" i="47"/>
  <c r="AJ19" i="47"/>
  <c r="AK19" i="47" s="1"/>
  <c r="W22" i="47"/>
  <c r="X21" i="47"/>
  <c r="Y21" i="47" s="1"/>
  <c r="Q21" i="47"/>
  <c r="R20" i="47"/>
  <c r="S20" i="47" s="1"/>
  <c r="K21" i="47"/>
  <c r="K22" i="47" l="1"/>
  <c r="Q22" i="47"/>
  <c r="R21" i="47"/>
  <c r="S21" i="47" s="1"/>
  <c r="W23" i="47"/>
  <c r="X22" i="47"/>
  <c r="Y22" i="47" s="1"/>
  <c r="AI21" i="47"/>
  <c r="AJ20" i="47"/>
  <c r="AK20" i="47" s="1"/>
  <c r="AC21" i="47"/>
  <c r="AD20" i="47"/>
  <c r="AE20" i="47" s="1"/>
  <c r="AC22" i="47" l="1"/>
  <c r="AD21" i="47"/>
  <c r="AE21" i="47" s="1"/>
  <c r="AI22" i="47"/>
  <c r="AJ21" i="47"/>
  <c r="AK21" i="47" s="1"/>
  <c r="W24" i="47"/>
  <c r="X23" i="47"/>
  <c r="Y23" i="47" s="1"/>
  <c r="Q23" i="47"/>
  <c r="R22" i="47"/>
  <c r="S22" i="47" s="1"/>
  <c r="K23" i="47"/>
  <c r="K24" i="47" l="1"/>
  <c r="L23" i="47"/>
  <c r="M23" i="47" s="1"/>
  <c r="Q24" i="47"/>
  <c r="R23" i="47"/>
  <c r="S23" i="47" s="1"/>
  <c r="W25" i="47"/>
  <c r="AI23" i="47"/>
  <c r="AJ22" i="47"/>
  <c r="AK22" i="47" s="1"/>
  <c r="AC23" i="47"/>
  <c r="AD22" i="47"/>
  <c r="AE22" i="47" s="1"/>
  <c r="F19" i="47" l="1"/>
  <c r="G19" i="47" s="1"/>
  <c r="AC24" i="47"/>
  <c r="AD23" i="47"/>
  <c r="AE23" i="47" s="1"/>
  <c r="AI24" i="47"/>
  <c r="AJ23" i="47"/>
  <c r="AK23" i="47" s="1"/>
  <c r="W26" i="47"/>
  <c r="Q25" i="47"/>
  <c r="K25" i="47"/>
  <c r="L24" i="47"/>
  <c r="M24" i="47" s="1"/>
  <c r="K26" i="47" l="1"/>
  <c r="L25" i="47"/>
  <c r="M25" i="47" s="1"/>
  <c r="Q26" i="47"/>
  <c r="W27" i="47"/>
  <c r="AI25" i="47"/>
  <c r="AJ24" i="47"/>
  <c r="AK24" i="47" s="1"/>
  <c r="AC25" i="47"/>
  <c r="F20" i="47"/>
  <c r="G20" i="47" s="1"/>
  <c r="F21" i="47" l="1"/>
  <c r="G21" i="47" s="1"/>
  <c r="AC26" i="47"/>
  <c r="AI26" i="47"/>
  <c r="AJ25" i="47"/>
  <c r="AK25" i="47" s="1"/>
  <c r="W28" i="47"/>
  <c r="Q27" i="47"/>
  <c r="K27" i="47"/>
  <c r="L26" i="47"/>
  <c r="M26" i="47" s="1"/>
  <c r="K28" i="47" l="1"/>
  <c r="L27" i="47"/>
  <c r="M27" i="47" s="1"/>
  <c r="Q28" i="47"/>
  <c r="W29" i="47"/>
  <c r="W30" i="47" s="1"/>
  <c r="AI27" i="47"/>
  <c r="AJ26" i="47"/>
  <c r="AK26" i="47" s="1"/>
  <c r="AC27" i="47"/>
  <c r="F22" i="47"/>
  <c r="G22" i="47" s="1"/>
  <c r="X30" i="47" l="1"/>
  <c r="Y30" i="47" s="1"/>
  <c r="W31" i="47"/>
  <c r="F23" i="47"/>
  <c r="G23" i="47" s="1"/>
  <c r="AC28" i="47"/>
  <c r="AI28" i="47"/>
  <c r="AJ27" i="47"/>
  <c r="AK27" i="47" s="1"/>
  <c r="Q29" i="47"/>
  <c r="Q30" i="47" s="1"/>
  <c r="K29" i="47"/>
  <c r="K30" i="47" s="1"/>
  <c r="L28" i="47"/>
  <c r="M28" i="47" s="1"/>
  <c r="L30" i="47" l="1"/>
  <c r="M30" i="47" s="1"/>
  <c r="K31" i="47"/>
  <c r="R30" i="47"/>
  <c r="S30" i="47" s="1"/>
  <c r="Q31" i="47"/>
  <c r="X31" i="47"/>
  <c r="Y31" i="47" s="1"/>
  <c r="W32" i="47"/>
  <c r="L29" i="47"/>
  <c r="M29" i="47" s="1"/>
  <c r="AI29" i="47"/>
  <c r="AI30" i="47" s="1"/>
  <c r="AJ28" i="47"/>
  <c r="AK28" i="47" s="1"/>
  <c r="AC29" i="47"/>
  <c r="AC30" i="47" s="1"/>
  <c r="F24" i="47"/>
  <c r="G24" i="47" s="1"/>
  <c r="AD30" i="47" l="1"/>
  <c r="AE30" i="47" s="1"/>
  <c r="AC31" i="47"/>
  <c r="AJ30" i="47"/>
  <c r="AK30" i="47" s="1"/>
  <c r="AI31" i="47"/>
  <c r="X32" i="47"/>
  <c r="Y32" i="47" s="1"/>
  <c r="W33" i="47"/>
  <c r="R31" i="47"/>
  <c r="S31" i="47" s="1"/>
  <c r="Q32" i="47"/>
  <c r="L31" i="47"/>
  <c r="M31" i="47" s="1"/>
  <c r="K32" i="47"/>
  <c r="F25" i="47"/>
  <c r="G25" i="47" s="1"/>
  <c r="AJ29" i="47"/>
  <c r="AK29" i="47" s="1"/>
  <c r="L32" i="47" l="1"/>
  <c r="M32" i="47" s="1"/>
  <c r="K33" i="47"/>
  <c r="R32" i="47"/>
  <c r="S32" i="47" s="1"/>
  <c r="Q33" i="47"/>
  <c r="X33" i="47"/>
  <c r="Y33" i="47" s="1"/>
  <c r="W34" i="47"/>
  <c r="AJ31" i="47"/>
  <c r="AK31" i="47" s="1"/>
  <c r="AI32" i="47"/>
  <c r="AD31" i="47"/>
  <c r="AE31" i="47" s="1"/>
  <c r="AC32" i="47"/>
  <c r="F26" i="47"/>
  <c r="G26" i="47" s="1"/>
  <c r="AD32" i="47" l="1"/>
  <c r="AE32" i="47" s="1"/>
  <c r="AC33" i="47"/>
  <c r="AJ32" i="47"/>
  <c r="AK32" i="47" s="1"/>
  <c r="AI33" i="47"/>
  <c r="X34" i="47"/>
  <c r="Y34" i="47" s="1"/>
  <c r="W35" i="47"/>
  <c r="W36" i="47" s="1"/>
  <c r="W37" i="47" s="1"/>
  <c r="R33" i="47"/>
  <c r="S33" i="47" s="1"/>
  <c r="Q34" i="47"/>
  <c r="L33" i="47"/>
  <c r="M33" i="47" s="1"/>
  <c r="K34" i="47"/>
  <c r="F28" i="47"/>
  <c r="G28" i="47" s="1"/>
  <c r="F30" i="47" l="1"/>
  <c r="G30" i="47" s="1"/>
  <c r="L34" i="47"/>
  <c r="M34" i="47" s="1"/>
  <c r="K35" i="47"/>
  <c r="K36" i="47" s="1"/>
  <c r="K37" i="47" s="1"/>
  <c r="R34" i="47"/>
  <c r="S34" i="47" s="1"/>
  <c r="Q35" i="47"/>
  <c r="Q36" i="47" s="1"/>
  <c r="Q37" i="47" s="1"/>
  <c r="AJ33" i="47"/>
  <c r="AK33" i="47" s="1"/>
  <c r="AI34" i="47"/>
  <c r="AD33" i="47"/>
  <c r="AE33" i="47" s="1"/>
  <c r="AC34" i="47"/>
  <c r="F29" i="47"/>
  <c r="G29" i="47" s="1"/>
  <c r="AD34" i="47" l="1"/>
  <c r="AE34" i="47" s="1"/>
  <c r="AC35" i="47"/>
  <c r="AC36" i="47" s="1"/>
  <c r="AC37" i="47" s="1"/>
  <c r="AJ34" i="47"/>
  <c r="AK34" i="47" s="1"/>
  <c r="AI35" i="47"/>
  <c r="F31" i="47"/>
  <c r="G31" i="47" s="1"/>
  <c r="F32" i="47" l="1"/>
  <c r="G32" i="47" s="1"/>
  <c r="AI36" i="47"/>
  <c r="AJ35" i="47"/>
  <c r="AK35" i="47" s="1"/>
  <c r="AI37" i="47" l="1"/>
  <c r="AJ37" i="47" s="1"/>
  <c r="AK37" i="47" s="1"/>
  <c r="AJ36" i="47"/>
  <c r="AK36" i="47" s="1"/>
  <c r="F33" i="47"/>
  <c r="G33" i="47" s="1"/>
  <c r="F34" i="47" l="1"/>
  <c r="G34" i="47" s="1"/>
  <c r="AF13" i="47"/>
  <c r="F35" i="47" l="1"/>
  <c r="G35" i="47" s="1"/>
  <c r="AF14" i="47"/>
  <c r="F37" i="47" l="1"/>
  <c r="G37" i="47" s="1"/>
  <c r="F36" i="47"/>
  <c r="G36" i="47" s="1"/>
  <c r="AF15" i="47"/>
  <c r="AF16" i="47" l="1"/>
  <c r="AF17" i="47" l="1"/>
  <c r="AF18" i="47" l="1"/>
  <c r="AG17" i="47"/>
  <c r="AH17" i="47" s="1"/>
  <c r="AF19" i="47" l="1"/>
  <c r="AG18" i="47"/>
  <c r="AH18" i="47" s="1"/>
  <c r="AF20" i="47" l="1"/>
  <c r="AG19" i="47"/>
  <c r="AH19" i="47" s="1"/>
  <c r="AF21" i="47" l="1"/>
  <c r="AG20" i="47"/>
  <c r="AH20" i="47" s="1"/>
  <c r="AF22" i="47" l="1"/>
  <c r="AG21" i="47"/>
  <c r="AH21" i="47" s="1"/>
  <c r="AF23" i="47" l="1"/>
  <c r="AG22" i="47"/>
  <c r="AH22" i="47" s="1"/>
  <c r="AF24" i="47" l="1"/>
  <c r="AG23" i="47"/>
  <c r="AH23" i="47" s="1"/>
  <c r="AF25" i="47" l="1"/>
  <c r="AG24" i="47"/>
  <c r="AH24" i="47" s="1"/>
  <c r="AF26" i="47" l="1"/>
  <c r="AG25" i="47"/>
  <c r="AH25" i="47" s="1"/>
  <c r="AF27" i="47" l="1"/>
  <c r="AG26" i="47"/>
  <c r="AH26" i="47" s="1"/>
  <c r="AF28" i="47" l="1"/>
  <c r="AG27" i="47"/>
  <c r="AH27" i="47" s="1"/>
  <c r="AF29" i="47" l="1"/>
  <c r="AF30" i="47" s="1"/>
  <c r="AG30" i="47" l="1"/>
  <c r="AH30" i="47" s="1"/>
  <c r="AF31" i="47"/>
  <c r="AG31" i="47" l="1"/>
  <c r="AH31" i="47" s="1"/>
  <c r="AF32" i="47"/>
  <c r="AG32" i="47" l="1"/>
  <c r="AH32" i="47" s="1"/>
  <c r="AF33" i="47"/>
  <c r="AG33" i="47" l="1"/>
  <c r="AH33" i="47" s="1"/>
  <c r="AF34" i="47"/>
  <c r="N13" i="47"/>
  <c r="AG34" i="47" l="1"/>
  <c r="AH34" i="47" s="1"/>
  <c r="AF35" i="47"/>
  <c r="AF36" i="47" s="1"/>
  <c r="AF37" i="47" s="1"/>
  <c r="N14" i="47"/>
  <c r="Z13" i="47"/>
  <c r="Z14" i="47" l="1"/>
  <c r="N15" i="47"/>
  <c r="N16" i="47" l="1"/>
  <c r="O15" i="47"/>
  <c r="P15" i="47" s="1"/>
  <c r="Z15" i="47"/>
  <c r="Z16" i="47" l="1"/>
  <c r="AA15" i="47"/>
  <c r="AB15" i="47" s="1"/>
  <c r="N17" i="47"/>
  <c r="O16" i="47"/>
  <c r="P16" i="47" s="1"/>
  <c r="N18" i="47" l="1"/>
  <c r="O17" i="47"/>
  <c r="P17" i="47" s="1"/>
  <c r="Z17" i="47"/>
  <c r="AA16" i="47"/>
  <c r="AB16" i="47" s="1"/>
  <c r="Z18" i="47" l="1"/>
  <c r="AA17" i="47"/>
  <c r="AB17" i="47" s="1"/>
  <c r="N19" i="47"/>
  <c r="O18" i="47"/>
  <c r="P18" i="47" s="1"/>
  <c r="N20" i="47" l="1"/>
  <c r="O19" i="47"/>
  <c r="P19" i="47" s="1"/>
  <c r="Z19" i="47"/>
  <c r="AA18" i="47"/>
  <c r="AB18" i="47" s="1"/>
  <c r="Z20" i="47" l="1"/>
  <c r="AA19" i="47"/>
  <c r="AB19" i="47" s="1"/>
  <c r="N21" i="47"/>
  <c r="O20" i="47"/>
  <c r="P20" i="47" s="1"/>
  <c r="N22" i="47" l="1"/>
  <c r="O21" i="47"/>
  <c r="P21" i="47" s="1"/>
  <c r="Z21" i="47"/>
  <c r="AA20" i="47"/>
  <c r="AB20" i="47" s="1"/>
  <c r="O35" i="15" l="1"/>
  <c r="P35" i="15" s="1"/>
  <c r="Z22" i="47"/>
  <c r="AA21" i="47"/>
  <c r="AB21" i="47" s="1"/>
  <c r="N23" i="47"/>
  <c r="O22" i="47"/>
  <c r="P22" i="47" s="1"/>
  <c r="O34" i="15" l="1"/>
  <c r="P34" i="15" s="1"/>
  <c r="N24" i="47"/>
  <c r="Z23" i="47"/>
  <c r="AA22" i="47"/>
  <c r="AB22" i="47" s="1"/>
  <c r="O33" i="15" l="1"/>
  <c r="P33" i="15" s="1"/>
  <c r="Z24" i="47"/>
  <c r="AA23" i="47"/>
  <c r="AB23" i="47" s="1"/>
  <c r="N25" i="47"/>
  <c r="O32" i="15" l="1"/>
  <c r="P32" i="15" s="1"/>
  <c r="N26" i="47"/>
  <c r="Z25" i="47"/>
  <c r="AA24" i="47"/>
  <c r="AB24" i="47" s="1"/>
  <c r="Z26" i="47" l="1"/>
  <c r="N27" i="47"/>
  <c r="O24" i="15" l="1"/>
  <c r="P24" i="15" s="1"/>
  <c r="N28" i="47"/>
  <c r="Z27" i="47"/>
  <c r="O23" i="15" l="1"/>
  <c r="P23" i="15" s="1"/>
  <c r="Z28" i="47"/>
  <c r="N29" i="47"/>
  <c r="N30" i="47" s="1"/>
  <c r="O30" i="47" l="1"/>
  <c r="P30" i="47" s="1"/>
  <c r="N31" i="47"/>
  <c r="Z29" i="47"/>
  <c r="Z30" i="47" s="1"/>
  <c r="AA30" i="47" l="1"/>
  <c r="AB30" i="47" s="1"/>
  <c r="Z31" i="47"/>
  <c r="O31" i="47"/>
  <c r="P31" i="47" s="1"/>
  <c r="N32" i="47"/>
  <c r="O32" i="47" l="1"/>
  <c r="P32" i="47" s="1"/>
  <c r="N33" i="47"/>
  <c r="AA31" i="47"/>
  <c r="AB31" i="47" s="1"/>
  <c r="Z32" i="47"/>
  <c r="AA32" i="47" l="1"/>
  <c r="AB32" i="47" s="1"/>
  <c r="Z33" i="47"/>
  <c r="O33" i="47"/>
  <c r="P33" i="47" s="1"/>
  <c r="N34" i="47"/>
  <c r="O34" i="47" l="1"/>
  <c r="P34" i="47" s="1"/>
  <c r="N35" i="47"/>
  <c r="N36" i="47" s="1"/>
  <c r="N37" i="47" s="1"/>
  <c r="AA33" i="47"/>
  <c r="AB33" i="47" s="1"/>
  <c r="Z34" i="47"/>
  <c r="AA34" i="47" l="1"/>
  <c r="AB34" i="47" s="1"/>
  <c r="Z35" i="47"/>
  <c r="Z36" i="47" s="1"/>
  <c r="Z37" i="47" s="1"/>
  <c r="I35" i="15"/>
  <c r="J35" i="15" s="1"/>
  <c r="I34" i="15" l="1"/>
  <c r="J34" i="15" s="1"/>
  <c r="I33" i="15" l="1"/>
  <c r="J33" i="15" s="1"/>
  <c r="I32" i="15" l="1"/>
  <c r="J32" i="15" s="1"/>
  <c r="I24" i="15" l="1"/>
  <c r="J24" i="15" s="1"/>
  <c r="I23" i="15" l="1"/>
  <c r="J23" i="15" s="1"/>
  <c r="T43" i="47" l="1"/>
  <c r="T44" i="47" l="1"/>
  <c r="E73" i="47" l="1"/>
  <c r="N43" i="47"/>
  <c r="T45" i="47"/>
  <c r="T46" i="47" l="1"/>
  <c r="U45" i="47"/>
  <c r="V45" i="47" s="1"/>
  <c r="N44" i="47"/>
  <c r="E74" i="47"/>
  <c r="E75" i="47" l="1"/>
  <c r="N45" i="47"/>
  <c r="T47" i="47"/>
  <c r="U46" i="47"/>
  <c r="V46" i="47" s="1"/>
  <c r="T48" i="47" l="1"/>
  <c r="U47" i="47"/>
  <c r="V47" i="47" s="1"/>
  <c r="N46" i="47"/>
  <c r="E76" i="47"/>
  <c r="E77" i="47" l="1"/>
  <c r="N47" i="47"/>
  <c r="T49" i="47"/>
  <c r="T50" i="47" s="1"/>
  <c r="U48" i="47"/>
  <c r="V48" i="47" s="1"/>
  <c r="U50" i="47" l="1"/>
  <c r="V50" i="47" s="1"/>
  <c r="T51" i="47"/>
  <c r="U49" i="47"/>
  <c r="V49" i="47" s="1"/>
  <c r="N48" i="47"/>
  <c r="E78" i="47"/>
  <c r="U51" i="47" l="1"/>
  <c r="V51" i="47" s="1"/>
  <c r="T52" i="47"/>
  <c r="E79" i="47"/>
  <c r="N49" i="47"/>
  <c r="N50" i="47" s="1"/>
  <c r="O50" i="47" l="1"/>
  <c r="P50" i="47" s="1"/>
  <c r="N51" i="47"/>
  <c r="U52" i="47"/>
  <c r="V52" i="47" s="1"/>
  <c r="T53" i="47"/>
  <c r="O49" i="47"/>
  <c r="P49" i="47" s="1"/>
  <c r="E80" i="47"/>
  <c r="F79" i="47"/>
  <c r="G79" i="47" s="1"/>
  <c r="U53" i="47" l="1"/>
  <c r="V53" i="47" s="1"/>
  <c r="T54" i="47"/>
  <c r="O51" i="47"/>
  <c r="P51" i="47" s="1"/>
  <c r="N52" i="47"/>
  <c r="E81" i="47"/>
  <c r="F80" i="47"/>
  <c r="G80" i="47" s="1"/>
  <c r="O52" i="47" l="1"/>
  <c r="P52" i="47" s="1"/>
  <c r="N53" i="47"/>
  <c r="U54" i="47"/>
  <c r="V54" i="47" s="1"/>
  <c r="T55" i="47"/>
  <c r="E82" i="47"/>
  <c r="F81" i="47"/>
  <c r="G81" i="47" s="1"/>
  <c r="T56" i="47" l="1"/>
  <c r="U55" i="47"/>
  <c r="V55" i="47" s="1"/>
  <c r="O53" i="47"/>
  <c r="P53" i="47" s="1"/>
  <c r="N54" i="47"/>
  <c r="E83" i="47"/>
  <c r="F82" i="47"/>
  <c r="G82" i="47" s="1"/>
  <c r="O54" i="47" l="1"/>
  <c r="P54" i="47" s="1"/>
  <c r="N55" i="47"/>
  <c r="T57" i="47"/>
  <c r="U56" i="47"/>
  <c r="V56" i="47" s="1"/>
  <c r="E84" i="47"/>
  <c r="F83" i="47"/>
  <c r="G83" i="47" s="1"/>
  <c r="T58" i="47" l="1"/>
  <c r="U57" i="47"/>
  <c r="V57" i="47" s="1"/>
  <c r="N56" i="47"/>
  <c r="O55" i="47"/>
  <c r="P55" i="47" s="1"/>
  <c r="E85" i="47"/>
  <c r="F84" i="47"/>
  <c r="G84" i="47" s="1"/>
  <c r="N57" i="47" l="1"/>
  <c r="O56" i="47"/>
  <c r="P56" i="47" s="1"/>
  <c r="T59" i="47"/>
  <c r="U58" i="47"/>
  <c r="V58" i="47" s="1"/>
  <c r="E86" i="47"/>
  <c r="F85" i="47"/>
  <c r="G85" i="47" s="1"/>
  <c r="U59" i="47" l="1"/>
  <c r="V59" i="47" s="1"/>
  <c r="T60" i="47"/>
  <c r="N58" i="47"/>
  <c r="O57" i="47"/>
  <c r="P57" i="47" s="1"/>
  <c r="E87" i="47"/>
  <c r="F86" i="47"/>
  <c r="G86" i="47" s="1"/>
  <c r="N59" i="47" l="1"/>
  <c r="O58" i="47"/>
  <c r="P58" i="47" s="1"/>
  <c r="T61" i="47"/>
  <c r="U60" i="47"/>
  <c r="V60" i="47" s="1"/>
  <c r="E88" i="47"/>
  <c r="F87" i="47"/>
  <c r="G87" i="47" s="1"/>
  <c r="U61" i="47" l="1"/>
  <c r="V61" i="47" s="1"/>
  <c r="T62" i="47"/>
  <c r="N60" i="47"/>
  <c r="O59" i="47"/>
  <c r="P59" i="47" s="1"/>
  <c r="E89" i="47"/>
  <c r="F88" i="47"/>
  <c r="G88" i="47" s="1"/>
  <c r="N61" i="47" l="1"/>
  <c r="O60" i="47"/>
  <c r="P60" i="47" s="1"/>
  <c r="T63" i="47"/>
  <c r="U62" i="47"/>
  <c r="V62" i="47" s="1"/>
  <c r="E90" i="47"/>
  <c r="F89" i="47"/>
  <c r="G89" i="47" s="1"/>
  <c r="T64" i="47" l="1"/>
  <c r="U63" i="47"/>
  <c r="V63" i="47" s="1"/>
  <c r="N62" i="47"/>
  <c r="O61" i="47"/>
  <c r="P61" i="47" s="1"/>
  <c r="E91" i="47"/>
  <c r="F90" i="47"/>
  <c r="G90" i="47" s="1"/>
  <c r="N63" i="47" l="1"/>
  <c r="O62" i="47"/>
  <c r="P62" i="47" s="1"/>
  <c r="T65" i="47"/>
  <c r="U64" i="47"/>
  <c r="V64" i="47" s="1"/>
  <c r="F91" i="47"/>
  <c r="G91" i="47" s="1"/>
  <c r="E92" i="47"/>
  <c r="T66" i="47" l="1"/>
  <c r="U65" i="47"/>
  <c r="V65" i="47" s="1"/>
  <c r="N64" i="47"/>
  <c r="O63" i="47"/>
  <c r="P63" i="47" s="1"/>
  <c r="I55" i="15"/>
  <c r="J55" i="15" s="1"/>
  <c r="F92" i="47"/>
  <c r="G92" i="47" s="1"/>
  <c r="E93" i="47"/>
  <c r="N65" i="47" l="1"/>
  <c r="O64" i="47"/>
  <c r="P64" i="47" s="1"/>
  <c r="T67" i="47"/>
  <c r="U67" i="47" s="1"/>
  <c r="V67" i="47" s="1"/>
  <c r="U66" i="47"/>
  <c r="V66" i="47" s="1"/>
  <c r="I54" i="15"/>
  <c r="J54" i="15" s="1"/>
  <c r="F93" i="47"/>
  <c r="G93" i="47" s="1"/>
  <c r="E94" i="47"/>
  <c r="O65" i="47" l="1"/>
  <c r="P65" i="47" s="1"/>
  <c r="N66" i="47"/>
  <c r="I53" i="15"/>
  <c r="J53" i="15" s="1"/>
  <c r="F94" i="47"/>
  <c r="G94" i="47" s="1"/>
  <c r="E95" i="47"/>
  <c r="N67" i="47" l="1"/>
  <c r="O67" i="47" s="1"/>
  <c r="P67" i="47" s="1"/>
  <c r="O66" i="47"/>
  <c r="P66" i="47" s="1"/>
  <c r="I52" i="15"/>
  <c r="J52" i="15" s="1"/>
  <c r="F95" i="47"/>
  <c r="G95" i="47" s="1"/>
  <c r="E96" i="47"/>
  <c r="F96" i="47" l="1"/>
  <c r="G96" i="47" s="1"/>
  <c r="E97" i="47"/>
  <c r="F97" i="47" s="1"/>
  <c r="G97" i="47" s="1"/>
  <c r="C46" i="15" l="1"/>
  <c r="D46" i="15" s="1"/>
  <c r="U104" i="47" l="1"/>
  <c r="U105" i="47" l="1"/>
  <c r="W43" i="47"/>
  <c r="W44" i="47" l="1"/>
  <c r="U106" i="47"/>
  <c r="AI43" i="47"/>
  <c r="Z43" i="47"/>
  <c r="Z44" i="47" l="1"/>
  <c r="AI44" i="47"/>
  <c r="O104" i="47"/>
  <c r="U107" i="47"/>
  <c r="V106" i="47"/>
  <c r="W106" i="47" s="1"/>
  <c r="W45" i="47"/>
  <c r="W46" i="47" l="1"/>
  <c r="X45" i="47"/>
  <c r="Y45" i="47" s="1"/>
  <c r="U108" i="47"/>
  <c r="V107" i="47"/>
  <c r="W107" i="47" s="1"/>
  <c r="O105" i="47"/>
  <c r="AI45" i="47"/>
  <c r="Z45" i="47"/>
  <c r="Z46" i="47" l="1"/>
  <c r="AI46" i="47"/>
  <c r="AJ45" i="47"/>
  <c r="AK45" i="47" s="1"/>
  <c r="O106" i="47"/>
  <c r="U109" i="47"/>
  <c r="U110" i="47" s="1"/>
  <c r="V110" i="47" s="1"/>
  <c r="W110" i="47" s="1"/>
  <c r="V108" i="47"/>
  <c r="W108" i="47" s="1"/>
  <c r="W47" i="47"/>
  <c r="X46" i="47"/>
  <c r="Y46" i="47" s="1"/>
  <c r="AF104" i="47"/>
  <c r="AC104" i="47"/>
  <c r="AC105" i="47" l="1"/>
  <c r="AF105" i="47"/>
  <c r="W48" i="47"/>
  <c r="X47" i="47"/>
  <c r="Y47" i="47" s="1"/>
  <c r="R104" i="47"/>
  <c r="V109" i="47"/>
  <c r="W109" i="47" s="1"/>
  <c r="O107" i="47"/>
  <c r="P106" i="47"/>
  <c r="Q106" i="47" s="1"/>
  <c r="AI47" i="47"/>
  <c r="AJ46" i="47"/>
  <c r="AK46" i="47" s="1"/>
  <c r="Z47" i="47"/>
  <c r="AA46" i="47"/>
  <c r="AB46" i="47" s="1"/>
  <c r="Z48" i="47" l="1"/>
  <c r="AA47" i="47"/>
  <c r="AB47" i="47" s="1"/>
  <c r="AI48" i="47"/>
  <c r="AJ47" i="47"/>
  <c r="AK47" i="47" s="1"/>
  <c r="O108" i="47"/>
  <c r="P107" i="47"/>
  <c r="Q107" i="47" s="1"/>
  <c r="U111" i="47"/>
  <c r="R105" i="47"/>
  <c r="W49" i="47"/>
  <c r="W50" i="47" s="1"/>
  <c r="X48" i="47"/>
  <c r="Y48" i="47" s="1"/>
  <c r="AF106" i="47"/>
  <c r="AC106" i="47"/>
  <c r="AC43" i="47"/>
  <c r="X50" i="47" l="1"/>
  <c r="Y50" i="47" s="1"/>
  <c r="W51" i="47"/>
  <c r="AC44" i="47"/>
  <c r="AC107" i="47"/>
  <c r="AD106" i="47"/>
  <c r="AE106" i="47" s="1"/>
  <c r="AF107" i="47"/>
  <c r="AG106" i="47"/>
  <c r="AH106" i="47" s="1"/>
  <c r="X49" i="47"/>
  <c r="Y49" i="47" s="1"/>
  <c r="R106" i="47"/>
  <c r="U112" i="47"/>
  <c r="V111" i="47"/>
  <c r="W111" i="47" s="1"/>
  <c r="O109" i="47"/>
  <c r="O110" i="47" s="1"/>
  <c r="P110" i="47" s="1"/>
  <c r="Q110" i="47" s="1"/>
  <c r="P108" i="47"/>
  <c r="Q108" i="47" s="1"/>
  <c r="AI49" i="47"/>
  <c r="AI50" i="47" s="1"/>
  <c r="AJ48" i="47"/>
  <c r="AK48" i="47" s="1"/>
  <c r="Z49" i="47"/>
  <c r="Z50" i="47" s="1"/>
  <c r="AA48" i="47"/>
  <c r="AB48" i="47" s="1"/>
  <c r="AA50" i="47" l="1"/>
  <c r="AB50" i="47" s="1"/>
  <c r="Z51" i="47"/>
  <c r="AJ50" i="47"/>
  <c r="AK50" i="47" s="1"/>
  <c r="AI51" i="47"/>
  <c r="X51" i="47"/>
  <c r="Y51" i="47" s="1"/>
  <c r="W52" i="47"/>
  <c r="AA49" i="47"/>
  <c r="AB49" i="47" s="1"/>
  <c r="AJ49" i="47"/>
  <c r="AK49" i="47" s="1"/>
  <c r="P109" i="47"/>
  <c r="Q109" i="47" s="1"/>
  <c r="U113" i="47"/>
  <c r="V112" i="47"/>
  <c r="W112" i="47" s="1"/>
  <c r="R107" i="47"/>
  <c r="S106" i="47"/>
  <c r="T106" i="47" s="1"/>
  <c r="AF108" i="47"/>
  <c r="AG107" i="47"/>
  <c r="AH107" i="47" s="1"/>
  <c r="AC108" i="47"/>
  <c r="AD107" i="47"/>
  <c r="AE107" i="47" s="1"/>
  <c r="AC45" i="47"/>
  <c r="X52" i="47" l="1"/>
  <c r="Y52" i="47" s="1"/>
  <c r="W53" i="47"/>
  <c r="AJ51" i="47"/>
  <c r="AK51" i="47" s="1"/>
  <c r="AI52" i="47"/>
  <c r="AA51" i="47"/>
  <c r="AB51" i="47" s="1"/>
  <c r="Z52" i="47"/>
  <c r="AC46" i="47"/>
  <c r="AC109" i="47"/>
  <c r="AC110" i="47" s="1"/>
  <c r="AD110" i="47" s="1"/>
  <c r="AE110" i="47" s="1"/>
  <c r="AD108" i="47"/>
  <c r="AE108" i="47" s="1"/>
  <c r="AF109" i="47"/>
  <c r="AF110" i="47" s="1"/>
  <c r="AG110" i="47" s="1"/>
  <c r="AH110" i="47" s="1"/>
  <c r="AG108" i="47"/>
  <c r="AH108" i="47" s="1"/>
  <c r="R108" i="47"/>
  <c r="S107" i="47"/>
  <c r="T107" i="47" s="1"/>
  <c r="U114" i="47"/>
  <c r="V113" i="47"/>
  <c r="W113" i="47" s="1"/>
  <c r="O111" i="47"/>
  <c r="AA52" i="47" l="1"/>
  <c r="AB52" i="47" s="1"/>
  <c r="Z53" i="47"/>
  <c r="AJ52" i="47"/>
  <c r="AK52" i="47" s="1"/>
  <c r="AI53" i="47"/>
  <c r="X53" i="47"/>
  <c r="Y53" i="47" s="1"/>
  <c r="W54" i="47"/>
  <c r="O112" i="47"/>
  <c r="P111" i="47"/>
  <c r="Q111" i="47" s="1"/>
  <c r="U115" i="47"/>
  <c r="V114" i="47"/>
  <c r="W114" i="47" s="1"/>
  <c r="R109" i="47"/>
  <c r="R110" i="47" s="1"/>
  <c r="S110" i="47" s="1"/>
  <c r="T110" i="47" s="1"/>
  <c r="S108" i="47"/>
  <c r="T108" i="47" s="1"/>
  <c r="AG109" i="47"/>
  <c r="AH109" i="47" s="1"/>
  <c r="AD109" i="47"/>
  <c r="AE109" i="47" s="1"/>
  <c r="AC47" i="47"/>
  <c r="AD46" i="47"/>
  <c r="AE46" i="47" s="1"/>
  <c r="X54" i="47" l="1"/>
  <c r="Y54" i="47" s="1"/>
  <c r="W55" i="47"/>
  <c r="AJ53" i="47"/>
  <c r="AK53" i="47" s="1"/>
  <c r="AI54" i="47"/>
  <c r="AA53" i="47"/>
  <c r="AB53" i="47" s="1"/>
  <c r="Z54" i="47"/>
  <c r="AC48" i="47"/>
  <c r="AD47" i="47"/>
  <c r="AE47" i="47" s="1"/>
  <c r="AC111" i="47"/>
  <c r="AF111" i="47"/>
  <c r="S109" i="47"/>
  <c r="T109" i="47" s="1"/>
  <c r="U116" i="47"/>
  <c r="O113" i="47"/>
  <c r="P112" i="47"/>
  <c r="Q112" i="47" s="1"/>
  <c r="AA54" i="47" l="1"/>
  <c r="AB54" i="47" s="1"/>
  <c r="Z55" i="47"/>
  <c r="AJ54" i="47"/>
  <c r="AK54" i="47" s="1"/>
  <c r="AI55" i="47"/>
  <c r="W56" i="47"/>
  <c r="X55" i="47"/>
  <c r="Y55" i="47" s="1"/>
  <c r="O114" i="47"/>
  <c r="P113" i="47"/>
  <c r="Q113" i="47" s="1"/>
  <c r="U117" i="47"/>
  <c r="R111" i="47"/>
  <c r="AF112" i="47"/>
  <c r="AG111" i="47"/>
  <c r="AH111" i="47" s="1"/>
  <c r="AC112" i="47"/>
  <c r="AD111" i="47"/>
  <c r="AE111" i="47" s="1"/>
  <c r="AC49" i="47"/>
  <c r="AC50" i="47" s="1"/>
  <c r="AD48" i="47"/>
  <c r="AE48" i="47" s="1"/>
  <c r="AD50" i="47" l="1"/>
  <c r="AE50" i="47" s="1"/>
  <c r="AC51" i="47"/>
  <c r="W57" i="47"/>
  <c r="X56" i="47"/>
  <c r="Y56" i="47" s="1"/>
  <c r="AI56" i="47"/>
  <c r="AJ55" i="47"/>
  <c r="AK55" i="47" s="1"/>
  <c r="Z56" i="47"/>
  <c r="AA55" i="47"/>
  <c r="AB55" i="47" s="1"/>
  <c r="AD49" i="47"/>
  <c r="AE49" i="47" s="1"/>
  <c r="AC113" i="47"/>
  <c r="AD112" i="47"/>
  <c r="AE112" i="47" s="1"/>
  <c r="AF113" i="47"/>
  <c r="AG112" i="47"/>
  <c r="AH112" i="47" s="1"/>
  <c r="R112" i="47"/>
  <c r="S111" i="47"/>
  <c r="T111" i="47" s="1"/>
  <c r="U118" i="47"/>
  <c r="U119" i="47" s="1"/>
  <c r="O115" i="47"/>
  <c r="P114" i="47"/>
  <c r="Q114" i="47" s="1"/>
  <c r="Z57" i="47" l="1"/>
  <c r="AA56" i="47"/>
  <c r="AB56" i="47" s="1"/>
  <c r="AI57" i="47"/>
  <c r="AJ56" i="47"/>
  <c r="AK56" i="47" s="1"/>
  <c r="W58" i="47"/>
  <c r="X57" i="47"/>
  <c r="Y57" i="47" s="1"/>
  <c r="AD51" i="47"/>
  <c r="AE51" i="47" s="1"/>
  <c r="AC52" i="47"/>
  <c r="V119" i="47"/>
  <c r="W119" i="47" s="1"/>
  <c r="U120" i="47"/>
  <c r="O116" i="47"/>
  <c r="P115" i="47"/>
  <c r="Q115" i="47" s="1"/>
  <c r="R113" i="47"/>
  <c r="S112" i="47"/>
  <c r="T112" i="47" s="1"/>
  <c r="AF114" i="47"/>
  <c r="AG113" i="47"/>
  <c r="AH113" i="47" s="1"/>
  <c r="AC114" i="47"/>
  <c r="AD113" i="47"/>
  <c r="AE113" i="47" s="1"/>
  <c r="AD52" i="47" l="1"/>
  <c r="AE52" i="47" s="1"/>
  <c r="AC53" i="47"/>
  <c r="W59" i="47"/>
  <c r="X58" i="47"/>
  <c r="Y58" i="47" s="1"/>
  <c r="AI58" i="47"/>
  <c r="AJ57" i="47"/>
  <c r="AK57" i="47" s="1"/>
  <c r="Z58" i="47"/>
  <c r="AA57" i="47"/>
  <c r="AB57" i="47" s="1"/>
  <c r="V120" i="47"/>
  <c r="W120" i="47" s="1"/>
  <c r="U121" i="47"/>
  <c r="AC115" i="47"/>
  <c r="AD114" i="47"/>
  <c r="AE114" i="47" s="1"/>
  <c r="AF115" i="47"/>
  <c r="R114" i="47"/>
  <c r="S113" i="47"/>
  <c r="T113" i="47" s="1"/>
  <c r="P116" i="47"/>
  <c r="Q116" i="47" s="1"/>
  <c r="O117" i="47"/>
  <c r="Z59" i="47" l="1"/>
  <c r="AA58" i="47"/>
  <c r="AB58" i="47" s="1"/>
  <c r="AI59" i="47"/>
  <c r="AJ58" i="47"/>
  <c r="AK58" i="47" s="1"/>
  <c r="X59" i="47"/>
  <c r="Y59" i="47" s="1"/>
  <c r="W60" i="47"/>
  <c r="AD53" i="47"/>
  <c r="AE53" i="47" s="1"/>
  <c r="AC54" i="47"/>
  <c r="V121" i="47"/>
  <c r="W121" i="47" s="1"/>
  <c r="U122" i="47"/>
  <c r="O118" i="47"/>
  <c r="O119" i="47" s="1"/>
  <c r="R115" i="47"/>
  <c r="S114" i="47"/>
  <c r="T114" i="47" s="1"/>
  <c r="AF116" i="47"/>
  <c r="AC116" i="47"/>
  <c r="AD54" i="47" l="1"/>
  <c r="AE54" i="47" s="1"/>
  <c r="AC55" i="47"/>
  <c r="X60" i="47"/>
  <c r="Y60" i="47" s="1"/>
  <c r="W61" i="47"/>
  <c r="AJ59" i="47"/>
  <c r="AK59" i="47" s="1"/>
  <c r="AI60" i="47"/>
  <c r="Z60" i="47"/>
  <c r="AA59" i="47"/>
  <c r="AB59" i="47" s="1"/>
  <c r="P119" i="47"/>
  <c r="Q119" i="47" s="1"/>
  <c r="O120" i="47"/>
  <c r="V122" i="47"/>
  <c r="W122" i="47" s="1"/>
  <c r="U123" i="47"/>
  <c r="V123" i="47" s="1"/>
  <c r="W123" i="47" s="1"/>
  <c r="AC117" i="47"/>
  <c r="AF117" i="47"/>
  <c r="R116" i="47"/>
  <c r="Z61" i="47" l="1"/>
  <c r="AA60" i="47"/>
  <c r="AB60" i="47" s="1"/>
  <c r="AJ60" i="47"/>
  <c r="AK60" i="47" s="1"/>
  <c r="AI61" i="47"/>
  <c r="X61" i="47"/>
  <c r="Y61" i="47" s="1"/>
  <c r="W62" i="47"/>
  <c r="AC56" i="47"/>
  <c r="AD55" i="47"/>
  <c r="AE55" i="47" s="1"/>
  <c r="P120" i="47"/>
  <c r="Q120" i="47" s="1"/>
  <c r="O121" i="47"/>
  <c r="R117" i="47"/>
  <c r="AF118" i="47"/>
  <c r="AF119" i="47" s="1"/>
  <c r="AC118" i="47"/>
  <c r="AC119" i="47" s="1"/>
  <c r="AC57" i="47" l="1"/>
  <c r="AD56" i="47"/>
  <c r="AE56" i="47" s="1"/>
  <c r="X62" i="47"/>
  <c r="Y62" i="47" s="1"/>
  <c r="W63" i="47"/>
  <c r="W64" i="47" s="1"/>
  <c r="W65" i="47" s="1"/>
  <c r="AJ61" i="47"/>
  <c r="AK61" i="47" s="1"/>
  <c r="AI62" i="47"/>
  <c r="Z62" i="47"/>
  <c r="AA61" i="47"/>
  <c r="AB61" i="47" s="1"/>
  <c r="AD119" i="47"/>
  <c r="AE119" i="47" s="1"/>
  <c r="AC120" i="47"/>
  <c r="AG119" i="47"/>
  <c r="AH119" i="47" s="1"/>
  <c r="AF120" i="47"/>
  <c r="P121" i="47"/>
  <c r="Q121" i="47" s="1"/>
  <c r="O122" i="47"/>
  <c r="W66" i="47"/>
  <c r="R118" i="47"/>
  <c r="R119" i="47" s="1"/>
  <c r="Z63" i="47" l="1"/>
  <c r="AA62" i="47"/>
  <c r="AB62" i="47" s="1"/>
  <c r="AJ62" i="47"/>
  <c r="AK62" i="47" s="1"/>
  <c r="AI63" i="47"/>
  <c r="AI64" i="47" s="1"/>
  <c r="AI65" i="47" s="1"/>
  <c r="AC58" i="47"/>
  <c r="AD57" i="47"/>
  <c r="AE57" i="47" s="1"/>
  <c r="S119" i="47"/>
  <c r="T119" i="47" s="1"/>
  <c r="R120" i="47"/>
  <c r="P122" i="47"/>
  <c r="Q122" i="47" s="1"/>
  <c r="O123" i="47"/>
  <c r="P123" i="47" s="1"/>
  <c r="Q123" i="47" s="1"/>
  <c r="AG120" i="47"/>
  <c r="AH120" i="47" s="1"/>
  <c r="AF121" i="47"/>
  <c r="AD120" i="47"/>
  <c r="AE120" i="47" s="1"/>
  <c r="AC121" i="47"/>
  <c r="C46" i="25"/>
  <c r="AI66" i="47"/>
  <c r="W67" i="47"/>
  <c r="AC59" i="47" l="1"/>
  <c r="AD58" i="47"/>
  <c r="AE58" i="47" s="1"/>
  <c r="Z64" i="47"/>
  <c r="AA63" i="47"/>
  <c r="AB63" i="47" s="1"/>
  <c r="AD121" i="47"/>
  <c r="AE121" i="47" s="1"/>
  <c r="AC122" i="47"/>
  <c r="AG121" i="47"/>
  <c r="AH121" i="47" s="1"/>
  <c r="AF122" i="47"/>
  <c r="S120" i="47"/>
  <c r="T120" i="47" s="1"/>
  <c r="R121" i="47"/>
  <c r="AI67" i="47"/>
  <c r="Z65" i="47" l="1"/>
  <c r="AA64" i="47"/>
  <c r="AB64" i="47" s="1"/>
  <c r="AC60" i="47"/>
  <c r="AC61" i="47" s="1"/>
  <c r="AC62" i="47" s="1"/>
  <c r="AD59" i="47"/>
  <c r="AE59" i="47" s="1"/>
  <c r="S121" i="47"/>
  <c r="T121" i="47" s="1"/>
  <c r="R122" i="47"/>
  <c r="AG122" i="47"/>
  <c r="AH122" i="47" s="1"/>
  <c r="AF123" i="47"/>
  <c r="AG123" i="47" s="1"/>
  <c r="AH123" i="47" s="1"/>
  <c r="AD122" i="47"/>
  <c r="AE122" i="47" s="1"/>
  <c r="AC123" i="47"/>
  <c r="AD123" i="47" s="1"/>
  <c r="AE123" i="47" s="1"/>
  <c r="AC63" i="47"/>
  <c r="Z66" i="47" l="1"/>
  <c r="AA65" i="47"/>
  <c r="AB65" i="47" s="1"/>
  <c r="S122" i="47"/>
  <c r="T122" i="47" s="1"/>
  <c r="R123" i="47"/>
  <c r="S123" i="47" s="1"/>
  <c r="T123" i="47" s="1"/>
  <c r="AC64" i="47"/>
  <c r="Z67" i="47" l="1"/>
  <c r="AA67" i="47" s="1"/>
  <c r="AB67" i="47" s="1"/>
  <c r="AA66" i="47"/>
  <c r="AB66" i="47" s="1"/>
  <c r="AC65" i="47"/>
  <c r="AC66" i="47" l="1"/>
  <c r="AC67" i="47" l="1"/>
  <c r="AG105" i="47" l="1"/>
  <c r="AH105" i="47" s="1"/>
  <c r="AD105" i="47"/>
  <c r="AE105" i="47" s="1"/>
  <c r="AG114" i="47"/>
  <c r="AH114" i="47" s="1"/>
  <c r="AD118" i="47" l="1"/>
  <c r="AE118" i="47" s="1"/>
  <c r="AG115" i="47"/>
  <c r="AH115" i="47" s="1"/>
  <c r="AD104" i="47"/>
  <c r="AE104" i="47" s="1"/>
  <c r="AG104" i="47"/>
  <c r="AH104" i="47" s="1"/>
  <c r="AD115" i="47"/>
  <c r="AE115" i="47" s="1"/>
  <c r="AD116" i="47" l="1"/>
  <c r="AE116" i="47" s="1"/>
  <c r="AG118" i="47"/>
  <c r="AH118" i="47" s="1"/>
  <c r="AG116" i="47"/>
  <c r="AH116" i="47" s="1"/>
  <c r="AG117" i="47"/>
  <c r="AH117" i="47" s="1"/>
  <c r="AD117" i="47"/>
  <c r="AE117" i="47" s="1"/>
  <c r="AJ104" i="47" l="1"/>
  <c r="AK104" i="47" s="1"/>
  <c r="AJ105" i="47"/>
  <c r="AK105" i="47" s="1"/>
  <c r="AJ117" i="47" l="1"/>
  <c r="AK117" i="47" s="1"/>
  <c r="AJ118" i="47"/>
  <c r="AK118" i="47" s="1"/>
  <c r="AJ116" i="47" l="1"/>
  <c r="AK116" i="47" s="1"/>
  <c r="AJ115" i="47"/>
  <c r="AK115" i="47" s="1"/>
  <c r="F16" i="47" l="1"/>
  <c r="G16" i="47" s="1"/>
  <c r="C15" i="47"/>
  <c r="D15" i="47" s="1"/>
  <c r="C16" i="47"/>
  <c r="D16" i="47" s="1"/>
  <c r="C18" i="47"/>
  <c r="D18" i="47" s="1"/>
  <c r="C19" i="47"/>
  <c r="D19" i="47" s="1"/>
  <c r="I37" i="15" l="1"/>
  <c r="J37" i="15" s="1"/>
  <c r="I36" i="15" l="1"/>
  <c r="J36" i="15" s="1"/>
  <c r="I63" i="15" l="1"/>
  <c r="J63" i="15" s="1"/>
  <c r="O37" i="15" l="1"/>
  <c r="P37" i="15" s="1"/>
  <c r="I62" i="15"/>
  <c r="J62" i="15" s="1"/>
  <c r="O36" i="15" l="1"/>
  <c r="P36" i="15" s="1"/>
  <c r="V104" i="47" l="1"/>
  <c r="W104" i="47" s="1"/>
  <c r="S104" i="47"/>
  <c r="T104" i="47" s="1"/>
  <c r="V105" i="47" l="1"/>
  <c r="W105" i="47" s="1"/>
  <c r="S105" i="47" l="1"/>
  <c r="T105" i="47" s="1"/>
  <c r="S115" i="47" l="1"/>
  <c r="T115" i="47" s="1"/>
  <c r="V115" i="47" l="1"/>
  <c r="W115" i="47" s="1"/>
  <c r="V116" i="47" l="1"/>
  <c r="W116" i="47" s="1"/>
  <c r="S116" i="47"/>
  <c r="T116" i="47" s="1"/>
  <c r="L29" i="39" l="1"/>
  <c r="M29" i="39" s="1"/>
  <c r="V117" i="47"/>
  <c r="W117" i="47" s="1"/>
  <c r="S117" i="47"/>
  <c r="T117" i="47" s="1"/>
  <c r="S118" i="47" l="1"/>
  <c r="T118" i="47" s="1"/>
  <c r="V118" i="47"/>
  <c r="W118" i="47" s="1"/>
  <c r="L20" i="39" l="1"/>
  <c r="M20" i="39" s="1"/>
  <c r="O20" i="39" l="1"/>
  <c r="P20" i="39" s="1"/>
  <c r="O97" i="47" l="1"/>
  <c r="P97" i="47" s="1"/>
  <c r="R14" i="47" l="1"/>
  <c r="S14" i="47" s="1"/>
  <c r="R13" i="47"/>
  <c r="S13" i="47" s="1"/>
  <c r="O96" i="47" l="1"/>
  <c r="P96" i="47" s="1"/>
  <c r="X37" i="47"/>
  <c r="Y37" i="47" s="1"/>
  <c r="R16" i="47"/>
  <c r="S16" i="47" s="1"/>
  <c r="X16" i="47"/>
  <c r="Y16" i="47" s="1"/>
  <c r="O75" i="47"/>
  <c r="P75" i="47" s="1"/>
  <c r="O79" i="47"/>
  <c r="P79" i="47" s="1"/>
  <c r="U14" i="47"/>
  <c r="V14" i="47" s="1"/>
  <c r="R43" i="47"/>
  <c r="S43" i="47" s="1"/>
  <c r="O14" i="47"/>
  <c r="P14" i="47" s="1"/>
  <c r="O13" i="47"/>
  <c r="P13" i="47" s="1"/>
  <c r="R15" i="47"/>
  <c r="S15" i="47" s="1"/>
  <c r="R66" i="47"/>
  <c r="S66" i="47" s="1"/>
  <c r="O93" i="47"/>
  <c r="P93" i="47" s="1"/>
  <c r="R46" i="47"/>
  <c r="S46" i="47" s="1"/>
  <c r="R45" i="47"/>
  <c r="S45" i="47" s="1"/>
  <c r="U17" i="47"/>
  <c r="V17" i="47" s="1"/>
  <c r="O78" i="47"/>
  <c r="P78" i="47" s="1"/>
  <c r="U13" i="47"/>
  <c r="V13" i="47" s="1"/>
  <c r="O94" i="47"/>
  <c r="P94" i="47" s="1"/>
  <c r="U43" i="47"/>
  <c r="V43" i="47" s="1"/>
  <c r="X13" i="47"/>
  <c r="Y13" i="47" s="1"/>
  <c r="O76" i="47"/>
  <c r="P76" i="47" s="1"/>
  <c r="R47" i="47"/>
  <c r="S47" i="47" s="1"/>
  <c r="O73" i="47"/>
  <c r="P73" i="47" s="1"/>
  <c r="O77" i="47"/>
  <c r="P77" i="47" s="1"/>
  <c r="X14" i="47"/>
  <c r="Y14" i="47" s="1"/>
  <c r="O74" i="47"/>
  <c r="P74" i="47" s="1"/>
  <c r="U18" i="47"/>
  <c r="V18" i="47" s="1"/>
  <c r="R67" i="47"/>
  <c r="S67" i="47" s="1"/>
  <c r="R64" i="47"/>
  <c r="S64" i="47" s="1"/>
  <c r="X43" i="47"/>
  <c r="Y43" i="47" s="1"/>
  <c r="U16" i="47"/>
  <c r="V16" i="47" s="1"/>
  <c r="U15" i="47"/>
  <c r="V15" i="47" s="1"/>
  <c r="U44" i="47"/>
  <c r="V44" i="47" s="1"/>
  <c r="R44" i="47"/>
  <c r="S44" i="47" s="1"/>
  <c r="R65" i="47"/>
  <c r="S65" i="47" s="1"/>
  <c r="X44" i="47"/>
  <c r="Y44" i="47" s="1"/>
  <c r="X15" i="47"/>
  <c r="Y15" i="47" s="1"/>
  <c r="O92" i="47" l="1"/>
  <c r="P92" i="47" s="1"/>
  <c r="O95" i="47"/>
  <c r="P95" i="47" s="1"/>
  <c r="O36" i="47"/>
  <c r="P36" i="47" s="1"/>
  <c r="R29" i="47"/>
  <c r="S29" i="47" s="1"/>
  <c r="F78" i="47"/>
  <c r="G78" i="47" s="1"/>
  <c r="O48" i="47"/>
  <c r="P48" i="47" s="1"/>
  <c r="U29" i="47"/>
  <c r="V29" i="47" s="1"/>
  <c r="O26" i="47"/>
  <c r="P26" i="47" s="1"/>
  <c r="X25" i="47"/>
  <c r="Y25" i="47" s="1"/>
  <c r="O25" i="47"/>
  <c r="P25" i="47" s="1"/>
  <c r="O28" i="47"/>
  <c r="P28" i="47" s="1"/>
  <c r="R24" i="47"/>
  <c r="S24" i="47" s="1"/>
  <c r="U26" i="47"/>
  <c r="V26" i="47" s="1"/>
  <c r="O45" i="47"/>
  <c r="P45" i="47" s="1"/>
  <c r="F75" i="47"/>
  <c r="G75" i="47" s="1"/>
  <c r="R55" i="47"/>
  <c r="S55" i="47" s="1"/>
  <c r="O82" i="47"/>
  <c r="P82" i="47" s="1"/>
  <c r="X26" i="47"/>
  <c r="Y26" i="47" s="1"/>
  <c r="O37" i="47"/>
  <c r="P37" i="47" s="1"/>
  <c r="O35" i="47"/>
  <c r="P35" i="47" s="1"/>
  <c r="R63" i="47"/>
  <c r="S63" i="47" s="1"/>
  <c r="R49" i="47"/>
  <c r="S49" i="47" s="1"/>
  <c r="X63" i="47"/>
  <c r="Y63" i="47" s="1"/>
  <c r="U37" i="47"/>
  <c r="V37" i="47" s="1"/>
  <c r="R35" i="47"/>
  <c r="S35" i="47" s="1"/>
  <c r="R26" i="47"/>
  <c r="S26" i="47" s="1"/>
  <c r="O24" i="47"/>
  <c r="P24" i="47" s="1"/>
  <c r="U27" i="47"/>
  <c r="V27" i="47" s="1"/>
  <c r="U36" i="47"/>
  <c r="V36" i="47" s="1"/>
  <c r="F74" i="47"/>
  <c r="G74" i="47" s="1"/>
  <c r="O44" i="47"/>
  <c r="P44" i="47" s="1"/>
  <c r="X67" i="47"/>
  <c r="Y67" i="47" s="1"/>
  <c r="X24" i="47"/>
  <c r="Y24" i="47" s="1"/>
  <c r="R37" i="47"/>
  <c r="S37" i="47" s="1"/>
  <c r="X36" i="47"/>
  <c r="Y36" i="47" s="1"/>
  <c r="U28" i="47"/>
  <c r="V28" i="47" s="1"/>
  <c r="R27" i="47"/>
  <c r="S27" i="47" s="1"/>
  <c r="O80" i="47"/>
  <c r="P80" i="47" s="1"/>
  <c r="O84" i="47"/>
  <c r="P84" i="47" s="1"/>
  <c r="X29" i="47"/>
  <c r="Y29" i="47" s="1"/>
  <c r="O91" i="47"/>
  <c r="P91" i="47" s="1"/>
  <c r="R28" i="47"/>
  <c r="S28" i="47" s="1"/>
  <c r="R36" i="47"/>
  <c r="S36" i="47" s="1"/>
  <c r="O29" i="47"/>
  <c r="P29" i="47" s="1"/>
  <c r="O90" i="47"/>
  <c r="P90" i="47" s="1"/>
  <c r="O85" i="47"/>
  <c r="P85" i="47" s="1"/>
  <c r="X27" i="47"/>
  <c r="Y27" i="47" s="1"/>
  <c r="F76" i="47"/>
  <c r="G76" i="47" s="1"/>
  <c r="O46" i="47"/>
  <c r="P46" i="47" s="1"/>
  <c r="X65" i="47"/>
  <c r="Y65" i="47" s="1"/>
  <c r="O88" i="47"/>
  <c r="P88" i="47" s="1"/>
  <c r="O43" i="47"/>
  <c r="P43" i="47" s="1"/>
  <c r="F73" i="47"/>
  <c r="G73" i="47" s="1"/>
  <c r="R48" i="47"/>
  <c r="S48" i="47" s="1"/>
  <c r="O47" i="47"/>
  <c r="P47" i="47" s="1"/>
  <c r="F77" i="47"/>
  <c r="G77" i="47" s="1"/>
  <c r="R25" i="47"/>
  <c r="S25" i="47" s="1"/>
  <c r="U35" i="47"/>
  <c r="V35" i="47" s="1"/>
  <c r="O27" i="47"/>
  <c r="P27" i="47" s="1"/>
  <c r="X64" i="47"/>
  <c r="Y64" i="47" s="1"/>
  <c r="O81" i="47"/>
  <c r="P81" i="47" s="1"/>
  <c r="X35" i="47"/>
  <c r="Y35" i="47" s="1"/>
  <c r="X66" i="47"/>
  <c r="Y66" i="47" s="1"/>
  <c r="O86" i="47"/>
  <c r="P86" i="47" s="1"/>
  <c r="O89" i="47"/>
  <c r="P89" i="47" s="1"/>
  <c r="O23" i="47"/>
  <c r="P23" i="47" s="1"/>
  <c r="R62" i="47"/>
  <c r="S62" i="47" s="1"/>
  <c r="X28" i="47"/>
  <c r="Y28" i="47" s="1"/>
  <c r="O87" i="47"/>
  <c r="P87" i="47" s="1"/>
  <c r="O83" i="47"/>
  <c r="P83" i="47" s="1"/>
  <c r="F13" i="47" l="1"/>
  <c r="G13" i="47" s="1"/>
  <c r="C13" i="47" l="1"/>
  <c r="D13" i="47" s="1"/>
  <c r="AJ13" i="47" l="1"/>
  <c r="AK13" i="47" s="1"/>
  <c r="AG43" i="47"/>
  <c r="AH43" i="47" s="1"/>
  <c r="F14" i="47" l="1"/>
  <c r="G14" i="47" s="1"/>
  <c r="C14" i="47"/>
  <c r="D14" i="47" s="1"/>
  <c r="AG13" i="47" l="1"/>
  <c r="AH13" i="47" s="1"/>
  <c r="AG44" i="47"/>
  <c r="AH44" i="47" s="1"/>
  <c r="AJ14" i="47"/>
  <c r="AK14" i="47" s="1"/>
  <c r="AG14" i="47" l="1"/>
  <c r="AH14" i="47" s="1"/>
  <c r="AJ15" i="47"/>
  <c r="AK15" i="47" s="1"/>
  <c r="AJ43" i="47" l="1"/>
  <c r="AK43" i="47" s="1"/>
  <c r="AG15" i="47"/>
  <c r="AH15" i="47" s="1"/>
  <c r="AJ16" i="47"/>
  <c r="AK16" i="47" s="1"/>
  <c r="C58" i="39" l="1"/>
  <c r="D58" i="39" s="1"/>
  <c r="I13" i="47"/>
  <c r="J13" i="47" s="1"/>
  <c r="AJ44" i="47"/>
  <c r="AK44" i="47" s="1"/>
  <c r="L13" i="47"/>
  <c r="M13" i="47" s="1"/>
  <c r="AG16" i="47"/>
  <c r="AH16" i="47" s="1"/>
  <c r="I14" i="47" l="1"/>
  <c r="J14" i="47" s="1"/>
  <c r="L15" i="47" l="1"/>
  <c r="M15" i="47" s="1"/>
  <c r="I15" i="47"/>
  <c r="J15" i="47" s="1"/>
  <c r="AG28" i="47"/>
  <c r="AH28" i="47" s="1"/>
  <c r="AJ63" i="47" l="1"/>
  <c r="AK63" i="47" s="1"/>
  <c r="AG29" i="47"/>
  <c r="AH29" i="47" s="1"/>
  <c r="AJ64" i="47" l="1"/>
  <c r="AK64" i="47" s="1"/>
  <c r="I17" i="47"/>
  <c r="J17" i="47" s="1"/>
  <c r="AJ65" i="47" l="1"/>
  <c r="AK65" i="47" s="1"/>
  <c r="AG35" i="47"/>
  <c r="AH35" i="47" s="1"/>
  <c r="AJ66" i="47" l="1"/>
  <c r="AK66" i="47" s="1"/>
  <c r="AG36" i="47"/>
  <c r="AH36" i="47" s="1"/>
  <c r="AJ67" i="47"/>
  <c r="AK67" i="47" s="1"/>
  <c r="AG37" i="47" l="1"/>
  <c r="AH37" i="47" s="1"/>
  <c r="C44" i="39" l="1"/>
  <c r="D44" i="39" s="1"/>
  <c r="I26" i="47"/>
  <c r="J26" i="47" s="1"/>
  <c r="I27" i="47" l="1"/>
  <c r="J27" i="47" s="1"/>
  <c r="I28" i="47" l="1"/>
  <c r="J28" i="47" s="1"/>
  <c r="I29" i="47" l="1"/>
  <c r="J29" i="47" s="1"/>
  <c r="I35" i="47" l="1"/>
  <c r="J35" i="47" s="1"/>
  <c r="L35" i="47"/>
  <c r="M35" i="47" s="1"/>
  <c r="I36" i="47" l="1"/>
  <c r="J36" i="47" s="1"/>
  <c r="L36" i="47"/>
  <c r="M36" i="47" s="1"/>
  <c r="L37" i="47"/>
  <c r="M37" i="47" s="1"/>
  <c r="I37" i="47" l="1"/>
  <c r="J37" i="47" s="1"/>
  <c r="I104" i="47" l="1"/>
  <c r="J104" i="47" s="1"/>
  <c r="I105" i="47" l="1"/>
  <c r="J105" i="47" s="1"/>
  <c r="F105" i="47" l="1"/>
  <c r="G105" i="47" s="1"/>
  <c r="F104" i="47"/>
  <c r="G104" i="47" s="1"/>
  <c r="O56" i="39" l="1"/>
  <c r="P56" i="39" s="1"/>
  <c r="L56" i="39"/>
  <c r="M56" i="39" s="1"/>
  <c r="I115" i="47"/>
  <c r="J115" i="47" s="1"/>
  <c r="I116" i="47" l="1"/>
  <c r="J116" i="47" s="1"/>
  <c r="O55" i="39"/>
  <c r="P55" i="39" s="1"/>
  <c r="I117" i="47" l="1"/>
  <c r="J117" i="47" s="1"/>
  <c r="O54" i="39"/>
  <c r="P54" i="39" s="1"/>
  <c r="L54" i="39"/>
  <c r="M54" i="39" s="1"/>
  <c r="F115" i="47"/>
  <c r="G115" i="47" s="1"/>
  <c r="L55" i="39"/>
  <c r="M55" i="39" s="1"/>
  <c r="I118" i="47" l="1"/>
  <c r="J118" i="47" s="1"/>
  <c r="F117" i="47" l="1"/>
  <c r="G117" i="47" s="1"/>
  <c r="F116" i="47"/>
  <c r="G116" i="47" s="1"/>
  <c r="L46" i="39"/>
  <c r="M46" i="39" s="1"/>
  <c r="O46" i="39"/>
  <c r="P46" i="39" s="1"/>
  <c r="O45" i="39" l="1"/>
  <c r="P45" i="39" s="1"/>
  <c r="F118" i="47" l="1"/>
  <c r="G118" i="47" s="1"/>
  <c r="L45" i="39"/>
  <c r="M45" i="39" s="1"/>
  <c r="O44" i="39"/>
  <c r="P44" i="39" s="1"/>
  <c r="L44" i="39"/>
  <c r="M44" i="39" s="1"/>
  <c r="O43" i="39" l="1"/>
  <c r="P43" i="39" s="1"/>
  <c r="L43" i="39" l="1"/>
  <c r="M43" i="39" s="1"/>
  <c r="P104" i="47" l="1"/>
  <c r="Q104" i="47" s="1"/>
  <c r="P105" i="47"/>
  <c r="Q105" i="47" s="1"/>
  <c r="C104" i="47"/>
  <c r="D104" i="47" s="1"/>
  <c r="C105" i="47"/>
  <c r="D105" i="47" s="1"/>
  <c r="I54" i="39" l="1"/>
  <c r="J54" i="39" s="1"/>
  <c r="C115" i="47"/>
  <c r="D115" i="47" s="1"/>
  <c r="I55" i="39"/>
  <c r="J55" i="39" s="1"/>
  <c r="I46" i="39"/>
  <c r="J46" i="39" s="1"/>
  <c r="I43" i="39"/>
  <c r="J43" i="39" s="1"/>
  <c r="C116" i="47"/>
  <c r="D116" i="47" s="1"/>
  <c r="I44" i="39"/>
  <c r="J44" i="39" s="1"/>
  <c r="C118" i="47"/>
  <c r="D118" i="47" s="1"/>
  <c r="I56" i="39"/>
  <c r="J56" i="39" s="1"/>
  <c r="C117" i="47"/>
  <c r="D117" i="47" s="1"/>
  <c r="I45" i="39"/>
  <c r="J45" i="39" s="1"/>
  <c r="P117" i="47"/>
  <c r="Q117" i="47" s="1"/>
  <c r="I20" i="39"/>
  <c r="J20" i="39" s="1"/>
  <c r="P118" i="47"/>
  <c r="Q118" i="47" s="1"/>
  <c r="I29" i="39"/>
  <c r="J29" i="39" s="1"/>
  <c r="I25" i="47" l="1"/>
  <c r="J25" i="47" s="1"/>
  <c r="C54" i="39"/>
  <c r="D54" i="39" s="1"/>
  <c r="F18" i="47"/>
  <c r="G18" i="47" s="1"/>
  <c r="L17" i="47"/>
  <c r="M17" i="47" s="1"/>
  <c r="L19" i="47"/>
  <c r="M19" i="47" s="1"/>
  <c r="L20" i="47"/>
  <c r="M20" i="47" s="1"/>
  <c r="L18" i="47"/>
  <c r="M18" i="47" s="1"/>
  <c r="L21" i="47" l="1"/>
  <c r="M21" i="47" s="1"/>
  <c r="C45" i="39"/>
  <c r="D45" i="39" s="1"/>
  <c r="C43" i="39"/>
  <c r="D43" i="39" s="1"/>
  <c r="L22" i="47"/>
  <c r="M22" i="47" s="1"/>
  <c r="C46" i="39"/>
  <c r="D46" i="39" s="1"/>
  <c r="C55" i="39"/>
  <c r="D55" i="39" s="1"/>
  <c r="AD45" i="47" l="1"/>
  <c r="AE45" i="47" s="1"/>
  <c r="AD14" i="47" l="1"/>
  <c r="AE14" i="47" s="1"/>
  <c r="F43" i="39"/>
  <c r="G43" i="39" s="1"/>
  <c r="AA37" i="47"/>
  <c r="AB37" i="47" s="1"/>
  <c r="AD43" i="47"/>
  <c r="AE43" i="47" s="1"/>
  <c r="AA43" i="47"/>
  <c r="AB43" i="47" s="1"/>
  <c r="AA13" i="47"/>
  <c r="AB13" i="47" s="1"/>
  <c r="AD13" i="47"/>
  <c r="AE13" i="47" s="1"/>
  <c r="AA14" i="47"/>
  <c r="AB14" i="47" s="1"/>
  <c r="AD44" i="47"/>
  <c r="AE44" i="47" s="1"/>
  <c r="AA44" i="47"/>
  <c r="AB44" i="47" s="1"/>
  <c r="AD67" i="47"/>
  <c r="AE67" i="47" s="1"/>
  <c r="AA45" i="47"/>
  <c r="AB45" i="47" s="1"/>
  <c r="AD15" i="47"/>
  <c r="AE15" i="47" s="1"/>
  <c r="AA28" i="47" l="1"/>
  <c r="AB28" i="47" s="1"/>
  <c r="AA35" i="47"/>
  <c r="AB35" i="47" s="1"/>
  <c r="AD24" i="47"/>
  <c r="AE24" i="47" s="1"/>
  <c r="AD26" i="47"/>
  <c r="AE26" i="47" s="1"/>
  <c r="AD60" i="47"/>
  <c r="AE60" i="47" s="1"/>
  <c r="F37" i="39"/>
  <c r="G37" i="39" s="1"/>
  <c r="F44" i="39"/>
  <c r="G44" i="39" s="1"/>
  <c r="AA26" i="47"/>
  <c r="AB26" i="47" s="1"/>
  <c r="AA25" i="47"/>
  <c r="AB25" i="47" s="1"/>
  <c r="F60" i="39"/>
  <c r="G60" i="39" s="1"/>
  <c r="F35" i="39"/>
  <c r="G35" i="39" s="1"/>
  <c r="AD36" i="47"/>
  <c r="AE36" i="47" s="1"/>
  <c r="AA36" i="47"/>
  <c r="AB36" i="47" s="1"/>
  <c r="AD62" i="47"/>
  <c r="AE62" i="47" s="1"/>
  <c r="AD27" i="47"/>
  <c r="AE27" i="47" s="1"/>
  <c r="AA27" i="47"/>
  <c r="AB27" i="47" s="1"/>
  <c r="F20" i="39"/>
  <c r="G20" i="39" s="1"/>
  <c r="F36" i="39"/>
  <c r="G36" i="39" s="1"/>
  <c r="AD64" i="47"/>
  <c r="AE64" i="47" s="1"/>
  <c r="AD35" i="47"/>
  <c r="AE35" i="47" s="1"/>
  <c r="AD61" i="47"/>
  <c r="AE61" i="47" s="1"/>
  <c r="F54" i="39"/>
  <c r="G54" i="39" s="1"/>
  <c r="AD63" i="47"/>
  <c r="AE63" i="47" s="1"/>
  <c r="F61" i="39"/>
  <c r="G61" i="39" s="1"/>
  <c r="AD28" i="47"/>
  <c r="AE28" i="47" s="1"/>
  <c r="F46" i="39"/>
  <c r="G46" i="39" s="1"/>
  <c r="AD65" i="47"/>
  <c r="AE65" i="47" s="1"/>
  <c r="AD25" i="47"/>
  <c r="AE25" i="47" s="1"/>
  <c r="F45" i="39"/>
  <c r="G45" i="39" s="1"/>
  <c r="AD37" i="47"/>
  <c r="AE37" i="47" s="1"/>
  <c r="AA29" i="47"/>
  <c r="AB29" i="47" s="1"/>
  <c r="F38" i="39"/>
  <c r="G38" i="39" s="1"/>
  <c r="F62" i="39"/>
  <c r="G62" i="39" s="1"/>
  <c r="AD66" i="47"/>
  <c r="AE66" i="47" s="1"/>
  <c r="AD29" i="47"/>
  <c r="AE29" i="47" s="1"/>
  <c r="C43" i="47" l="1"/>
  <c r="D43" i="47" s="1"/>
  <c r="C46" i="47" l="1"/>
  <c r="D46" i="47" s="1"/>
  <c r="C66" i="47"/>
  <c r="D66" i="47" s="1"/>
  <c r="C67" i="47"/>
  <c r="D67" i="47" s="1"/>
  <c r="C47" i="47"/>
  <c r="D47" i="47" s="1"/>
  <c r="C48" i="47"/>
  <c r="D48" i="47" s="1"/>
  <c r="C45" i="47"/>
  <c r="D45" i="47" s="1"/>
  <c r="C74" i="47"/>
  <c r="D74" i="47" s="1"/>
  <c r="F43" i="47"/>
  <c r="G43" i="47" s="1"/>
  <c r="I46" i="47"/>
  <c r="J46" i="47" s="1"/>
  <c r="I43" i="47"/>
  <c r="J43" i="47" s="1"/>
  <c r="C79" i="47"/>
  <c r="D79" i="47" s="1"/>
  <c r="C44" i="47"/>
  <c r="D44" i="47" s="1"/>
  <c r="C81" i="47"/>
  <c r="D81" i="47" s="1"/>
  <c r="I44" i="47"/>
  <c r="J44" i="47" s="1"/>
  <c r="C73" i="47"/>
  <c r="D73" i="47" s="1"/>
  <c r="C76" i="47"/>
  <c r="D76" i="47" s="1"/>
  <c r="C77" i="47"/>
  <c r="D77" i="47" s="1"/>
  <c r="C82" i="47"/>
  <c r="D82" i="47" s="1"/>
  <c r="C80" i="47"/>
  <c r="D80" i="47" s="1"/>
  <c r="C93" i="47"/>
  <c r="D93" i="47" s="1"/>
  <c r="I45" i="47"/>
  <c r="J45" i="47" s="1"/>
  <c r="C75" i="47"/>
  <c r="D75" i="47" s="1"/>
  <c r="C88" i="47" l="1"/>
  <c r="D88" i="47" s="1"/>
  <c r="C87" i="47"/>
  <c r="D87" i="47" s="1"/>
  <c r="C86" i="47"/>
  <c r="D86" i="47" s="1"/>
  <c r="C89" i="47"/>
  <c r="D89" i="47" s="1"/>
  <c r="C83" i="47"/>
  <c r="D83" i="47" s="1"/>
  <c r="C85" i="47"/>
  <c r="D85" i="47" s="1"/>
  <c r="C90" i="47"/>
  <c r="D90" i="47" s="1"/>
  <c r="C84" i="47"/>
  <c r="D84" i="47" s="1"/>
  <c r="F62" i="47"/>
  <c r="G62" i="47" s="1"/>
  <c r="F60" i="47"/>
  <c r="G60" i="47" s="1"/>
  <c r="C56" i="47"/>
  <c r="D56" i="47" s="1"/>
  <c r="C65" i="47"/>
  <c r="D65" i="47" s="1"/>
  <c r="C55" i="47"/>
  <c r="D55" i="47" s="1"/>
  <c r="C60" i="47"/>
  <c r="D60" i="47" s="1"/>
  <c r="C64" i="47"/>
  <c r="D64" i="47" s="1"/>
  <c r="C59" i="47"/>
  <c r="D59" i="47" s="1"/>
  <c r="C57" i="47"/>
  <c r="D57" i="47" s="1"/>
  <c r="C61" i="47"/>
  <c r="D61" i="47" s="1"/>
  <c r="C63" i="47"/>
  <c r="D63" i="47" s="1"/>
  <c r="C62" i="47"/>
  <c r="D62" i="47" s="1"/>
  <c r="C58" i="47"/>
  <c r="D58" i="47" s="1"/>
  <c r="C49" i="47"/>
  <c r="D49" i="47" s="1"/>
  <c r="F45" i="47"/>
  <c r="G45" i="47" s="1"/>
  <c r="F44" i="47"/>
  <c r="G44" i="47" s="1"/>
  <c r="L66" i="47"/>
  <c r="M66" i="47" s="1"/>
  <c r="L43" i="47"/>
  <c r="M43" i="47" s="1"/>
  <c r="L67" i="47"/>
  <c r="M67" i="47" s="1"/>
  <c r="L65" i="47" l="1"/>
  <c r="M65" i="47" s="1"/>
  <c r="L62" i="47"/>
  <c r="M62" i="47" s="1"/>
  <c r="L60" i="47"/>
  <c r="M60" i="47" s="1"/>
  <c r="L64" i="47"/>
  <c r="M64" i="47" s="1"/>
  <c r="L63" i="47"/>
  <c r="M63" i="47" s="1"/>
  <c r="L58" i="47"/>
  <c r="M58" i="47" s="1"/>
  <c r="L57" i="47"/>
  <c r="M57" i="47" s="1"/>
  <c r="L59" i="47"/>
  <c r="M59" i="47" s="1"/>
  <c r="L61" i="47"/>
  <c r="M61" i="47" s="1"/>
  <c r="F63" i="47"/>
  <c r="G63" i="47" s="1"/>
  <c r="F57" i="47"/>
  <c r="G57" i="47" s="1"/>
  <c r="F58" i="47"/>
  <c r="G58" i="47" s="1"/>
  <c r="F64" i="47"/>
  <c r="G64" i="47" s="1"/>
  <c r="L73" i="47"/>
  <c r="M73" i="47" s="1"/>
  <c r="L91" i="47"/>
  <c r="M91" i="47" s="1"/>
  <c r="L92" i="47"/>
  <c r="M92" i="47" s="1"/>
  <c r="L86" i="47"/>
  <c r="M86" i="47" s="1"/>
  <c r="L87" i="47"/>
  <c r="M87" i="47" s="1"/>
  <c r="L83" i="47"/>
  <c r="M83" i="47" s="1"/>
  <c r="L75" i="47"/>
  <c r="M75" i="47" s="1"/>
  <c r="L93" i="47"/>
  <c r="M93" i="47" s="1"/>
  <c r="L74" i="47"/>
  <c r="M74" i="47" s="1"/>
  <c r="L90" i="47"/>
  <c r="M90" i="47" s="1"/>
  <c r="L77" i="47"/>
  <c r="M77" i="47" s="1"/>
  <c r="L76" i="47"/>
  <c r="M76" i="47" s="1"/>
  <c r="L82" i="47"/>
  <c r="M82" i="47" s="1"/>
  <c r="L95" i="47"/>
  <c r="M95" i="47" s="1"/>
  <c r="L80" i="47"/>
  <c r="M80" i="47" s="1"/>
  <c r="L89" i="47"/>
  <c r="M89" i="47" s="1"/>
  <c r="L78" i="47"/>
  <c r="M78" i="47" s="1"/>
  <c r="L85" i="47"/>
  <c r="M85" i="47" s="1"/>
  <c r="L94" i="47"/>
  <c r="M94" i="47" s="1"/>
  <c r="L84" i="47"/>
  <c r="M84" i="47" s="1"/>
  <c r="L88" i="47"/>
  <c r="M88" i="47" s="1"/>
  <c r="L81" i="47"/>
  <c r="M81" i="47" s="1"/>
  <c r="L96" i="47" l="1"/>
  <c r="M96" i="47" s="1"/>
  <c r="L97" i="47"/>
  <c r="M97" i="47" s="1"/>
  <c r="C28" i="27" l="1"/>
  <c r="F28" i="27"/>
  <c r="C39" i="27"/>
  <c r="F39" i="27"/>
  <c r="C40" i="27"/>
  <c r="F40" i="27"/>
  <c r="C31" i="27" l="1"/>
  <c r="F31" i="27"/>
  <c r="C30" i="27"/>
  <c r="F30" i="27"/>
  <c r="C29" i="27"/>
  <c r="F29" i="27"/>
  <c r="C36" i="27"/>
  <c r="F36" i="27"/>
  <c r="C32" i="27"/>
  <c r="F32" i="27"/>
  <c r="C26" i="27"/>
  <c r="F26" i="27"/>
  <c r="C34" i="27"/>
  <c r="F34" i="27"/>
  <c r="C27" i="27"/>
  <c r="F27" i="27"/>
  <c r="C38" i="27"/>
  <c r="F38" i="27"/>
  <c r="C33" i="27"/>
  <c r="F33" i="27"/>
  <c r="C37" i="27"/>
  <c r="F37" i="27"/>
  <c r="C35" i="27"/>
  <c r="F35" i="27"/>
  <c r="C25" i="27"/>
  <c r="F25" i="27"/>
  <c r="C24" i="27" l="1"/>
  <c r="F24" i="27"/>
  <c r="C78" i="47" l="1"/>
  <c r="D78" i="47" s="1"/>
  <c r="C17" i="47"/>
  <c r="D17" i="47" s="1"/>
  <c r="I16" i="47"/>
  <c r="J16" i="47" s="1"/>
  <c r="C56" i="39" l="1"/>
  <c r="D56" i="39" s="1"/>
  <c r="F15" i="47"/>
  <c r="G15" i="47" s="1"/>
  <c r="L44" i="47"/>
  <c r="M44" i="47" s="1"/>
  <c r="L14" i="47"/>
  <c r="M14" i="47" s="1"/>
  <c r="L16" i="47"/>
  <c r="M16" i="47" s="1"/>
  <c r="L79" i="47"/>
  <c r="M79" i="47" s="1"/>
  <c r="F17" i="47"/>
  <c r="G17" i="47" s="1"/>
  <c r="F59" i="47" l="1"/>
  <c r="G59" i="47" s="1"/>
  <c r="L56" i="47"/>
  <c r="M56" i="47" s="1"/>
  <c r="C57" i="39"/>
  <c r="D57" i="39" s="1"/>
  <c r="F56" i="47"/>
  <c r="G56" i="47" s="1"/>
  <c r="F64" i="15" l="1"/>
  <c r="G64" i="15" s="1"/>
  <c r="R34" i="15"/>
  <c r="S34" i="15" s="1"/>
  <c r="O63" i="15"/>
  <c r="P63" i="15" s="1"/>
  <c r="R35" i="15"/>
  <c r="S35" i="15" s="1"/>
  <c r="F39" i="15"/>
  <c r="G39" i="15" s="1"/>
  <c r="O62" i="15"/>
  <c r="P62" i="15" s="1"/>
  <c r="F40" i="15"/>
  <c r="G40" i="15" s="1"/>
  <c r="F67" i="15"/>
  <c r="G67" i="15" s="1"/>
  <c r="R39" i="15"/>
  <c r="S39" i="15" s="1"/>
  <c r="O66" i="15"/>
  <c r="P66" i="15" s="1"/>
  <c r="F73" i="15"/>
  <c r="G73" i="15" s="1"/>
  <c r="F36" i="15"/>
  <c r="G36" i="15" s="1"/>
  <c r="F63" i="15"/>
  <c r="G63" i="15" s="1"/>
  <c r="R40" i="15"/>
  <c r="S40" i="15" s="1"/>
  <c r="F62" i="15"/>
  <c r="G62" i="15" s="1"/>
  <c r="R36" i="15"/>
  <c r="S36" i="15" s="1"/>
  <c r="F34" i="15"/>
  <c r="G34" i="15" s="1"/>
  <c r="F35" i="15"/>
  <c r="G35" i="15" s="1"/>
  <c r="F74" i="15"/>
  <c r="G74" i="15" s="1"/>
  <c r="O64" i="15" l="1"/>
  <c r="P64" i="15" s="1"/>
  <c r="F66" i="15"/>
  <c r="G66" i="15" s="1"/>
  <c r="O65" i="15"/>
  <c r="P65" i="15" s="1"/>
  <c r="O55" i="15"/>
  <c r="P55" i="15" s="1"/>
  <c r="R38" i="15"/>
  <c r="S38" i="15" s="1"/>
  <c r="F38" i="15"/>
  <c r="G38" i="15" s="1"/>
  <c r="F72" i="15"/>
  <c r="G72" i="15" s="1"/>
  <c r="R33" i="15"/>
  <c r="S33" i="15" s="1"/>
  <c r="F37" i="15"/>
  <c r="G37" i="15" s="1"/>
  <c r="F65" i="15"/>
  <c r="G65" i="15" s="1"/>
  <c r="R37" i="15"/>
  <c r="S37" i="15" s="1"/>
  <c r="F33" i="15"/>
  <c r="G33" i="15" s="1"/>
  <c r="F53" i="15" l="1"/>
  <c r="G53" i="15" s="1"/>
  <c r="O52" i="15"/>
  <c r="P52" i="15" s="1"/>
  <c r="O54" i="15"/>
  <c r="P54" i="15" s="1"/>
  <c r="F55" i="15"/>
  <c r="G55" i="15" s="1"/>
  <c r="O53" i="15"/>
  <c r="P53" i="15" s="1"/>
  <c r="R24" i="15"/>
  <c r="S24" i="15" s="1"/>
  <c r="F32" i="15"/>
  <c r="G32" i="15" s="1"/>
  <c r="F24" i="15"/>
  <c r="G24" i="15" s="1"/>
  <c r="F54" i="15"/>
  <c r="G54" i="15" s="1"/>
  <c r="R32" i="15"/>
  <c r="S32" i="15" s="1"/>
  <c r="R23" i="15" l="1"/>
  <c r="S23" i="15" s="1"/>
  <c r="F23" i="15"/>
  <c r="G23" i="15" s="1"/>
  <c r="F52" i="15"/>
  <c r="G52" i="15" s="1"/>
  <c r="C23" i="15" l="1"/>
  <c r="D23" i="15" s="1"/>
  <c r="L23" i="15"/>
  <c r="M23" i="15" s="1"/>
  <c r="C24" i="15" l="1"/>
  <c r="D24" i="15" s="1"/>
  <c r="L24" i="15"/>
  <c r="M24" i="15" s="1"/>
  <c r="L32" i="15" l="1"/>
  <c r="M32" i="15" s="1"/>
  <c r="C32" i="15"/>
  <c r="D32" i="15" s="1"/>
  <c r="L54" i="15" l="1"/>
  <c r="M54" i="15" s="1"/>
  <c r="L53" i="15"/>
  <c r="M53" i="15" s="1"/>
  <c r="C54" i="15"/>
  <c r="D54" i="15" s="1"/>
  <c r="C33" i="15"/>
  <c r="D33" i="15" s="1"/>
  <c r="L33" i="15"/>
  <c r="M33" i="15" s="1"/>
  <c r="C35" i="15"/>
  <c r="D35" i="15" s="1"/>
  <c r="L34" i="15"/>
  <c r="M34" i="15" s="1"/>
  <c r="L55" i="15"/>
  <c r="M55" i="15" s="1"/>
  <c r="C34" i="15"/>
  <c r="D34" i="15" s="1"/>
  <c r="C52" i="15"/>
  <c r="D52" i="15" s="1"/>
  <c r="L35" i="15"/>
  <c r="M35" i="15" s="1"/>
  <c r="C53" i="15"/>
  <c r="D53" i="15" s="1"/>
  <c r="C63" i="15" l="1"/>
  <c r="D63" i="15" s="1"/>
  <c r="C39" i="15"/>
  <c r="D39" i="15" s="1"/>
  <c r="L39" i="15"/>
  <c r="M39" i="15" s="1"/>
  <c r="L66" i="15" l="1"/>
  <c r="M66" i="15" s="1"/>
  <c r="L62" i="15"/>
  <c r="M62" i="15" s="1"/>
  <c r="L52" i="15"/>
  <c r="M52" i="15" s="1"/>
  <c r="C36" i="15"/>
  <c r="D36" i="15" s="1"/>
  <c r="C62" i="15"/>
  <c r="D62" i="15" s="1"/>
  <c r="L65" i="15"/>
  <c r="M65" i="15" s="1"/>
  <c r="C37" i="15"/>
  <c r="D37" i="15" s="1"/>
  <c r="L38" i="15"/>
  <c r="M38" i="15" s="1"/>
  <c r="C38" i="15"/>
  <c r="D38" i="15" s="1"/>
  <c r="L36" i="15"/>
  <c r="M36" i="15" s="1"/>
  <c r="L63" i="15"/>
  <c r="M63" i="15" s="1"/>
  <c r="C55" i="15"/>
  <c r="D55" i="15" s="1"/>
  <c r="L37" i="15"/>
  <c r="M37" i="15" s="1"/>
  <c r="L64" i="15"/>
  <c r="M64" i="15" s="1"/>
  <c r="C40" i="15" l="1"/>
  <c r="D40" i="15" s="1"/>
  <c r="L40" i="15"/>
  <c r="M40" i="15" s="1"/>
  <c r="L67" i="15"/>
  <c r="M67" i="15" s="1"/>
  <c r="C64" i="15"/>
  <c r="D64" i="15" s="1"/>
  <c r="C65" i="15" l="1"/>
  <c r="D65" i="15" s="1"/>
  <c r="L46" i="15" l="1"/>
  <c r="M46" i="15" s="1"/>
  <c r="C67" i="15"/>
  <c r="D67" i="15" s="1"/>
  <c r="C66" i="15"/>
  <c r="D66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<sst xmlns="http://schemas.openxmlformats.org/spreadsheetml/2006/main" count="2579" uniqueCount="756">
  <si>
    <t>AmWest Corporate Office</t>
  </si>
  <si>
    <t>6 Pointe Dr. Suite 300</t>
  </si>
  <si>
    <t>Brea, CA  92821</t>
  </si>
  <si>
    <t xml:space="preserve">(714) 831-3333 </t>
  </si>
  <si>
    <t xml:space="preserve">www.amwestwholesale.com </t>
  </si>
  <si>
    <t>Wholesale Rate sheet - Consumer Paid</t>
  </si>
  <si>
    <t>Effective:</t>
  </si>
  <si>
    <t>LOAN LOCK INFO</t>
  </si>
  <si>
    <t xml:space="preserve">Lock Desk :   </t>
  </si>
  <si>
    <t xml:space="preserve">       Phone:    (714) 831-3299</t>
  </si>
  <si>
    <t xml:space="preserve">Lock Hours until 5:00 PM PST </t>
  </si>
  <si>
    <t>ANNOUNCEMENT</t>
  </si>
  <si>
    <t>CONFORMING FIXED</t>
  </si>
  <si>
    <t>LINKED</t>
  </si>
  <si>
    <t>RATE</t>
  </si>
  <si>
    <t>30 Days</t>
  </si>
  <si>
    <t>(CA5/6)  5YR ARM</t>
  </si>
  <si>
    <t>(CA7/6)  7YR ARM</t>
  </si>
  <si>
    <t>(CA10/6)  10YR ARM</t>
  </si>
  <si>
    <r>
      <t xml:space="preserve">(CA5/6HB) </t>
    </r>
    <r>
      <rPr>
        <b/>
        <sz val="13"/>
        <color rgb="FFFF0000"/>
        <rFont val="Arial"/>
        <family val="2"/>
      </rPr>
      <t>HB</t>
    </r>
    <r>
      <rPr>
        <b/>
        <sz val="13"/>
        <color theme="1"/>
        <rFont val="Arial"/>
        <family val="2"/>
      </rPr>
      <t xml:space="preserve">  5YR ARM</t>
    </r>
  </si>
  <si>
    <r>
      <t xml:space="preserve">(CA7/6HB) </t>
    </r>
    <r>
      <rPr>
        <b/>
        <sz val="13"/>
        <color rgb="FFFF0000"/>
        <rFont val="Arial"/>
        <family val="2"/>
      </rPr>
      <t>HB</t>
    </r>
    <r>
      <rPr>
        <b/>
        <sz val="13"/>
        <color theme="1"/>
        <rFont val="Arial"/>
        <family val="2"/>
      </rPr>
      <t xml:space="preserve">  7YR ARM</t>
    </r>
  </si>
  <si>
    <r>
      <t xml:space="preserve">(CA10/6HB) </t>
    </r>
    <r>
      <rPr>
        <b/>
        <sz val="13"/>
        <color rgb="FFFF0000"/>
        <rFont val="Arial"/>
        <family val="2"/>
      </rPr>
      <t>HB</t>
    </r>
    <r>
      <rPr>
        <b/>
        <sz val="13"/>
        <color theme="1"/>
        <rFont val="Arial"/>
        <family val="2"/>
      </rPr>
      <t xml:space="preserve">  10YR ARM</t>
    </r>
  </si>
  <si>
    <t>Second Homes</t>
  </si>
  <si>
    <t>Rates and fees are subject to change without notice.</t>
  </si>
  <si>
    <t>(FM5/6)  5YR ARM</t>
  </si>
  <si>
    <t>(FM7/6)  7YR ARM</t>
  </si>
  <si>
    <t>(FM10/6)  10YR ARM</t>
  </si>
  <si>
    <t>Conforming &amp; High Balance FIXED</t>
  </si>
  <si>
    <t>HomeReady product codes:</t>
  </si>
  <si>
    <t>ARM INFO</t>
  </si>
  <si>
    <t>FCF30HRLPMI</t>
  </si>
  <si>
    <t>MARGIN</t>
  </si>
  <si>
    <t>FCF30HR</t>
  </si>
  <si>
    <t>HomePossible product codes:</t>
  </si>
  <si>
    <t>FM30HPLPMI</t>
  </si>
  <si>
    <t>FMSC30HPLPMI</t>
  </si>
  <si>
    <t>FM30HP</t>
  </si>
  <si>
    <t>FMSC30HP</t>
  </si>
  <si>
    <t>LOAN LOCK INFO:</t>
  </si>
  <si>
    <t xml:space="preserve">             Phone:    (714) 831-3299</t>
  </si>
  <si>
    <t>45 DAY LOCK</t>
  </si>
  <si>
    <t>MAX PRICE</t>
  </si>
  <si>
    <t>CES30</t>
  </si>
  <si>
    <t>30YR</t>
  </si>
  <si>
    <t>45 Days</t>
  </si>
  <si>
    <t>PRODUCT CODES</t>
  </si>
  <si>
    <t>20YR</t>
  </si>
  <si>
    <t>CES20</t>
  </si>
  <si>
    <t>10YR</t>
  </si>
  <si>
    <t>CES10</t>
  </si>
  <si>
    <t>PRICE ADJUSTMENTS</t>
  </si>
  <si>
    <t>HCLTV</t>
  </si>
  <si>
    <t>780-850</t>
  </si>
  <si>
    <t>760-779</t>
  </si>
  <si>
    <t>740-759</t>
  </si>
  <si>
    <t>720-739</t>
  </si>
  <si>
    <t>N/A</t>
  </si>
  <si>
    <t>700-719</t>
  </si>
  <si>
    <t>680-699</t>
  </si>
  <si>
    <t>TERM</t>
  </si>
  <si>
    <t>OCCUPANCY</t>
  </si>
  <si>
    <t>NOO</t>
  </si>
  <si>
    <t>2ND HOME</t>
  </si>
  <si>
    <t>PROPERTY TYPE</t>
  </si>
  <si>
    <t>2-4 UNIT</t>
  </si>
  <si>
    <t>• Min. 680 Fico</t>
  </si>
  <si>
    <t xml:space="preserve">• Stand-alone </t>
  </si>
  <si>
    <t>• No Prepayment Penalty</t>
  </si>
  <si>
    <t>• Max. DTI 50%</t>
  </si>
  <si>
    <t>• Up to 89.99% CLTVs</t>
  </si>
  <si>
    <t>• Min. 660 Fico</t>
  </si>
  <si>
    <t>• Up to 75.00% CLTVs</t>
  </si>
  <si>
    <t>780+</t>
  </si>
  <si>
    <t>660-679</t>
  </si>
  <si>
    <t>L.A &gt;$100K-$150K</t>
  </si>
  <si>
    <t>DTI  43.01-45.00</t>
  </si>
  <si>
    <t>DTI  45.01-50.00</t>
  </si>
  <si>
    <t>Non Owner Occ</t>
  </si>
  <si>
    <t>Second Home</t>
  </si>
  <si>
    <t>2-4 Units</t>
  </si>
  <si>
    <t>WVOE</t>
  </si>
  <si>
    <t>DSCR&lt;1.25</t>
  </si>
  <si>
    <t>Foreign National</t>
  </si>
  <si>
    <t>Non-Perm Resident</t>
  </si>
  <si>
    <t>MISC PRICE ADJUSTMENTS</t>
  </si>
  <si>
    <t>No Prepay</t>
  </si>
  <si>
    <t>1yr Prepay</t>
  </si>
  <si>
    <t>2yr Prepay</t>
  </si>
  <si>
    <t>1YR PPP</t>
  </si>
  <si>
    <t>2YR PPP</t>
  </si>
  <si>
    <t>P&amp;L</t>
  </si>
  <si>
    <t>CLTV</t>
  </si>
  <si>
    <t>Cash-Out</t>
  </si>
  <si>
    <t>SFR</t>
  </si>
  <si>
    <r>
      <rPr>
        <b/>
        <sz val="11"/>
        <color rgb="FFAF2024"/>
        <rFont val="Arial"/>
        <family val="2"/>
      </rPr>
      <t>Email:</t>
    </r>
    <r>
      <rPr>
        <sz val="11"/>
        <color rgb="FFAF2024"/>
        <rFont val="Arial"/>
        <family val="2"/>
      </rPr>
      <t xml:space="preserve">    </t>
    </r>
    <r>
      <rPr>
        <b/>
        <sz val="11"/>
        <color rgb="FFAF2024"/>
        <rFont val="Arial"/>
        <family val="2"/>
      </rPr>
      <t>Lockdesk@amwestfunding.com</t>
    </r>
  </si>
  <si>
    <t>Purchase(Loan terms &gt; 15 years)</t>
  </si>
  <si>
    <t>&gt;4 Owned properties including Financed  LLPA</t>
  </si>
  <si>
    <t>FICO/LTV</t>
  </si>
  <si>
    <t>≤30</t>
  </si>
  <si>
    <t>30.01-60</t>
  </si>
  <si>
    <t>60.01-70</t>
  </si>
  <si>
    <t>70.01-75</t>
  </si>
  <si>
    <t>75.01-80</t>
  </si>
  <si>
    <t>80.01-85</t>
  </si>
  <si>
    <t>85.01-90</t>
  </si>
  <si>
    <t>90.01-95</t>
  </si>
  <si>
    <t>&gt;95</t>
  </si>
  <si>
    <t>15 MAX owned properties on CONVENTIONAL</t>
  </si>
  <si>
    <t>≥800</t>
  </si>
  <si>
    <t>5-7 properties</t>
  </si>
  <si>
    <t>780-799</t>
  </si>
  <si>
    <t>8-10 properties</t>
  </si>
  <si>
    <t>11-15 properties</t>
  </si>
  <si>
    <t>640-659</t>
  </si>
  <si>
    <t>OTHER PRICE ADJUSTMENTS</t>
  </si>
  <si>
    <t>620-639</t>
  </si>
  <si>
    <t>Loan Amt $50,000- $74,999</t>
  </si>
  <si>
    <t>Purchase Loan Additional (all amortization terms)</t>
  </si>
  <si>
    <t>Loan Amt $75,000 to $99,999</t>
  </si>
  <si>
    <t>LTV</t>
  </si>
  <si>
    <t>Loan Amt $100,000 to $149,999</t>
  </si>
  <si>
    <t>ARMs</t>
  </si>
  <si>
    <t>Texas 50 A (6)</t>
  </si>
  <si>
    <t>Attached  Condo</t>
  </si>
  <si>
    <t>60 DAYS LOCK (based on 30 days price)</t>
  </si>
  <si>
    <t>N/O/O</t>
  </si>
  <si>
    <t>State Adjuster (FIXED Program)</t>
  </si>
  <si>
    <t>30/20Y</t>
  </si>
  <si>
    <t>15/10Y</t>
  </si>
  <si>
    <t>Group 1</t>
  </si>
  <si>
    <t>TX</t>
  </si>
  <si>
    <t>Sub Financing</t>
  </si>
  <si>
    <t>HighBal Fixed</t>
  </si>
  <si>
    <t>HighBal ARM</t>
  </si>
  <si>
    <t>Cumulative LLPA Caps</t>
  </si>
  <si>
    <t>Rate&amp;Term  (Loan terms &gt; 15 years)</t>
  </si>
  <si>
    <t>AMI &amp; FTHB</t>
  </si>
  <si>
    <t>**(Excluded from Cumulative Cap-  Loan amts ,lock term, state Adj)</t>
  </si>
  <si>
    <t>Rate&amp;Term  Additional (all amortization terms)</t>
  </si>
  <si>
    <t>Cash Out (all amortization terms)</t>
  </si>
  <si>
    <t>Cash Out Additional  (all amortization terms)</t>
  </si>
  <si>
    <t>LPMI ADJUSTER's APPLIED TO FANNIE MAE &amp; FREDDIE MAC  (Fixed &amp; Arm's)</t>
  </si>
  <si>
    <t>LPMI ADJUSTMENTS FOR 30 &amp; 25 YEAR &amp; ALL ARMS</t>
  </si>
  <si>
    <t>Coverage</t>
  </si>
  <si>
    <t>&gt;=760</t>
  </si>
  <si>
    <t>95.01-97%</t>
  </si>
  <si>
    <t>90.01-95%</t>
  </si>
  <si>
    <t>85.01-90%</t>
  </si>
  <si>
    <t>80.01-85%</t>
  </si>
  <si>
    <t>LPMI ADJUSTMENTS FOR 20 YEAR &amp; UNDER</t>
  </si>
  <si>
    <t>LPMI ADDITIONAL ADJUSTMENTS (FIXED &amp; ARM'S)</t>
  </si>
  <si>
    <t>Rate&amp;term</t>
  </si>
  <si>
    <t>LPMI ADDITIONAL ADJUSTMENTS (FIXED &amp; ARM'S) &gt;45.00% DTI</t>
  </si>
  <si>
    <t>AMWEST ADVANTAGE FIXED &amp; ARM PROGRAMS</t>
  </si>
  <si>
    <t>ASSET QUALIFIER</t>
  </si>
  <si>
    <t>**Lender Paid Compensation and Borrower Paid Compensation Allowed**</t>
  </si>
  <si>
    <r>
      <rPr>
        <b/>
        <u/>
        <sz val="20"/>
        <color theme="0"/>
        <rFont val="Arial"/>
        <family val="2"/>
      </rPr>
      <t>PRICE</t>
    </r>
    <r>
      <rPr>
        <b/>
        <sz val="20"/>
        <color theme="0"/>
        <rFont val="Arial"/>
        <family val="2"/>
      </rPr>
      <t xml:space="preserve"> ADJUSTMENTS</t>
    </r>
  </si>
  <si>
    <t>&lt;=55</t>
  </si>
  <si>
    <t>55.01-60</t>
  </si>
  <si>
    <t>60.01-65</t>
  </si>
  <si>
    <t>65.01-70</t>
  </si>
  <si>
    <t>760+</t>
  </si>
  <si>
    <t>20 MAX owned properties on PORTFOLIO</t>
  </si>
  <si>
    <t>16-20 properties</t>
  </si>
  <si>
    <t xml:space="preserve">1YR PREPAY </t>
  </si>
  <si>
    <t>For Nat'l (No FICO)</t>
  </si>
  <si>
    <t xml:space="preserve">No PREPAY </t>
  </si>
  <si>
    <t>Non-Perm Res (+FICO)</t>
  </si>
  <si>
    <t>Non Warrantable - CONDO</t>
  </si>
  <si>
    <t>Interest Only</t>
  </si>
  <si>
    <t>&lt;$100k</t>
  </si>
  <si>
    <t>&gt;$1.50mm-$2.50mm</t>
  </si>
  <si>
    <t>Non Owner</t>
  </si>
  <si>
    <t>&gt;$2.50mm -$3.00mm</t>
  </si>
  <si>
    <t xml:space="preserve">45 Days Lock </t>
  </si>
  <si>
    <t>Asset Qualifier</t>
  </si>
  <si>
    <t>States</t>
  </si>
  <si>
    <t>Group 2</t>
  </si>
  <si>
    <t>• Max DTI at 50%</t>
  </si>
  <si>
    <t>• Allowed on Non-Warrantable Condos</t>
  </si>
  <si>
    <r>
      <t xml:space="preserve">  eFax:     </t>
    </r>
    <r>
      <rPr>
        <b/>
        <sz val="10"/>
        <color rgb="FFAF2024"/>
        <rFont val="Arial"/>
        <family val="2"/>
      </rPr>
      <t>(714) 905-5620</t>
    </r>
  </si>
  <si>
    <t>AMWEST INVESTOR FIXED &amp; ARM PROGRAMS</t>
  </si>
  <si>
    <t>ARM</t>
  </si>
  <si>
    <t>15YR</t>
  </si>
  <si>
    <t>CAPS  5/1/5</t>
  </si>
  <si>
    <t>Floor = Start Rate</t>
  </si>
  <si>
    <t>NO PREPAY:</t>
  </si>
  <si>
    <t>PROGRAM CODE:</t>
  </si>
  <si>
    <t>3YR PPP</t>
  </si>
  <si>
    <t>AIA7/6P3, AIA7/6P3 IO, AIA30P3</t>
  </si>
  <si>
    <t xml:space="preserve">AIP7/6P3, AIP7/6P3 IO, AIP30P3, AIP15P3 </t>
  </si>
  <si>
    <t>AIA7/6P2, AIA7/6P2 IO, AIA30P2</t>
  </si>
  <si>
    <t>AIP7/6P2, AIP7/6P2 IO, AIP30P2 , AIP15P2</t>
  </si>
  <si>
    <t>AIA7/6P1, AIA7/6P1 IO, AIA30P1</t>
  </si>
  <si>
    <t xml:space="preserve">AIP7/6P1, AIP30P1, AIP15P1 </t>
  </si>
  <si>
    <t>*NO PPP</t>
  </si>
  <si>
    <t xml:space="preserve">AIA7/6, AIA30  </t>
  </si>
  <si>
    <t xml:space="preserve">AIP7/6 , AIP7/6IO, AIP30, AIP15  </t>
  </si>
  <si>
    <r>
      <rPr>
        <b/>
        <u/>
        <sz val="19"/>
        <color theme="0"/>
        <rFont val="Arial"/>
        <family val="2"/>
      </rPr>
      <t>PRICE</t>
    </r>
    <r>
      <rPr>
        <b/>
        <sz val="19"/>
        <color theme="0"/>
        <rFont val="Arial"/>
        <family val="2"/>
      </rPr>
      <t xml:space="preserve"> ADJUSTMENTS - AIP</t>
    </r>
  </si>
  <si>
    <t>FICO</t>
  </si>
  <si>
    <t>DSCR &lt;1.0</t>
  </si>
  <si>
    <t>NonPermRes(+FICO)</t>
  </si>
  <si>
    <t>1YR PREPAY</t>
  </si>
  <si>
    <t>&gt;$1.0MM-$2.0MM</t>
  </si>
  <si>
    <t>&gt;$2.00mm-$2.50mm</t>
  </si>
  <si>
    <t>&gt;$2.0mm-$2.50mm</t>
  </si>
  <si>
    <t>Group 3</t>
  </si>
  <si>
    <t>NY</t>
  </si>
  <si>
    <t>• Loan amount up to $2.5M</t>
  </si>
  <si>
    <t>• First time Homebuyer/First time investor allowed (see guidelines)</t>
  </si>
  <si>
    <t>• Minimum FICO as low as 620</t>
  </si>
  <si>
    <t>• LLC vesting allowed</t>
  </si>
  <si>
    <t>• Loan qualification is based on Debt Coverage Ratio (DCR)</t>
  </si>
  <si>
    <t>• Asset verification based on Current Balance</t>
  </si>
  <si>
    <t>• Foreign Nationals allowed</t>
  </si>
  <si>
    <t>• Non-warrantable condos allowed</t>
  </si>
  <si>
    <t>GOVERNMENT FIXED PROGRAMS</t>
  </si>
  <si>
    <t>15 day incentive</t>
  </si>
  <si>
    <t>FHA FIXED</t>
  </si>
  <si>
    <t>FHA STREAMLINE FIXED</t>
  </si>
  <si>
    <t>VA FIXED</t>
  </si>
  <si>
    <t>VA IRRRL FIXED</t>
  </si>
  <si>
    <t>USDA</t>
  </si>
  <si>
    <t>Temporary Buydown Product Codes</t>
  </si>
  <si>
    <t>FHA</t>
  </si>
  <si>
    <t>FHA30-B1, FHA30-B2 , FHA30HB-B1 , FHA30HB-B2</t>
  </si>
  <si>
    <t>VA</t>
  </si>
  <si>
    <t>VA30-B1, VA30-B2, VA30HB-B1, VA30HB-B2</t>
  </si>
  <si>
    <t>USDA-B1 , USDA-B2</t>
  </si>
  <si>
    <t>GOVERNMENT PRICE ADJUSTMENTS</t>
  </si>
  <si>
    <t>FICO ADJUSTMENTS</t>
  </si>
  <si>
    <t xml:space="preserve">State Adjuster for Govt - FIXED </t>
  </si>
  <si>
    <t>All Gov't Programs</t>
  </si>
  <si>
    <t>State/Group</t>
  </si>
  <si>
    <t>USDA STREAMLINE</t>
  </si>
  <si>
    <t>Note Loan Amount&lt;=$99,999  (FHA/VA /USDA)</t>
  </si>
  <si>
    <t>NJ</t>
  </si>
  <si>
    <r>
      <t xml:space="preserve">Note Loan Amount $100k to $149,999 </t>
    </r>
    <r>
      <rPr>
        <sz val="11"/>
        <color theme="1"/>
        <rFont val="Arial"/>
        <family val="2"/>
      </rPr>
      <t>(FHA/VA/USDA)</t>
    </r>
  </si>
  <si>
    <t>FL</t>
  </si>
  <si>
    <t>*600-619</t>
  </si>
  <si>
    <t xml:space="preserve"> *Max LTV: &lt;=90.00%</t>
  </si>
  <si>
    <t>FHA ID</t>
  </si>
  <si>
    <t>VA ID</t>
  </si>
  <si>
    <t>**580-599</t>
  </si>
  <si>
    <t>**Max LTV: &lt;=80.00%</t>
  </si>
  <si>
    <t>78546-00002</t>
  </si>
  <si>
    <t>No Fico Bonus applied to any High Bal loans</t>
  </si>
  <si>
    <t>CPA P&amp;L</t>
  </si>
  <si>
    <t>DSCR &gt;=1.25</t>
  </si>
  <si>
    <t xml:space="preserve">CLTV </t>
  </si>
  <si>
    <t>Click For Guideline</t>
  </si>
  <si>
    <t>Click for Guideline</t>
  </si>
  <si>
    <t>DSCR &gt;=1.0</t>
  </si>
  <si>
    <t>L.A &lt;=$100K</t>
  </si>
  <si>
    <t>SOFR</t>
  </si>
  <si>
    <t xml:space="preserve"> </t>
  </si>
  <si>
    <t>45 DAY COST</t>
  </si>
  <si>
    <t>45 days</t>
  </si>
  <si>
    <t>1 year tax return &gt;90% LTV (self-employment)</t>
  </si>
  <si>
    <t>1099 INCOME HIGHLIGHTS</t>
  </si>
  <si>
    <t>• 1-year 1099</t>
  </si>
  <si>
    <t>• 10% expense factor</t>
  </si>
  <si>
    <t>ADVANTAGE ITIN</t>
  </si>
  <si>
    <t>ITIN HIGHLIGHTS</t>
  </si>
  <si>
    <t>• Second Homes: 1 Unit Properties Only</t>
  </si>
  <si>
    <t>• Texas Cash-Out Section 50(a)(6) not permitted</t>
  </si>
  <si>
    <t>• Interest Only: Max LTV: 70% Min FICO: 700</t>
  </si>
  <si>
    <t>15yr Fixed AAB, AAI</t>
  </si>
  <si>
    <t xml:space="preserve">MAX PRICE </t>
  </si>
  <si>
    <t>ARM INFORMATION</t>
  </si>
  <si>
    <t>LOAN TERM- 30YR AMORTIZATION</t>
  </si>
  <si>
    <t>FIXED PERIOD- 5/6,7/6 &amp; 10/6</t>
  </si>
  <si>
    <t>MARGIN- 3.00%</t>
  </si>
  <si>
    <t>INDEX- SOFR 30-DAY AVG</t>
  </si>
  <si>
    <t>CAPS: 5/6 = 2/1/5</t>
  </si>
  <si>
    <t xml:space="preserve">1 UNIT </t>
  </si>
  <si>
    <t>2 UNIT</t>
  </si>
  <si>
    <t>3 UNIT</t>
  </si>
  <si>
    <t>4 UNIT</t>
  </si>
  <si>
    <t>MORTGAGE INSURANCE</t>
  </si>
  <si>
    <t>95.01-97.00% *Standard</t>
  </si>
  <si>
    <t>90.01-95.00%</t>
  </si>
  <si>
    <t>95.01- 97.00%* HomeReady</t>
  </si>
  <si>
    <t>85.01-90.00%</t>
  </si>
  <si>
    <t>80.01-85.00%</t>
  </si>
  <si>
    <t>30 Year</t>
  </si>
  <si>
    <t>IMPOUNDS/ ESCROW</t>
  </si>
  <si>
    <t>• Impounds/Escrows may be waived per state law</t>
  </si>
  <si>
    <t>• HPML loans must be impounded</t>
  </si>
  <si>
    <t>• Any loans requiring flood insurance must include flood</t>
  </si>
  <si>
    <t>waived</t>
  </si>
  <si>
    <t xml:space="preserve">even if no other escrows are collected or  escrows have been </t>
  </si>
  <si>
    <t>insurance must include  in the borrower(s)’ escrow account</t>
  </si>
  <si>
    <t>STATE RESTRICTIONS</t>
  </si>
  <si>
    <t>Please refer to our website for list of Eligible States:</t>
  </si>
  <si>
    <t>10,15, 20 Year</t>
  </si>
  <si>
    <t>All States Except Alaska / Hawaii</t>
  </si>
  <si>
    <t>All loans with LTV &gt; 80% are subject to MI approval</t>
  </si>
  <si>
    <t>FANNIE MAE &amp; FREDDIE MAC</t>
  </si>
  <si>
    <t>LLPA WAIVER</t>
  </si>
  <si>
    <t>HIGHLIGHTS</t>
  </si>
  <si>
    <t>• Income Type Available</t>
  </si>
  <si>
    <t>12 Mo bank statement</t>
  </si>
  <si>
    <t xml:space="preserve">DSCR </t>
  </si>
  <si>
    <t>Max. Loan Amount of $500,000</t>
  </si>
  <si>
    <t xml:space="preserve">• Min. Loan Amount of $75,000 </t>
  </si>
  <si>
    <t>2nd Mortgage</t>
  </si>
  <si>
    <t xml:space="preserve">• Fixed Rate Closed Ended </t>
  </si>
  <si>
    <t>&amp; Investment Properties</t>
  </si>
  <si>
    <r>
      <t>• Primary, 2</t>
    </r>
    <r>
      <rPr>
        <b/>
        <vertAlign val="superscript"/>
        <sz val="13"/>
        <color theme="1"/>
        <rFont val="Arial"/>
        <family val="2"/>
      </rPr>
      <t>nd</t>
    </r>
    <r>
      <rPr>
        <b/>
        <sz val="13"/>
        <color theme="1"/>
        <rFont val="Arial"/>
        <family val="2"/>
      </rPr>
      <t xml:space="preserve"> Home </t>
    </r>
  </si>
  <si>
    <t xml:space="preserve">PUDS </t>
  </si>
  <si>
    <t>CONDOS</t>
  </si>
  <si>
    <t>• Property Type</t>
  </si>
  <si>
    <t>1-4 Units</t>
  </si>
  <si>
    <t>Ended 2nd Mortgage</t>
  </si>
  <si>
    <t xml:space="preserve">• Fixed Rate Closed </t>
  </si>
  <si>
    <t xml:space="preserve">• Business expense between 30% and 50% </t>
  </si>
  <si>
    <t>from qualified income</t>
  </si>
  <si>
    <t xml:space="preserve">• Closing funds can be verified with 1 month </t>
  </si>
  <si>
    <t>VOD or Bank Certification</t>
  </si>
  <si>
    <t xml:space="preserve">• 1099 income from multiple contract </t>
  </si>
  <si>
    <t>employers allowed</t>
  </si>
  <si>
    <t>1099 income</t>
  </si>
  <si>
    <t xml:space="preserve">• CPA letter to evidence 2 years of </t>
  </si>
  <si>
    <t>apply (refer to guidelines and State restrictions)</t>
  </si>
  <si>
    <t>1-Unit Properties Only</t>
  </si>
  <si>
    <t xml:space="preserve">FIXED </t>
  </si>
  <si>
    <t>FHA MORTGAGE LIMITS</t>
  </si>
  <si>
    <t>FOR ALL AREAS</t>
  </si>
  <si>
    <t>can be searched at</t>
  </si>
  <si>
    <t xml:space="preserve">USDA Property Eligibility </t>
  </si>
  <si>
    <t>VA MORTGAGE LIMITS</t>
  </si>
  <si>
    <t>CAPS</t>
  </si>
  <si>
    <t>**Borrower Paid Compensation Allowed Only**  AIA/AIP</t>
  </si>
  <si>
    <t>State specific restrictions may apply (AIP ONLY)</t>
  </si>
  <si>
    <t xml:space="preserve">Hard PPP: 3 Years (4-4-4%) </t>
  </si>
  <si>
    <t>PROGRAM CODE: AIA</t>
  </si>
  <si>
    <t>AMWEST INVESTOR HIGHLIGHTS - AIA/AIP</t>
  </si>
  <si>
    <t>5-7 properties - 0.00</t>
  </si>
  <si>
    <t>8-10 properties- 0.125</t>
  </si>
  <si>
    <t>11-15 properties- 0.25</t>
  </si>
  <si>
    <t>&gt;=16 properties- 0.375</t>
  </si>
  <si>
    <t>ALL LTV's</t>
  </si>
  <si>
    <t>ADDITIONAL ADJUSTMENTS</t>
  </si>
  <si>
    <t>CONFORMING ARMS</t>
  </si>
  <si>
    <t>FANNIE MAE HOMEREADY CONFORMING &amp; HIGH BALANCE- FIXED &amp; ARM</t>
  </si>
  <si>
    <t>FREDDIE MAC HOMEPOSSIBLE CONFORMING &amp; HIGH BALANCE- FIXED &amp; ARM</t>
  </si>
  <si>
    <t>&gt;4 Owned properties including Financed LLPA</t>
  </si>
  <si>
    <t xml:space="preserve">MAX PRICE ON FIXED PROG </t>
  </si>
  <si>
    <t>AGENCY LLPAs (DU/LP) - FIXED &amp; ARM (Incl. HomeOne, RefiNow)</t>
  </si>
  <si>
    <r>
      <t xml:space="preserve">STANDARD PREPAYMENT </t>
    </r>
    <r>
      <rPr>
        <b/>
        <u/>
        <sz val="20"/>
        <color theme="0"/>
        <rFont val="Arial"/>
        <family val="2"/>
      </rPr>
      <t>ALLOWED</t>
    </r>
  </si>
  <si>
    <r>
      <rPr>
        <b/>
        <sz val="13"/>
        <color rgb="FFAF2024"/>
        <rFont val="Arial"/>
        <family val="2"/>
      </rPr>
      <t>Email:</t>
    </r>
    <r>
      <rPr>
        <sz val="13"/>
        <color rgb="FFAF2024"/>
        <rFont val="Arial"/>
        <family val="2"/>
      </rPr>
      <t xml:space="preserve">    </t>
    </r>
    <r>
      <rPr>
        <b/>
        <sz val="13"/>
        <color rgb="FFAF2024"/>
        <rFont val="Arial"/>
        <family val="2"/>
      </rPr>
      <t>Lockdesk@amwestfunding.com</t>
    </r>
  </si>
  <si>
    <r>
      <t xml:space="preserve">  eFax:     </t>
    </r>
    <r>
      <rPr>
        <b/>
        <sz val="13"/>
        <color rgb="FFAF2024"/>
        <rFont val="Arial"/>
        <family val="2"/>
      </rPr>
      <t>(714) 905-5620</t>
    </r>
  </si>
  <si>
    <t>Phone:    (714) 831-3299</t>
  </si>
  <si>
    <r>
      <t xml:space="preserve">Lock Desk :     </t>
    </r>
    <r>
      <rPr>
        <b/>
        <sz val="13"/>
        <color rgb="FFAF2024"/>
        <rFont val="Arial"/>
        <family val="2"/>
      </rPr>
      <t>Email:    Lockdesk@amwestfunding.com</t>
    </r>
  </si>
  <si>
    <r>
      <t xml:space="preserve">STANDARD PREPAYMENT </t>
    </r>
    <r>
      <rPr>
        <b/>
        <u/>
        <sz val="18"/>
        <color theme="0"/>
        <rFont val="Arial"/>
        <family val="2"/>
      </rPr>
      <t>ALLOWED</t>
    </r>
  </si>
  <si>
    <t>**(Excluded from Cumulative Cap-  Loan amts ,lock term</t>
  </si>
  <si>
    <t>&amp; State Adjuster)</t>
  </si>
  <si>
    <r>
      <t xml:space="preserve">Lock Desk :    </t>
    </r>
    <r>
      <rPr>
        <b/>
        <sz val="13"/>
        <color rgb="FFAF2024"/>
        <rFont val="Arial"/>
        <family val="2"/>
      </rPr>
      <t>Email:    Lockdesk@amwestfunding.com</t>
    </r>
  </si>
  <si>
    <t>(LPMI) Product Codes:</t>
  </si>
  <si>
    <t>FCF30HRHB LPMI</t>
  </si>
  <si>
    <t>(BPMI) Product code:</t>
  </si>
  <si>
    <t>(BPMI) Product Codes:</t>
  </si>
  <si>
    <t xml:space="preserve">MAX PRICE ON ARM PROG </t>
  </si>
  <si>
    <r>
      <t xml:space="preserve">Lock Desk :     </t>
    </r>
    <r>
      <rPr>
        <b/>
        <sz val="13"/>
        <color rgb="FFAF2024"/>
        <rFont val="Arial"/>
        <family val="2"/>
      </rPr>
      <t>Email: Lockdesk@amwestfunding.com</t>
    </r>
  </si>
  <si>
    <t>Email: Lockdesk@amwestfunding.com</t>
  </si>
  <si>
    <t>FOOTNOTES</t>
  </si>
  <si>
    <t xml:space="preserve">3YR PREPAY </t>
  </si>
  <si>
    <t>HomeReady &amp; HomePossible</t>
  </si>
  <si>
    <t>Short-Term Rental</t>
  </si>
  <si>
    <t>State Adjuster</t>
  </si>
  <si>
    <r>
      <t xml:space="preserve">NO PREPAYMENT </t>
    </r>
    <r>
      <rPr>
        <b/>
        <u/>
        <sz val="20"/>
        <color theme="0"/>
        <rFont val="Arial"/>
        <family val="2"/>
      </rPr>
      <t>ALLOWED</t>
    </r>
  </si>
  <si>
    <r>
      <t xml:space="preserve">NO PREPAYMENT </t>
    </r>
    <r>
      <rPr>
        <b/>
        <u/>
        <sz val="18"/>
        <color theme="0"/>
        <rFont val="Arial"/>
        <family val="2"/>
      </rPr>
      <t>ALLOWED</t>
    </r>
  </si>
  <si>
    <t>(CA5/6 HR) 5YR ARM</t>
  </si>
  <si>
    <t>(CA7/6 HR) 7YR ARM</t>
  </si>
  <si>
    <t>(CA10/6 HR) 10YR ARM</t>
  </si>
  <si>
    <t>(FM5/6 HP) 5YR ARM</t>
  </si>
  <si>
    <t>(FM7/6 HP) 7YR ARM</t>
  </si>
  <si>
    <t>(FM10/6 HP) 10YR ARM</t>
  </si>
  <si>
    <t xml:space="preserve"> ADVANTAGE</t>
  </si>
  <si>
    <t>AMWEST INVESTOR ADVANTAGE</t>
  </si>
  <si>
    <t>(AIA 7/6) 7 YR ARM</t>
  </si>
  <si>
    <t xml:space="preserve">30 DAYS </t>
  </si>
  <si>
    <t xml:space="preserve">AMWEST INVESTOR PLUS </t>
  </si>
  <si>
    <t>(CES30) 30 YR</t>
  </si>
  <si>
    <t>(CES20) 20 YR</t>
  </si>
  <si>
    <t>(AIP 7/6)     7 YR ARM</t>
  </si>
  <si>
    <t>(AIP 30) 30 YR</t>
  </si>
  <si>
    <t xml:space="preserve">(AIP 15)    15 YR </t>
  </si>
  <si>
    <t>(AIA30)  30 YR</t>
  </si>
  <si>
    <t>(FCF30HR)  30 YR</t>
  </si>
  <si>
    <t xml:space="preserve">(FCF30HR HB)  30 YR </t>
  </si>
  <si>
    <t>(FM30HP)  30 YR</t>
  </si>
  <si>
    <t>(FMSC30HP)  30 YR</t>
  </si>
  <si>
    <t>1 YR tax return &gt;90% LTV (self-employment)</t>
  </si>
  <si>
    <t>Rate&amp;Term  (Loan terms &gt; 15 YR)</t>
  </si>
  <si>
    <t>Purchase(Loan terms &gt; 15 YR)</t>
  </si>
  <si>
    <t>(FHA30)  30 YR</t>
  </si>
  <si>
    <t>(FHA30HB)                                 30 YR HB</t>
  </si>
  <si>
    <t>(FHA15) 15 YR</t>
  </si>
  <si>
    <t>(FHA30SL)  30 YR</t>
  </si>
  <si>
    <t>(FHA15SL) 15 YR</t>
  </si>
  <si>
    <t>(FHA30HBSL)                    30 YR HB</t>
  </si>
  <si>
    <t>(VA30)  30 YR</t>
  </si>
  <si>
    <t>(VA30HB)                                30 YR HB</t>
  </si>
  <si>
    <t>(VA15) 15 YR</t>
  </si>
  <si>
    <t>(VA30IRRRL) 30 YR</t>
  </si>
  <si>
    <t>(VA30HBIRRRL)                          30 YR HB</t>
  </si>
  <si>
    <t>(USDA30)  30 YR</t>
  </si>
  <si>
    <t>CLOSED-END SECOND- (FULL DOC)</t>
  </si>
  <si>
    <t>CLOSED-END SECOND- (ALT DOC)</t>
  </si>
  <si>
    <t>CES - FULL DOC</t>
  </si>
  <si>
    <t>CES - ALT DOC</t>
  </si>
  <si>
    <t>FULL DOC</t>
  </si>
  <si>
    <t>2-4 Units up to 95%</t>
  </si>
  <si>
    <t>Principal residence, Purchase &amp; R/T refinances</t>
  </si>
  <si>
    <t>High Balance is not available</t>
  </si>
  <si>
    <t>FANNIE MAE  ONLY</t>
  </si>
  <si>
    <t>≤ $1M: 6 mo. PITIA</t>
  </si>
  <si>
    <t>≤ $2M: 9 mo. PITIA</t>
  </si>
  <si>
    <t>≤ $3M: 12 mo. PITIA</t>
  </si>
  <si>
    <t>HELOC</t>
  </si>
  <si>
    <t>NOTE RATE: Prime Rate + Margin</t>
  </si>
  <si>
    <t>Qualifying Rate: Note Rate + 2.00%</t>
  </si>
  <si>
    <t>Qualifying payment: Qualifying rate over</t>
  </si>
  <si>
    <t>amortizing repayment period</t>
  </si>
  <si>
    <t xml:space="preserve">Qualify using the fully amortized </t>
  </si>
  <si>
    <t>payment calculated over the 20-year</t>
  </si>
  <si>
    <t>fully amortization period.</t>
  </si>
  <si>
    <t>• 1-Unit only for Second Homes</t>
  </si>
  <si>
    <t>• Second Homes: Max CLTV of 75%</t>
  </si>
  <si>
    <t>Primary</t>
  </si>
  <si>
    <t xml:space="preserve">  FICO is 700 with Max CLTV of 80.00%</t>
  </si>
  <si>
    <t>Investment</t>
  </si>
  <si>
    <t xml:space="preserve">• Borrowers with No Credit Score must assume </t>
  </si>
  <si>
    <t xml:space="preserve">credit score of 620 (Purchase/R&amp;T) and 660 </t>
  </si>
  <si>
    <t>(Cash-Out)</t>
  </si>
  <si>
    <t>CA5/6HR-E  CA7/6HR-E  CA10/6HR-E</t>
  </si>
  <si>
    <t>FCF30HRHB-E</t>
  </si>
  <si>
    <t>FCF30HR-E</t>
  </si>
  <si>
    <t>(HomeReady Enhancement) Product code:</t>
  </si>
  <si>
    <t>HomeReady &amp; HomePossible Enhancement programs with $2,500 credits available!!</t>
  </si>
  <si>
    <t>(HomePossible Enhancement) Product code:</t>
  </si>
  <si>
    <t>FM30HP-E</t>
  </si>
  <si>
    <t>FMSC30 HP-E</t>
  </si>
  <si>
    <t>FM5/6HP-E  FM7/6HP-E  FM10/6HP-E</t>
  </si>
  <si>
    <t>7/6= 5/1/5</t>
  </si>
  <si>
    <t>10/6= 5/1/5</t>
  </si>
  <si>
    <t>Applicable AMI (Area Median Income )</t>
  </si>
  <si>
    <t>CLICK HERE</t>
  </si>
  <si>
    <t>(CLICK HERE)</t>
  </si>
  <si>
    <t>Must be first-time home buyer with</t>
  </si>
  <si>
    <t>PUD/CONDO</t>
  </si>
  <si>
    <t>• For Bank Statement income doc type, min</t>
  </si>
  <si>
    <t>BANK STATEMENT HIGHLIGHTS</t>
  </si>
  <si>
    <t xml:space="preserve">CAPS  </t>
  </si>
  <si>
    <t xml:space="preserve">Floor = </t>
  </si>
  <si>
    <t>Start Rate</t>
  </si>
  <si>
    <t>5/1/5</t>
  </si>
  <si>
    <t>Lender Fees:  VA ,FHA &amp; USDA  $1,295,  FHA STREAMLINES/VA-IRRRL $795           Lock Extensions:  2 bps per Day (Max of 30 Days)        Redraw Fee $150.00</t>
  </si>
  <si>
    <t xml:space="preserve">5YR PREPAY </t>
  </si>
  <si>
    <t xml:space="preserve">4YR PREPAY </t>
  </si>
  <si>
    <t>STATES with "RESTRICTED" PREPAYMENT</t>
  </si>
  <si>
    <t>5YR PPP</t>
  </si>
  <si>
    <t>4YR PPP</t>
  </si>
  <si>
    <t>AIA7/6P5, AIA7/6P5 IO, AIA30P5</t>
  </si>
  <si>
    <t>AIA7/6P4, AIA7/6P4 IO, AIA30P4</t>
  </si>
  <si>
    <t>AIP7/6P5, AIP7/6P5 IO, AIP30P5, AIP15P5</t>
  </si>
  <si>
    <t xml:space="preserve">AIP7/6P4, AIP7/6P4 IO, AIP30P4, AIP15P4 </t>
  </si>
  <si>
    <t>5YR PREPAY</t>
  </si>
  <si>
    <t>4YR PREPAY</t>
  </si>
  <si>
    <t>3YR PREPAY</t>
  </si>
  <si>
    <t>CONDO</t>
  </si>
  <si>
    <t xml:space="preserve">Producs available:  </t>
  </si>
  <si>
    <t>Products available</t>
  </si>
  <si>
    <t>30YR FIXED- AAF30</t>
  </si>
  <si>
    <t>20YR FIXED - AAF20</t>
  </si>
  <si>
    <t>7/6 ARM- AAA7/6</t>
  </si>
  <si>
    <t>7/6 ARM (I/O)- AAA7/6IO</t>
  </si>
  <si>
    <t>B1=12 Months / B2=24 months</t>
  </si>
  <si>
    <t>Buydown Option will end in B1 or B2</t>
  </si>
  <si>
    <t>30YR FIXED- AAQ30</t>
  </si>
  <si>
    <t>7/6 ARM- AAQ7/6</t>
  </si>
  <si>
    <t>7/6 ARM (I/O)- AAQ7/6IO</t>
  </si>
  <si>
    <t>30YR FIXED- AAI30</t>
  </si>
  <si>
    <t>15YR FIXED - AAI15</t>
  </si>
  <si>
    <t>7/6 ARM- AAI7/6</t>
  </si>
  <si>
    <t>7/6 ARM (I/O)- AAI7/6IO</t>
  </si>
  <si>
    <t>(AAF30) 30YR FIXED</t>
  </si>
  <si>
    <t>(AAQ30) 30YR FIXED</t>
  </si>
  <si>
    <t>(AAI30) 30YR FIXED</t>
  </si>
  <si>
    <t>12 mth Bank Statement</t>
  </si>
  <si>
    <t xml:space="preserve">A letter prepared by a licensed tax preparer </t>
  </si>
  <si>
    <t>stating the expense ratio</t>
  </si>
  <si>
    <t>• Reserves</t>
  </si>
  <si>
    <t>• Documents for business expense:</t>
  </si>
  <si>
    <t>• W-2 income allowed</t>
  </si>
  <si>
    <t>• MAX LTV:  85% (O/O and 2nd home only)</t>
  </si>
  <si>
    <t>• 12 or 24 Months allowed</t>
  </si>
  <si>
    <t>• 12 or 24 Months Allowed - Bank Statements</t>
  </si>
  <si>
    <t>• W-2 Income allowed</t>
  </si>
  <si>
    <t xml:space="preserve">• A letter prepared by a Licensed Tax Preparer </t>
  </si>
  <si>
    <t>stating the Expense Ratio</t>
  </si>
  <si>
    <t>• Limited to 70% LTV (Purchase &amp; R/T)</t>
  </si>
  <si>
    <t xml:space="preserve">ADDITIONAL PRICE ADJUSTMENTS </t>
  </si>
  <si>
    <t>30-Years Fixed</t>
  </si>
  <si>
    <t xml:space="preserve">Product Code:   </t>
  </si>
  <si>
    <t xml:space="preserve">1 Year Tax Return </t>
  </si>
  <si>
    <t>ADVATANGE ONE HIGHLIGHTS</t>
  </si>
  <si>
    <t>• Reserves/Assets required per DU</t>
  </si>
  <si>
    <t>• 1 yr Income documents</t>
  </si>
  <si>
    <t>(both Self-Employed &amp; Salaried borrowers)</t>
  </si>
  <si>
    <t>• Findings per DU</t>
  </si>
  <si>
    <t>(Approved/Ineligible due to loan amount)</t>
  </si>
  <si>
    <t>• No Tradeline requirements</t>
  </si>
  <si>
    <t>with DU approval</t>
  </si>
  <si>
    <t>• First Time Homebuyers Allowed</t>
  </si>
  <si>
    <t xml:space="preserve">•Investment Properties: Prepayment Penalty may </t>
  </si>
  <si>
    <t>24 mth Bank Statement</t>
  </si>
  <si>
    <t>ITIN  12 mth Bank Stmt</t>
  </si>
  <si>
    <t>(AAB30)</t>
  </si>
  <si>
    <t>ADVANTAGE ONE</t>
  </si>
  <si>
    <t>(AAO30)</t>
  </si>
  <si>
    <t>30YR FIXED-AAB30</t>
  </si>
  <si>
    <t>15YR FIXED -AAB15</t>
  </si>
  <si>
    <t>7/6 ARM- AAB7/6</t>
  </si>
  <si>
    <t>7/6 ARM (I/O)- AAB7/6</t>
  </si>
  <si>
    <t>30YR FIXED- AAO30</t>
  </si>
  <si>
    <t>7/6 ARM- AAO7/6</t>
  </si>
  <si>
    <t xml:space="preserve"> ADVANTAGE BANK STMT</t>
  </si>
  <si>
    <t>ADVANTAGE BANK STMT</t>
  </si>
  <si>
    <t>FLOOR = START RATE</t>
  </si>
  <si>
    <t>Lender Fees:   AIA/AIP  $1,695       Lock Extensions:  2 bps per Day (Max of 30 Days)      Redraw Fee $150.00</t>
  </si>
  <si>
    <t>Lender Fees:  QM-CES $1,195 /NQM-CES $1,395    Lock Extensions:  2 bps per Day (Max of 30 Days)                       Redraw Fee $150.00</t>
  </si>
  <si>
    <t>• Min. Loan Amount of $75,000</t>
  </si>
  <si>
    <t>ITIN  Full Doc</t>
  </si>
  <si>
    <t>ITIN  24 mth Bank Stmt/1099</t>
  </si>
  <si>
    <t>2yr Prepay or Primary Residence</t>
  </si>
  <si>
    <t>•Loan Amount up to $3M</t>
  </si>
  <si>
    <t>Florida Condo</t>
  </si>
  <si>
    <t>Alt Doc Rate Adjustments</t>
  </si>
  <si>
    <t>NO RATIO</t>
  </si>
  <si>
    <t>Full + Alt Price Adjustments</t>
  </si>
  <si>
    <t>NOO (DSCR/NoRatio Excluded)</t>
  </si>
  <si>
    <t>DTI &gt; 43</t>
  </si>
  <si>
    <t>Lock Term 45 dys</t>
  </si>
  <si>
    <t>Draw Terms (Full + Alt Price Adjustments)</t>
  </si>
  <si>
    <t>INCOME DOC TYPES</t>
  </si>
  <si>
    <t>•</t>
  </si>
  <si>
    <t>• No Ratio</t>
  </si>
  <si>
    <t>• DSCR</t>
  </si>
  <si>
    <t>• WVOE</t>
  </si>
  <si>
    <t>• P&amp;L</t>
  </si>
  <si>
    <t>12 M Bank Statements</t>
  </si>
  <si>
    <t>24 M Bank Statements</t>
  </si>
  <si>
    <t>• No Income</t>
  </si>
  <si>
    <t xml:space="preserve">PRIME </t>
  </si>
  <si>
    <t>Index</t>
  </si>
  <si>
    <t>Margin</t>
  </si>
  <si>
    <t>Price</t>
  </si>
  <si>
    <t>Alt Doc</t>
  </si>
  <si>
    <t>Click For Guideline - Alt Doc</t>
  </si>
  <si>
    <t>Click For Guideline - FULL doc</t>
  </si>
  <si>
    <t>First Time Homebuyer</t>
  </si>
  <si>
    <t xml:space="preserve"> MAX LOAN AMOUNT</t>
  </si>
  <si>
    <t xml:space="preserve">     MAX LTV/CLTV </t>
  </si>
  <si>
    <t xml:space="preserve">*OCCUPANCY                                    </t>
  </si>
  <si>
    <r>
      <t xml:space="preserve">eFax:  </t>
    </r>
    <r>
      <rPr>
        <b/>
        <sz val="13"/>
        <color rgb="FFAF2024"/>
        <rFont val="Arial"/>
        <family val="2"/>
      </rPr>
      <t>(714) 421-4032</t>
    </r>
  </si>
  <si>
    <t>eFax: (714) 421-4032</t>
  </si>
  <si>
    <t xml:space="preserve">*Full doc </t>
  </si>
  <si>
    <t>MICHIGAN PREPAY ADJUSTMENTS</t>
  </si>
  <si>
    <t>*MAX PRICE</t>
  </si>
  <si>
    <t>**MAX PRICE</t>
  </si>
  <si>
    <t>STATE ADJUSTER</t>
  </si>
  <si>
    <t>**Includes No Income , No Ratio</t>
  </si>
  <si>
    <t xml:space="preserve">***Excludes Maryland </t>
  </si>
  <si>
    <t>PAR</t>
  </si>
  <si>
    <t xml:space="preserve">For Nat'l + 2nd Home </t>
  </si>
  <si>
    <r>
      <rPr>
        <b/>
        <sz val="11"/>
        <color rgb="FFC00000"/>
        <rFont val="Arial"/>
        <family val="2"/>
      </rPr>
      <t>Email:</t>
    </r>
    <r>
      <rPr>
        <sz val="11"/>
        <color rgb="FFC00000"/>
        <rFont val="Arial"/>
        <family val="2"/>
      </rPr>
      <t xml:space="preserve">    </t>
    </r>
    <r>
      <rPr>
        <b/>
        <sz val="11"/>
        <color rgb="FFC00000"/>
        <rFont val="Arial"/>
        <family val="2"/>
      </rPr>
      <t>LockDesk@amwestfunding.com</t>
    </r>
  </si>
  <si>
    <r>
      <t xml:space="preserve"> eFax: </t>
    </r>
    <r>
      <rPr>
        <b/>
        <sz val="10"/>
        <color rgb="FFAF2024"/>
        <rFont val="Arial"/>
        <family val="2"/>
      </rPr>
      <t>(714) 421-4032</t>
    </r>
  </si>
  <si>
    <t xml:space="preserve">      </t>
  </si>
  <si>
    <t>AUS JUMBO EXPRESS</t>
  </si>
  <si>
    <t>(JEA30) 30 YEAR</t>
  </si>
  <si>
    <t>(JEA15) 15 YEAR</t>
  </si>
  <si>
    <t>•  Loans underwritten through DU or LPA</t>
  </si>
  <si>
    <t>•  Purchase , Rate-Term &amp; Cash Out Refinance</t>
  </si>
  <si>
    <t>•  Primary (1-2 Units) , Second Home (1-Unit) &amp; Investment (1-2 Units)</t>
  </si>
  <si>
    <t>•  Minimum FICO: 700</t>
  </si>
  <si>
    <t>•  Max DTI 50%</t>
  </si>
  <si>
    <t>•  No Mortgage Insurance required</t>
  </si>
  <si>
    <t>•  Minimum Loan Amount - $1 over the agency conforming loan size</t>
  </si>
  <si>
    <t>Temporary Buydowns – Product codes for Buydown Option will end in</t>
  </si>
  <si>
    <t xml:space="preserve"> –B1 or –B2 (B1=12 months / B2= 24 months terms).</t>
  </si>
  <si>
    <t>30 YEAR:</t>
  </si>
  <si>
    <t>JEA30-B1 / JEA30-B2</t>
  </si>
  <si>
    <t>15 YEAR:</t>
  </si>
  <si>
    <t>JEA15-B1 / JEA15-B2</t>
  </si>
  <si>
    <t>LTV/CLTV</t>
  </si>
  <si>
    <t>&lt;=55.00</t>
  </si>
  <si>
    <t>800+</t>
  </si>
  <si>
    <t>2nd Home</t>
  </si>
  <si>
    <t>LOAN PURPOSE</t>
  </si>
  <si>
    <t>PURCHASE</t>
  </si>
  <si>
    <t>CASH-OUT</t>
  </si>
  <si>
    <t>LOAN AMOUNT ADJUSTERS</t>
  </si>
  <si>
    <t>L.A: &lt;=$900,000</t>
  </si>
  <si>
    <t>30YR FIXED</t>
  </si>
  <si>
    <t>L.A: $900,001-$1,000,000</t>
  </si>
  <si>
    <t>15YR FIXED</t>
  </si>
  <si>
    <t>L.A: $1,000,001-$1,100,000</t>
  </si>
  <si>
    <t>L.A: $1,100,001-$1,200,000</t>
  </si>
  <si>
    <t>L.A: $1,200,001-$1,300,000</t>
  </si>
  <si>
    <t>L.A: $1,300,001-$1,400,000</t>
  </si>
  <si>
    <t>L.A: $1,400,001-$1,500,000</t>
  </si>
  <si>
    <t>L.A: $1,500,001-$1,750,000</t>
  </si>
  <si>
    <t>L.A: $1,750,001-$2,000,000</t>
  </si>
  <si>
    <t>L.A: $2,000,001-$2,500,000</t>
  </si>
  <si>
    <t>L.A: $2,500,001-$3,000,000</t>
  </si>
  <si>
    <t>Jumbo products must be U/W approved to lock /  Investor Approval required</t>
  </si>
  <si>
    <t>Lender Fees:  JUMBO $1,395      Lock Extensions:  2 bps per Day (Max of 30 Days)                       Redraw Fee $150.00</t>
  </si>
  <si>
    <t>•  LTV up to 89.99% No MI</t>
  </si>
  <si>
    <t>•  Loan Amounts to $3 Million</t>
  </si>
  <si>
    <t>•  Fixed Rate with terms of 30 &amp; 15 years</t>
  </si>
  <si>
    <t>•  2:1 and 1:0 Temp Buydown Options</t>
  </si>
  <si>
    <t xml:space="preserve">For Nat'l &amp; 2nd Home </t>
  </si>
  <si>
    <t xml:space="preserve">Lock Hours:  8:30AM-5:00 PM PST </t>
  </si>
  <si>
    <t xml:space="preserve">          Lock Hours:  8:30AM-5:00 PM PST </t>
  </si>
  <si>
    <t xml:space="preserve">                  Lock Hours:  8:30AM-5:00 PM PST </t>
  </si>
  <si>
    <t>STATE:  NJ</t>
  </si>
  <si>
    <t>Other Alt Doc FICO/CLTV Price Adjustments</t>
  </si>
  <si>
    <t>Additional Price Adjustments</t>
  </si>
  <si>
    <t>Full Doc FICO/CLTV Price Adjustments</t>
  </si>
  <si>
    <t>Additional Alt Doc Price Adjustments</t>
  </si>
  <si>
    <t>Bank Statement FICO/CLTV Price Adjustments</t>
  </si>
  <si>
    <t>FICO/CLTV Price Adjustments</t>
  </si>
  <si>
    <t>&lt;=55.00%</t>
  </si>
  <si>
    <t>• The Maximum Repay Period of 30 Years</t>
  </si>
  <si>
    <t xml:space="preserve"> refers to the total length of the Loan</t>
  </si>
  <si>
    <t xml:space="preserve">Bank Statement , DSCR </t>
  </si>
  <si>
    <t>*Includes Full Doc ,WVOE, P&amp;L</t>
  </si>
  <si>
    <t>0.00-55</t>
  </si>
  <si>
    <t>50.01-55</t>
  </si>
  <si>
    <t>0.00-50</t>
  </si>
  <si>
    <t xml:space="preserve">ADDITIONAL RATE ADJUSTMENTS </t>
  </si>
  <si>
    <r>
      <rPr>
        <b/>
        <u/>
        <sz val="19"/>
        <color theme="0"/>
        <rFont val="Arial"/>
        <family val="2"/>
      </rPr>
      <t>RATE</t>
    </r>
    <r>
      <rPr>
        <b/>
        <sz val="19"/>
        <color theme="0"/>
        <rFont val="Arial"/>
        <family val="2"/>
      </rPr>
      <t xml:space="preserve"> ADJUSTMENTS - AIP</t>
    </r>
  </si>
  <si>
    <t>7/6 ARM - AIP</t>
  </si>
  <si>
    <t>7/6 ARM AAB, AAA, AAQ, AAI, AAO</t>
  </si>
  <si>
    <t>NO PENALTY</t>
  </si>
  <si>
    <t xml:space="preserve">2YR PREPAY </t>
  </si>
  <si>
    <t>PREPAY PENALTY (NOO ONLY)</t>
  </si>
  <si>
    <t>OWNER OCC &amp; 2nd Home</t>
  </si>
  <si>
    <r>
      <rPr>
        <b/>
        <sz val="13"/>
        <rFont val="Arial"/>
        <family val="2"/>
      </rPr>
      <t>Max Price</t>
    </r>
    <r>
      <rPr>
        <b/>
        <sz val="13"/>
        <color rgb="FFFF0000"/>
        <rFont val="Arial"/>
        <family val="2"/>
      </rPr>
      <t xml:space="preserve"> (0.000) / Use 2Y PPP base price</t>
    </r>
  </si>
  <si>
    <r>
      <t xml:space="preserve">5YR PPP     Max Price of </t>
    </r>
    <r>
      <rPr>
        <b/>
        <sz val="13"/>
        <color rgb="FFFF0000"/>
        <rFont val="Arial"/>
        <family val="2"/>
      </rPr>
      <t xml:space="preserve"> (1.500)</t>
    </r>
  </si>
  <si>
    <r>
      <t xml:space="preserve">4YR PPP      Max Price of  </t>
    </r>
    <r>
      <rPr>
        <b/>
        <sz val="13"/>
        <color rgb="FFFF0000"/>
        <rFont val="Arial"/>
        <family val="2"/>
      </rPr>
      <t>(1.500)</t>
    </r>
  </si>
  <si>
    <r>
      <t>3YR PPP        Max Price of</t>
    </r>
    <r>
      <rPr>
        <b/>
        <sz val="13"/>
        <color rgb="FFFF0000"/>
        <rFont val="Arial"/>
        <family val="2"/>
      </rPr>
      <t xml:space="preserve">  (1.500)</t>
    </r>
  </si>
  <si>
    <r>
      <t xml:space="preserve">2YR PPP      Max Price of  </t>
    </r>
    <r>
      <rPr>
        <b/>
        <sz val="13"/>
        <color rgb="FFFF0000"/>
        <rFont val="Arial"/>
        <family val="2"/>
      </rPr>
      <t>(1.000)</t>
    </r>
  </si>
  <si>
    <r>
      <t xml:space="preserve">1YR PPP        Max Price of  </t>
    </r>
    <r>
      <rPr>
        <b/>
        <sz val="13"/>
        <color rgb="FFFF0000"/>
        <rFont val="Arial"/>
        <family val="2"/>
      </rPr>
      <t>(0.500)</t>
    </r>
  </si>
  <si>
    <r>
      <t xml:space="preserve">NO PPP         Max Price of  </t>
    </r>
    <r>
      <rPr>
        <b/>
        <sz val="13"/>
        <color rgb="FFFF0000"/>
        <rFont val="Arial"/>
        <family val="2"/>
      </rPr>
      <t>(0.000)</t>
    </r>
  </si>
  <si>
    <r>
      <t>FAST TRACK LLPA's</t>
    </r>
    <r>
      <rPr>
        <b/>
        <sz val="13"/>
        <color theme="0"/>
        <rFont val="Arial"/>
        <family val="2"/>
      </rPr>
      <t xml:space="preserve"> (FFT &amp; FMFT)</t>
    </r>
  </si>
  <si>
    <t>MINIMUM PRICE</t>
  </si>
  <si>
    <t>75% LTV (Cash-Out)</t>
  </si>
  <si>
    <t>IL, IN, KY,OH, TX,MI,MS,PA</t>
  </si>
  <si>
    <t>AL,AZ,AK,CA,CT,CO,DC,DE,FL,GA,HI,ID, IA,LA,ME,MD,MA,MO,MT,NE,NV,NH,NY,NC,ND,OK,OR,SC,SD,TN,UT,VA,WA,WV,WI,WY</t>
  </si>
  <si>
    <t>AK, KS, MN, NJ,NM,RI,VT</t>
  </si>
  <si>
    <t>OK,OR,SC,SD,TN,UT,VA,WA,WV,WI,WY</t>
  </si>
  <si>
    <t>AL,AZ,AK,CA,CT,CO,DC,DE,FL,GA,HI,ID, IA,LA,ME,MD,MA,MO,MT,NE,NV,NH,NY,NC,ND</t>
  </si>
  <si>
    <t>Baltimore County-MD</t>
  </si>
  <si>
    <t>&gt;80</t>
  </si>
  <si>
    <t>2YR PREPAY</t>
  </si>
  <si>
    <t>*NO PREPAY</t>
  </si>
  <si>
    <t>PRICE</t>
  </si>
  <si>
    <t>FICO LTV ADJUSTMENTS</t>
  </si>
  <si>
    <t xml:space="preserve">LOAN SPECIFIC ADJUSTERS </t>
  </si>
  <si>
    <t>PREPAYMENT ADJUSTER</t>
  </si>
  <si>
    <t>ADDITIONAL PRICE ADJUSTMENTS</t>
  </si>
  <si>
    <t>PRICE ADJUSTMENTS - AIA</t>
  </si>
  <si>
    <t>Lender Fees:  CONVENTIONAL $1,295     Lock Extensions:  2 bps per Day (Max of 30 Days)                       Redraw Fee $150.00</t>
  </si>
  <si>
    <t>Lender Fees: Full doc HELOC $1,195 &amp; NQM HELOC: $1,695  Lock Extensions:  2 bps per Day (Max of 30 Days)                       Redraw Fee $150.00</t>
  </si>
  <si>
    <t>Lender Fees:  AAA, AAB, AAF, AAI, AAO  $1,995     Lock Extensions:  2 bps per Day (Max of 30 Days)          Redraw Fee $150.00</t>
  </si>
  <si>
    <t>Lender Fees:   AIA/AIP  $1,995       Lock Extensions:  2 bps per Day (Max of 30 Days)      Redraw Fee $150.00</t>
  </si>
  <si>
    <t>L.A: $3,000,001-$3,500,000</t>
  </si>
  <si>
    <t>DTI &lt;= 30%</t>
  </si>
  <si>
    <t>DTI &gt; 45%</t>
  </si>
  <si>
    <t>45 DAYS</t>
  </si>
  <si>
    <t>FAST TRACK (FANNIE MAE &amp; FREDDIE MAC)</t>
  </si>
  <si>
    <t>HIGH BALANCE FIXED</t>
  </si>
  <si>
    <t>(FFT30)  30 YEAR</t>
  </si>
  <si>
    <t>(FMFT30)  30 YEAR</t>
  </si>
  <si>
    <t xml:space="preserve">(FFT20)  20 YEAR </t>
  </si>
  <si>
    <t xml:space="preserve">(FMFT20)  20 YEAR </t>
  </si>
  <si>
    <t xml:space="preserve">(FFT15)  15 YEAR </t>
  </si>
  <si>
    <t xml:space="preserve">(FMFT15)  15 YEAR </t>
  </si>
  <si>
    <t xml:space="preserve">(FFT10)  10 YEAR </t>
  </si>
  <si>
    <t xml:space="preserve">(FMFT10)  10 YEAR </t>
  </si>
  <si>
    <t>(FFT30HB) 30 YEAR</t>
  </si>
  <si>
    <t>(FMFT30SC) 30 YEAR</t>
  </si>
  <si>
    <t xml:space="preserve">( FFT15HB) 15 YEAR </t>
  </si>
  <si>
    <t xml:space="preserve">( FMFT15SC) 15 YEAR </t>
  </si>
  <si>
    <t>FIXED PROGRAMS (FANNIE MAE &amp; FREDDIE MAC)</t>
  </si>
  <si>
    <t>(FCF30) 30 YEAR</t>
  </si>
  <si>
    <t xml:space="preserve">(FM30) / (FM30 RP)  30 YEAR </t>
  </si>
  <si>
    <t xml:space="preserve">(FCF20)  20 YEAR </t>
  </si>
  <si>
    <t xml:space="preserve">(FM20)  20 YEAR </t>
  </si>
  <si>
    <t xml:space="preserve">(FCF15) 15 YEAR </t>
  </si>
  <si>
    <t xml:space="preserve">(FM15) / (FM15 RP) 15 YEAR </t>
  </si>
  <si>
    <t xml:space="preserve">(FCF10) 10 YEAR </t>
  </si>
  <si>
    <t xml:space="preserve">(FM10) 10 YEAR </t>
  </si>
  <si>
    <t>(FCF30HB) 30 YEAR</t>
  </si>
  <si>
    <t>(FMSC30) 30 YEAR</t>
  </si>
  <si>
    <t xml:space="preserve">( FCF15HB) 15 YEAR </t>
  </si>
  <si>
    <t xml:space="preserve">(FMSC15) 15 YEAR </t>
  </si>
  <si>
    <t>AFFORDABLE PRODUCTS  (FANNIE MAE &amp; FREDDIE MAC)</t>
  </si>
  <si>
    <t>REFINOW</t>
  </si>
  <si>
    <t>HOMEONE</t>
  </si>
  <si>
    <t>(FCF30 RN) 30 YEAR</t>
  </si>
  <si>
    <t>(FM30HO) 30 YEAR</t>
  </si>
  <si>
    <t>(FM15HO) 15 YEAR</t>
  </si>
  <si>
    <t>ARMS</t>
  </si>
  <si>
    <t>HB ARMS</t>
  </si>
  <si>
    <t>PG 1 OF 12</t>
  </si>
  <si>
    <t>2 of 12</t>
  </si>
  <si>
    <t>4 of 12</t>
  </si>
  <si>
    <t>6 of 12</t>
  </si>
  <si>
    <t>8 of 12</t>
  </si>
  <si>
    <t>9 of 12</t>
  </si>
  <si>
    <t>10 of 12</t>
  </si>
  <si>
    <t>11 of 12</t>
  </si>
  <si>
    <t>12 of 12</t>
  </si>
  <si>
    <t>(FCF15 RN) 15 YEAR</t>
  </si>
  <si>
    <t>4 of 11</t>
  </si>
  <si>
    <t>Lock Expiration Dates</t>
  </si>
  <si>
    <t>30 Day Lock</t>
  </si>
  <si>
    <t>45 Day Lock</t>
  </si>
  <si>
    <t>60 Day Lock</t>
  </si>
  <si>
    <t>6 of 11</t>
  </si>
  <si>
    <t>8 of 11</t>
  </si>
  <si>
    <t>Amort Type</t>
  </si>
  <si>
    <t>FIXED</t>
  </si>
  <si>
    <t>OTHER ADJUSTERS</t>
  </si>
  <si>
    <t>85.01-89.99</t>
  </si>
  <si>
    <t>FTHB (Excl. Foreign National)</t>
  </si>
  <si>
    <t>PURCHASE SPECIAL</t>
  </si>
  <si>
    <t>NOO Additional Adjustments (30YR FIXED ONLY)</t>
  </si>
  <si>
    <t>Purchase</t>
  </si>
  <si>
    <t>Rate&amp;Term</t>
  </si>
  <si>
    <t>High Balance</t>
  </si>
  <si>
    <t>Cash Out</t>
  </si>
  <si>
    <t>2nd Home Additional Adjustments (30YR FIXED ONLY)</t>
  </si>
  <si>
    <t>Purchase / R&amp;T</t>
  </si>
  <si>
    <t>***NO INCOME</t>
  </si>
  <si>
    <t>VA IRRRL LTV &gt;90.00%</t>
  </si>
  <si>
    <t>Fico 680-719</t>
  </si>
  <si>
    <t xml:space="preserve">7/6 ARM </t>
  </si>
  <si>
    <t>ACE SPECIAL</t>
  </si>
  <si>
    <t>Non-Warrantable - CONDO/CONDOTEL</t>
  </si>
  <si>
    <r>
      <t xml:space="preserve">Non-Warrantable - </t>
    </r>
    <r>
      <rPr>
        <b/>
        <sz val="11"/>
        <color theme="1"/>
        <rFont val="Arial"/>
        <family val="2"/>
      </rPr>
      <t>CONDO/CONDOTEL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</si>
</sst>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3" formatCode="_(* #,##0.00_);_(* \(#,##0.00\);_(* &quot;-&quot;??_);_(@_)"/>
    <numFmt numFmtId="164" formatCode="0.000_);[Red]\(0.000\)"/>
    <numFmt numFmtId="165" formatCode="mm/dd/yy;@"/>
    <numFmt numFmtId="166" formatCode="0.000"/>
    <numFmt numFmtId="167" formatCode="0.000%"/>
    <numFmt numFmtId="168" formatCode="0.000_);\(0.000\)"/>
    <numFmt numFmtId="169" formatCode="0_);[Red]\(0\)"/>
    <numFmt numFmtId="170" formatCode="0.00000%"/>
    <numFmt numFmtId="171" formatCode="0.0000%"/>
    <numFmt numFmtId="172" formatCode="[$-409]h:mm\ AM/PM;@"/>
  </numFmts>
  <fonts count="1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6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7"/>
      <color theme="0"/>
      <name val="Arial"/>
      <family val="2"/>
    </font>
    <font>
      <sz val="6"/>
      <color theme="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0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sz val="10"/>
      <color rgb="FFAF2024"/>
      <name val="Arial"/>
      <family val="2"/>
    </font>
    <font>
      <b/>
      <sz val="10"/>
      <color rgb="FFAF2024"/>
      <name val="Arial"/>
      <family val="2"/>
    </font>
    <font>
      <b/>
      <sz val="14"/>
      <color rgb="FFAF2024"/>
      <name val="Arial"/>
      <family val="2"/>
    </font>
    <font>
      <b/>
      <sz val="15"/>
      <color theme="1"/>
      <name val="Arial"/>
      <family val="2"/>
    </font>
    <font>
      <b/>
      <sz val="15"/>
      <color rgb="FFAF2024"/>
      <name val="Arial"/>
      <family val="2"/>
    </font>
    <font>
      <b/>
      <sz val="13"/>
      <color theme="1"/>
      <name val="Arial"/>
      <family val="2"/>
    </font>
    <font>
      <b/>
      <sz val="21"/>
      <color theme="0"/>
      <name val="Arial"/>
      <family val="2"/>
    </font>
    <font>
      <sz val="15"/>
      <color theme="1"/>
      <name val="Arial"/>
      <family val="2"/>
    </font>
    <font>
      <b/>
      <sz val="16"/>
      <color theme="1"/>
      <name val="Arial"/>
      <family val="2"/>
    </font>
    <font>
      <b/>
      <sz val="15"/>
      <color theme="0"/>
      <name val="Arial"/>
      <family val="2"/>
    </font>
    <font>
      <i/>
      <sz val="9"/>
      <color theme="1"/>
      <name val="Arial"/>
      <family val="2"/>
    </font>
    <font>
      <b/>
      <sz val="11"/>
      <color theme="0"/>
      <name val="Arial"/>
      <family val="2"/>
    </font>
    <font>
      <b/>
      <sz val="16"/>
      <color theme="0"/>
      <name val="Arial"/>
      <family val="2"/>
    </font>
    <font>
      <sz val="11"/>
      <color rgb="FFAF2024"/>
      <name val="Arial"/>
      <family val="2"/>
    </font>
    <font>
      <b/>
      <sz val="13"/>
      <color theme="0"/>
      <name val="Arial"/>
      <family val="2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20"/>
      <color theme="0"/>
      <name val="Arial"/>
      <family val="2"/>
    </font>
    <font>
      <b/>
      <sz val="19"/>
      <color theme="1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3"/>
      <color rgb="FFAF2024"/>
      <name val="Arial"/>
      <family val="2"/>
    </font>
    <font>
      <sz val="16"/>
      <color theme="1"/>
      <name val="Arial"/>
      <family val="2"/>
    </font>
    <font>
      <b/>
      <u/>
      <sz val="16"/>
      <color theme="1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b/>
      <sz val="15"/>
      <name val="Arial"/>
      <family val="2"/>
    </font>
    <font>
      <b/>
      <sz val="11"/>
      <color rgb="FFAF2024"/>
      <name val="Arial"/>
      <family val="2"/>
    </font>
    <font>
      <sz val="15"/>
      <name val="Arial"/>
      <family val="2"/>
    </font>
    <font>
      <i/>
      <sz val="15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i/>
      <sz val="12"/>
      <color theme="1"/>
      <name val="Arial"/>
      <family val="2"/>
    </font>
    <font>
      <b/>
      <sz val="13"/>
      <color rgb="FFFF0000"/>
      <name val="Arial"/>
      <family val="2"/>
    </font>
    <font>
      <b/>
      <sz val="16"/>
      <color rgb="FFFF0000"/>
      <name val="Arial"/>
      <family val="2"/>
    </font>
    <font>
      <b/>
      <sz val="18"/>
      <color rgb="FFFF0000"/>
      <name val="Arial"/>
      <family val="2"/>
    </font>
    <font>
      <b/>
      <sz val="13"/>
      <name val="Arial"/>
      <family val="2"/>
    </font>
    <font>
      <b/>
      <u/>
      <sz val="20"/>
      <color theme="0"/>
      <name val="Arial"/>
      <family val="2"/>
    </font>
    <font>
      <b/>
      <sz val="16"/>
      <name val="Arial"/>
      <family val="2"/>
    </font>
    <font>
      <b/>
      <sz val="11"/>
      <color rgb="FFC00000"/>
      <name val="Arial"/>
      <family val="2"/>
    </font>
    <font>
      <b/>
      <sz val="19"/>
      <color theme="0"/>
      <name val="Arial"/>
      <family val="2"/>
    </font>
    <font>
      <sz val="11"/>
      <color theme="0"/>
      <name val="Arial"/>
      <family val="2"/>
    </font>
    <font>
      <i/>
      <sz val="13"/>
      <color theme="1"/>
      <name val="Arial"/>
      <family val="2"/>
    </font>
    <font>
      <b/>
      <u/>
      <sz val="19"/>
      <color theme="0"/>
      <name val="Arial"/>
      <family val="2"/>
    </font>
    <font>
      <b/>
      <sz val="11"/>
      <name val="Arial"/>
      <family val="2"/>
    </font>
    <font>
      <u/>
      <sz val="9"/>
      <color theme="10"/>
      <name val="Arial"/>
      <family val="2"/>
    </font>
    <font>
      <b/>
      <sz val="12"/>
      <color rgb="FF000000"/>
      <name val="Arial"/>
      <family val="2"/>
    </font>
    <font>
      <sz val="13"/>
      <color rgb="FF000000"/>
      <name val="Arial"/>
      <family val="2"/>
    </font>
    <font>
      <sz val="14"/>
      <name val="Arial"/>
      <family val="2"/>
    </font>
    <font>
      <b/>
      <sz val="16"/>
      <color rgb="FFAF2024"/>
      <name val="Arial"/>
      <family val="2"/>
    </font>
    <font>
      <sz val="17"/>
      <color theme="1"/>
      <name val="Arial"/>
      <family val="2"/>
    </font>
    <font>
      <sz val="13"/>
      <name val="Arial"/>
      <family val="2"/>
    </font>
    <font>
      <sz val="13"/>
      <color rgb="FFAF2024"/>
      <name val="Arial"/>
      <family val="2"/>
    </font>
    <font>
      <b/>
      <sz val="13"/>
      <color rgb="FF000000"/>
      <name val="Arial"/>
      <family val="2"/>
    </font>
    <font>
      <b/>
      <sz val="21"/>
      <color rgb="FFFF0000"/>
      <name val="Arial"/>
      <family val="2"/>
    </font>
    <font>
      <sz val="16"/>
      <color rgb="FFAF2024"/>
      <name val="Arial"/>
      <family val="2"/>
    </font>
    <font>
      <sz val="16"/>
      <color rgb="FF000000"/>
      <name val="Arial"/>
      <family val="2"/>
    </font>
    <font>
      <b/>
      <sz val="15"/>
      <color rgb="FFFF0000"/>
      <name val="Arial"/>
      <family val="2"/>
    </font>
    <font>
      <b/>
      <sz val="11"/>
      <color rgb="FFFF0000"/>
      <name val="Arial"/>
      <family val="2"/>
    </font>
    <font>
      <b/>
      <sz val="17"/>
      <color theme="0"/>
      <name val="Arial"/>
      <family val="2"/>
    </font>
    <font>
      <b/>
      <vertAlign val="superscript"/>
      <sz val="13"/>
      <color theme="1"/>
      <name val="Arial"/>
      <family val="2"/>
    </font>
    <font>
      <b/>
      <sz val="18"/>
      <color rgb="FFAF2024"/>
      <name val="Arial"/>
      <family val="2"/>
    </font>
    <font>
      <b/>
      <i/>
      <sz val="13"/>
      <color theme="1"/>
      <name val="Arial"/>
      <family val="2"/>
    </font>
    <font>
      <b/>
      <sz val="20"/>
      <color theme="1"/>
      <name val="Arial"/>
      <family val="2"/>
    </font>
    <font>
      <b/>
      <sz val="20"/>
      <name val="Arial"/>
      <family val="2"/>
    </font>
    <font>
      <b/>
      <u/>
      <sz val="13"/>
      <color theme="1"/>
      <name val="Arial"/>
      <family val="2"/>
    </font>
    <font>
      <b/>
      <sz val="13"/>
      <color rgb="FFC00000"/>
      <name val="Arial"/>
      <family val="2"/>
    </font>
    <font>
      <u/>
      <sz val="13"/>
      <color theme="10"/>
      <name val="Arial"/>
      <family val="2"/>
    </font>
    <font>
      <b/>
      <u/>
      <sz val="18"/>
      <color theme="0"/>
      <name val="Arial"/>
      <family val="2"/>
    </font>
    <font>
      <b/>
      <u/>
      <sz val="14"/>
      <color theme="1"/>
      <name val="Arial"/>
      <family val="2"/>
    </font>
    <font>
      <u/>
      <sz val="13"/>
      <color rgb="FFC00000"/>
      <name val="Arial"/>
      <family val="2"/>
    </font>
    <font>
      <sz val="11"/>
      <color rgb="FF0000CC"/>
      <name val="Arial"/>
      <family val="2"/>
    </font>
    <font>
      <b/>
      <u/>
      <sz val="20"/>
      <color rgb="FF0000CC"/>
      <name val="Arial"/>
      <family val="2"/>
    </font>
    <font>
      <b/>
      <u/>
      <sz val="19"/>
      <color rgb="FF0000CC"/>
      <name val="Arial"/>
      <family val="2"/>
    </font>
    <font>
      <b/>
      <u/>
      <sz val="15"/>
      <color theme="1"/>
      <name val="Arial"/>
      <family val="2"/>
    </font>
    <font>
      <b/>
      <sz val="25"/>
      <color rgb="FFFF0000"/>
      <name val="Arial"/>
      <family val="2"/>
    </font>
    <font>
      <b/>
      <u/>
      <sz val="13"/>
      <color theme="1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u/>
      <sz val="19"/>
      <color rgb="FF230AB6"/>
      <name val="Arial"/>
      <family val="2"/>
    </font>
    <font>
      <sz val="8"/>
      <name val="Calibri"/>
      <family val="2"/>
      <scheme val="minor"/>
    </font>
    <font>
      <b/>
      <u/>
      <sz val="18"/>
      <color rgb="FF0000CC"/>
      <name val="Calibri"/>
      <family val="2"/>
      <scheme val="minor"/>
    </font>
    <font>
      <b/>
      <u/>
      <sz val="19"/>
      <color rgb="FF0000CC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2"/>
      <color rgb="FFAF2024"/>
      <name val="Arial"/>
      <family val="2"/>
    </font>
    <font>
      <sz val="11"/>
      <color rgb="FFC00000"/>
      <name val="Arial"/>
      <family val="2"/>
    </font>
    <font>
      <u/>
      <sz val="11"/>
      <color rgb="FFC00000"/>
      <name val="Arial"/>
      <family val="2"/>
    </font>
    <font>
      <b/>
      <sz val="9"/>
      <color rgb="FFAF2024"/>
      <name val="Arial"/>
      <family val="2"/>
    </font>
    <font>
      <b/>
      <sz val="18"/>
      <color theme="1"/>
      <name val="Arial"/>
      <family val="2"/>
    </font>
    <font>
      <b/>
      <sz val="12"/>
      <color rgb="FFAF2024"/>
      <name val="Arial"/>
      <family val="2"/>
    </font>
    <font>
      <b/>
      <sz val="17"/>
      <color rgb="FFAF2024"/>
      <name val="Arial"/>
      <family val="2"/>
    </font>
    <font>
      <b/>
      <sz val="15"/>
      <color rgb="FFC00000"/>
      <name val="Arial"/>
      <family val="2"/>
    </font>
    <font>
      <b/>
      <sz val="20"/>
      <color rgb="FFFF0000"/>
      <name val="Arial"/>
      <family val="2"/>
    </font>
    <font>
      <sz val="13"/>
      <color rgb="FFC00000"/>
      <name val="Arial"/>
      <family val="2"/>
    </font>
    <font>
      <b/>
      <sz val="22"/>
      <color rgb="FFFF0000"/>
      <name val="Arial"/>
      <family val="2"/>
    </font>
    <font>
      <b/>
      <sz val="25"/>
      <color rgb="FF00B0F0"/>
      <name val="Arial"/>
      <family val="2"/>
    </font>
    <font>
      <b/>
      <u/>
      <sz val="24"/>
      <color theme="0"/>
      <name val="Arial"/>
      <family val="2"/>
    </font>
    <font>
      <b/>
      <sz val="18"/>
      <name val="Arial"/>
      <family val="2"/>
    </font>
    <font>
      <b/>
      <u/>
      <sz val="16"/>
      <name val="Arial"/>
      <family val="2"/>
    </font>
    <font>
      <sz val="13"/>
      <color theme="5" tint="-0.499984740745262"/>
      <name val="Arial"/>
      <family val="2"/>
    </font>
    <font>
      <b/>
      <sz val="13"/>
      <color theme="5" tint="-0.499984740745262"/>
      <name val="Arial"/>
      <family val="2"/>
    </font>
    <font>
      <b/>
      <sz val="32"/>
      <color rgb="FF00B0F0"/>
      <name val="Arial"/>
      <family val="2"/>
    </font>
    <font>
      <b/>
      <shadow/>
      <sz val="32"/>
      <color rgb="FFC55A11"/>
      <name val="Calibri"/>
      <family val="2"/>
      <scheme val="minor"/>
    </font>
    <font>
      <sz val="3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Broadway"/>
      <family val="5"/>
    </font>
    <font>
      <b/>
      <sz val="22"/>
      <color theme="0"/>
      <name val="Arial"/>
      <family val="2"/>
    </font>
    <font>
      <b/>
      <sz val="13"/>
      <color theme="1"/>
      <name val="Calibri"/>
      <family val="2"/>
      <scheme val="minor"/>
    </font>
    <font>
      <b/>
      <sz val="17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42D5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6223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FF"/>
        <bgColor indexed="64"/>
      </patternFill>
    </fill>
  </fills>
  <borders count="26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24985503707998902"/>
      </right>
      <top/>
      <bottom style="thin">
        <color theme="0" tint="-0.24985503707998902"/>
      </bottom>
      <diagonal/>
    </border>
    <border>
      <left style="thin">
        <color theme="0" tint="-0.24985503707998902"/>
      </left>
      <right style="thin">
        <color theme="0" tint="-0.24985503707998902"/>
      </right>
      <top/>
      <bottom style="thin">
        <color theme="0" tint="-0.24985503707998902"/>
      </bottom>
      <diagonal/>
    </border>
    <border>
      <left style="thin">
        <color theme="0" tint="-0.24982451857051302"/>
      </left>
      <right style="thin">
        <color theme="0" tint="-0.24982451857051302"/>
      </right>
      <top/>
      <bottom style="thin">
        <color theme="0" tint="-0.24982451857051302"/>
      </bottom>
      <diagonal/>
    </border>
    <border>
      <left style="thin">
        <color theme="0" tint="-0.24985503707998902"/>
      </left>
      <right style="thin">
        <color indexed="64"/>
      </right>
      <top/>
      <bottom style="thin">
        <color theme="0" tint="-0.24985503707998902"/>
      </bottom>
      <diagonal/>
    </border>
    <border>
      <left style="thin">
        <color auto="1"/>
      </left>
      <right style="thin">
        <color theme="0" tint="-0.24985503707998902"/>
      </right>
      <top style="thin">
        <color theme="0" tint="-0.24985503707998902"/>
      </top>
      <bottom style="thin">
        <color theme="0" tint="-0.24985503707998902"/>
      </bottom>
      <diagonal/>
    </border>
    <border>
      <left style="thin">
        <color theme="0" tint="-0.24985503707998902"/>
      </left>
      <right style="thin">
        <color theme="0" tint="-0.24985503707998902"/>
      </right>
      <top style="thin">
        <color theme="0" tint="-0.24985503707998902"/>
      </top>
      <bottom style="thin">
        <color theme="0" tint="-0.24985503707998902"/>
      </bottom>
      <diagonal/>
    </border>
    <border>
      <left style="thin">
        <color theme="0" tint="-0.24982451857051302"/>
      </left>
      <right style="thin">
        <color theme="0" tint="-0.24982451857051302"/>
      </right>
      <top style="thin">
        <color theme="0" tint="-0.24982451857051302"/>
      </top>
      <bottom style="thin">
        <color theme="0" tint="-0.24982451857051302"/>
      </bottom>
      <diagonal/>
    </border>
    <border>
      <left style="thin">
        <color theme="0" tint="-0.24985503707998902"/>
      </left>
      <right style="thin">
        <color auto="1"/>
      </right>
      <top style="thin">
        <color theme="0" tint="-0.24985503707998902"/>
      </top>
      <bottom style="thin">
        <color theme="0" tint="-0.2498550370799890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 style="thin">
        <color theme="0" tint="-0.24985503707998902"/>
      </right>
      <top style="thin">
        <color theme="0" tint="-0.24985503707998902"/>
      </top>
      <bottom style="thick">
        <color indexed="64"/>
      </bottom>
      <diagonal/>
    </border>
    <border>
      <left style="thin">
        <color theme="0" tint="-0.24985503707998902"/>
      </left>
      <right style="thin">
        <color theme="0" tint="-0.24985503707998902"/>
      </right>
      <top style="thin">
        <color theme="0" tint="-0.24985503707998902"/>
      </top>
      <bottom style="thick">
        <color indexed="64"/>
      </bottom>
      <diagonal/>
    </border>
    <border>
      <left style="thin">
        <color theme="0" tint="-0.24982451857051302"/>
      </left>
      <right style="thin">
        <color theme="0" tint="-0.24982451857051302"/>
      </right>
      <top style="thin">
        <color theme="0" tint="-0.24982451857051302"/>
      </top>
      <bottom style="thick">
        <color indexed="64"/>
      </bottom>
      <diagonal/>
    </border>
    <border>
      <left style="thin">
        <color theme="0" tint="-0.24985503707998902"/>
      </left>
      <right style="thin">
        <color auto="1"/>
      </right>
      <top style="thin">
        <color theme="0" tint="-0.24985503707998902"/>
      </top>
      <bottom style="thick">
        <color indexed="64"/>
      </bottom>
      <diagonal/>
    </border>
    <border>
      <left style="thin">
        <color theme="0" tint="-0.24982451857051302"/>
      </left>
      <right style="thin">
        <color theme="0" tint="-0.24985503707998902"/>
      </right>
      <top/>
      <bottom style="thin">
        <color theme="0" tint="-0.24985503707998902"/>
      </bottom>
      <diagonal/>
    </border>
    <border>
      <left/>
      <right style="thin">
        <color theme="0" tint="-0.24982451857051302"/>
      </right>
      <top/>
      <bottom style="thin">
        <color theme="0" tint="-0.24982451857051302"/>
      </bottom>
      <diagonal/>
    </border>
    <border>
      <left/>
      <right style="thin">
        <color theme="0" tint="-0.24982451857051302"/>
      </right>
      <top style="thin">
        <color theme="0" tint="-0.24982451857051302"/>
      </top>
      <bottom style="thin">
        <color theme="0" tint="-0.24982451857051302"/>
      </bottom>
      <diagonal/>
    </border>
    <border>
      <left/>
      <right style="thin">
        <color theme="0" tint="-0.24982451857051302"/>
      </right>
      <top style="thin">
        <color theme="0" tint="-0.24982451857051302"/>
      </top>
      <bottom style="thick">
        <color indexed="64"/>
      </bottom>
      <diagonal/>
    </border>
    <border>
      <left style="thin">
        <color theme="0" tint="-0.24985503707998902"/>
      </left>
      <right style="medium">
        <color indexed="64"/>
      </right>
      <top/>
      <bottom style="thin">
        <color theme="0" tint="-0.24985503707998902"/>
      </bottom>
      <diagonal/>
    </border>
    <border>
      <left style="thin">
        <color theme="0" tint="-0.24985503707998902"/>
      </left>
      <right style="medium">
        <color indexed="64"/>
      </right>
      <top style="thin">
        <color theme="0" tint="-0.24985503707998902"/>
      </top>
      <bottom style="thin">
        <color theme="0" tint="-0.24985503707998902"/>
      </bottom>
      <diagonal/>
    </border>
    <border>
      <left style="thin">
        <color theme="0" tint="-0.24985503707998902"/>
      </left>
      <right style="medium">
        <color indexed="64"/>
      </right>
      <top style="thin">
        <color theme="0" tint="-0.24985503707998902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theme="0" tint="-0.24985503707998902"/>
      </bottom>
      <diagonal/>
    </border>
    <border>
      <left style="medium">
        <color indexed="64"/>
      </left>
      <right style="thin">
        <color auto="1"/>
      </right>
      <top style="thin">
        <color theme="0" tint="-0.24985503707998902"/>
      </top>
      <bottom style="thin">
        <color theme="0" tint="-0.24985503707998902"/>
      </bottom>
      <diagonal/>
    </border>
    <border>
      <left style="medium">
        <color indexed="64"/>
      </left>
      <right style="thin">
        <color indexed="64"/>
      </right>
      <top style="thin">
        <color theme="0" tint="-0.24985503707998902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8550370799890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theme="0" tint="-0.24985503707998902"/>
      </bottom>
      <diagonal/>
    </border>
    <border>
      <left style="thin">
        <color indexed="64"/>
      </left>
      <right style="thin">
        <color theme="0" tint="-0.24985503707998902"/>
      </right>
      <top style="thin">
        <color indexed="64"/>
      </top>
      <bottom style="thin">
        <color theme="0" tint="-0.24985503707998902"/>
      </bottom>
      <diagonal/>
    </border>
    <border>
      <left style="thin">
        <color theme="0" tint="-0.24985503707998902"/>
      </left>
      <right style="thin">
        <color theme="0" tint="-0.24985503707998902"/>
      </right>
      <top style="thin">
        <color indexed="64"/>
      </top>
      <bottom style="thin">
        <color theme="0" tint="-0.24985503707998902"/>
      </bottom>
      <diagonal/>
    </border>
    <border>
      <left style="thin">
        <color theme="0" tint="-0.24985503707998902"/>
      </left>
      <right style="medium">
        <color indexed="64"/>
      </right>
      <top style="thin">
        <color indexed="64"/>
      </top>
      <bottom style="thin">
        <color theme="0" tint="-0.24985503707998902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85503707998902"/>
      </left>
      <right style="thin">
        <color indexed="64"/>
      </right>
      <top style="thin">
        <color indexed="64"/>
      </top>
      <bottom style="thin">
        <color theme="0" tint="-0.2498550370799890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85503707998902"/>
      </left>
      <right style="thin">
        <color theme="0" tint="-0.24985503707998902"/>
      </right>
      <top style="thin">
        <color indexed="64"/>
      </top>
      <bottom style="thin">
        <color auto="1"/>
      </bottom>
      <diagonal/>
    </border>
    <border>
      <left style="thin">
        <color theme="0" tint="-0.24985503707998902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 tint="-0.24985503707998902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85503707998902"/>
      </right>
      <top style="thin">
        <color indexed="64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82451857051302"/>
      </left>
      <right style="thin">
        <color theme="0" tint="-0.24982451857051302"/>
      </right>
      <top style="thin">
        <color auto="1"/>
      </top>
      <bottom style="thin">
        <color theme="0" tint="-0.24982451857051302"/>
      </bottom>
      <diagonal/>
    </border>
    <border>
      <left style="thin">
        <color theme="0" tint="-0.24985503707998902"/>
      </left>
      <right/>
      <top style="thin">
        <color indexed="64"/>
      </top>
      <bottom style="thin">
        <color theme="0" tint="-0.2498550370799890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85503707998902"/>
      </top>
      <bottom/>
      <diagonal/>
    </border>
    <border>
      <left style="thin">
        <color auto="1"/>
      </left>
      <right style="thin">
        <color theme="0" tint="-0.24985503707998902"/>
      </right>
      <top style="thin">
        <color theme="0" tint="-0.24985503707998902"/>
      </top>
      <bottom/>
      <diagonal/>
    </border>
    <border>
      <left style="thin">
        <color theme="0" tint="-0.24985503707998902"/>
      </left>
      <right style="thin">
        <color theme="0" tint="-0.24985503707998902"/>
      </right>
      <top style="thin">
        <color theme="0" tint="-0.24985503707998902"/>
      </top>
      <bottom/>
      <diagonal/>
    </border>
    <border>
      <left style="thin">
        <color theme="0" tint="-0.24982451857051302"/>
      </left>
      <right style="thin">
        <color theme="0" tint="-0.24982451857051302"/>
      </right>
      <top style="thin">
        <color theme="0" tint="-0.24982451857051302"/>
      </top>
      <bottom/>
      <diagonal/>
    </border>
    <border>
      <left style="thin">
        <color theme="0" tint="-0.24985503707998902"/>
      </left>
      <right style="medium">
        <color indexed="64"/>
      </right>
      <top style="thin">
        <color theme="0" tint="-0.24985503707998902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theme="0" tint="-0.24985503707998902"/>
      </right>
      <top style="thin">
        <color indexed="64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theme="0" tint="-0.24985503707998902"/>
      </left>
      <right style="thin">
        <color theme="0" tint="-0.24985503707998902"/>
      </right>
      <top style="thin">
        <color indexed="64"/>
      </top>
      <bottom style="thin">
        <color auto="1"/>
      </bottom>
      <diagonal/>
    </border>
    <border>
      <left style="thin">
        <color theme="0" tint="-0.24985503707998902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theme="0" tint="-0.24982451857051302"/>
      </left>
      <right style="thin">
        <color theme="0" tint="-0.24982451857051302"/>
      </right>
      <top style="thin">
        <color auto="1"/>
      </top>
      <bottom style="thin">
        <color theme="0" tint="-0.24982451857051302"/>
      </bottom>
      <diagonal/>
    </border>
    <border>
      <left style="thin">
        <color indexed="64"/>
      </left>
      <right style="thin">
        <color theme="0" tint="-0.24985503707998902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85503707998902"/>
      </right>
      <top style="thin">
        <color indexed="64"/>
      </top>
      <bottom/>
      <diagonal/>
    </border>
    <border>
      <left style="thin">
        <color theme="0" tint="-0.24985503707998902"/>
      </left>
      <right style="thin">
        <color theme="0" tint="-0.24985503707998902"/>
      </right>
      <top style="thin">
        <color indexed="64"/>
      </top>
      <bottom/>
      <diagonal/>
    </border>
    <border>
      <left style="thin">
        <color theme="0" tint="-0.24985503707998902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theme="0" tint="-0.24985503707998902"/>
      </left>
      <right style="thin">
        <color theme="0" tint="-0.2498550370799890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85503707998902"/>
      </left>
      <right style="thin">
        <color theme="0" tint="-0.24985503707998902"/>
      </right>
      <top style="thin">
        <color indexed="64"/>
      </top>
      <bottom/>
      <diagonal/>
    </border>
    <border>
      <left style="thin">
        <color theme="0" tint="-0.24985503707998902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0" tint="-0.24982451857051302"/>
      </left>
      <right style="thin">
        <color theme="0" tint="-0.24982451857051302"/>
      </right>
      <top style="thin">
        <color auto="1"/>
      </top>
      <bottom style="thin">
        <color theme="0" tint="-0.2498245185705130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2220">
    <xf numFmtId="0" fontId="0" fillId="0" borderId="0" xfId="0"/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10" fillId="0" borderId="0" xfId="0" applyFont="1"/>
    <xf numFmtId="0" fontId="6" fillId="0" borderId="0" xfId="0" applyFont="1"/>
    <xf numFmtId="0" fontId="13" fillId="0" borderId="0" xfId="0" applyFont="1"/>
    <xf numFmtId="166" fontId="10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9" fontId="18" fillId="0" borderId="0" xfId="2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8" fillId="0" borderId="0" xfId="0" applyFont="1"/>
    <xf numFmtId="0" fontId="10" fillId="0" borderId="16" xfId="0" applyFont="1" applyBorder="1"/>
    <xf numFmtId="0" fontId="11" fillId="0" borderId="0" xfId="0" applyFont="1"/>
    <xf numFmtId="0" fontId="15" fillId="0" borderId="0" xfId="0" applyFont="1"/>
    <xf numFmtId="0" fontId="37" fillId="0" borderId="0" xfId="0" applyFont="1"/>
    <xf numFmtId="0" fontId="38" fillId="0" borderId="0" xfId="0" applyFont="1"/>
    <xf numFmtId="0" fontId="48" fillId="0" borderId="0" xfId="0" applyFont="1"/>
    <xf numFmtId="0" fontId="24" fillId="0" borderId="0" xfId="0" applyFont="1" applyAlignment="1">
      <alignment vertical="center"/>
    </xf>
    <xf numFmtId="10" fontId="28" fillId="0" borderId="0" xfId="0" applyNumberFormat="1" applyFont="1"/>
    <xf numFmtId="0" fontId="2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4" fillId="0" borderId="0" xfId="0" applyFont="1"/>
    <xf numFmtId="0" fontId="24" fillId="0" borderId="0" xfId="0" applyFont="1"/>
    <xf numFmtId="166" fontId="10" fillId="0" borderId="16" xfId="0" applyNumberFormat="1" applyFont="1" applyBorder="1" applyAlignment="1">
      <alignment horizontal="center"/>
    </xf>
    <xf numFmtId="0" fontId="36" fillId="0" borderId="0" xfId="0" applyFont="1"/>
    <xf numFmtId="0" fontId="37" fillId="0" borderId="0" xfId="0" applyFont="1" applyAlignment="1">
      <alignment vertical="center"/>
    </xf>
    <xf numFmtId="0" fontId="26" fillId="0" borderId="25" xfId="0" applyFont="1" applyBorder="1" applyAlignment="1">
      <alignment vertical="center"/>
    </xf>
    <xf numFmtId="0" fontId="26" fillId="0" borderId="41" xfId="0" applyFont="1" applyBorder="1"/>
    <xf numFmtId="0" fontId="29" fillId="0" borderId="0" xfId="0" applyFont="1" applyAlignment="1">
      <alignment vertical="center" wrapText="1"/>
    </xf>
    <xf numFmtId="49" fontId="29" fillId="0" borderId="0" xfId="0" applyNumberFormat="1" applyFont="1" applyAlignment="1">
      <alignment vertical="center"/>
    </xf>
    <xf numFmtId="0" fontId="14" fillId="0" borderId="0" xfId="0" applyFont="1"/>
    <xf numFmtId="0" fontId="31" fillId="0" borderId="0" xfId="0" applyFont="1" applyAlignment="1">
      <alignment horizontal="left"/>
    </xf>
    <xf numFmtId="0" fontId="38" fillId="0" borderId="14" xfId="0" applyFont="1" applyBorder="1"/>
    <xf numFmtId="164" fontId="10" fillId="0" borderId="0" xfId="0" applyNumberFormat="1" applyFont="1" applyAlignment="1">
      <alignment horizontal="center"/>
    </xf>
    <xf numFmtId="0" fontId="10" fillId="0" borderId="13" xfId="0" applyFont="1" applyBorder="1"/>
    <xf numFmtId="0" fontId="10" fillId="0" borderId="14" xfId="0" applyFont="1" applyBorder="1"/>
    <xf numFmtId="166" fontId="10" fillId="0" borderId="0" xfId="0" applyNumberFormat="1" applyFont="1"/>
    <xf numFmtId="0" fontId="39" fillId="0" borderId="14" xfId="0" applyFont="1" applyBorder="1" applyAlignment="1">
      <alignment vertical="center"/>
    </xf>
    <xf numFmtId="0" fontId="66" fillId="0" borderId="0" xfId="0" applyFont="1"/>
    <xf numFmtId="0" fontId="52" fillId="0" borderId="0" xfId="0" applyFont="1" applyAlignment="1">
      <alignment horizontal="left" vertical="center" indent="1"/>
    </xf>
    <xf numFmtId="0" fontId="52" fillId="0" borderId="0" xfId="0" applyFont="1" applyAlignment="1">
      <alignment vertical="center"/>
    </xf>
    <xf numFmtId="0" fontId="52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indent="1"/>
    </xf>
    <xf numFmtId="0" fontId="9" fillId="0" borderId="0" xfId="0" applyFont="1"/>
    <xf numFmtId="0" fontId="30" fillId="0" borderId="0" xfId="0" applyFont="1" applyAlignment="1">
      <alignment vertical="center"/>
    </xf>
    <xf numFmtId="0" fontId="10" fillId="0" borderId="22" xfId="0" applyFont="1" applyBorder="1"/>
    <xf numFmtId="0" fontId="69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2" fillId="0" borderId="0" xfId="0" applyFont="1"/>
    <xf numFmtId="0" fontId="10" fillId="0" borderId="54" xfId="0" applyFont="1" applyBorder="1"/>
    <xf numFmtId="0" fontId="11" fillId="0" borderId="0" xfId="0" applyFont="1" applyAlignment="1">
      <alignment horizontal="left" indent="2"/>
    </xf>
    <xf numFmtId="0" fontId="32" fillId="0" borderId="0" xfId="0" applyFont="1" applyAlignment="1">
      <alignment horizontal="center"/>
    </xf>
    <xf numFmtId="0" fontId="67" fillId="0" borderId="0" xfId="1" applyFont="1" applyFill="1" applyBorder="1" applyAlignment="1">
      <alignment horizontal="center" vertical="center"/>
    </xf>
    <xf numFmtId="168" fontId="47" fillId="0" borderId="61" xfId="0" applyNumberFormat="1" applyFont="1" applyBorder="1" applyAlignment="1">
      <alignment horizontal="center"/>
    </xf>
    <xf numFmtId="168" fontId="47" fillId="0" borderId="69" xfId="0" applyNumberFormat="1" applyFont="1" applyBorder="1" applyAlignment="1">
      <alignment horizontal="center"/>
    </xf>
    <xf numFmtId="168" fontId="47" fillId="0" borderId="65" xfId="0" applyNumberFormat="1" applyFont="1" applyBorder="1" applyAlignment="1">
      <alignment horizontal="center"/>
    </xf>
    <xf numFmtId="168" fontId="47" fillId="0" borderId="70" xfId="0" applyNumberFormat="1" applyFont="1" applyBorder="1" applyAlignment="1">
      <alignment horizontal="center"/>
    </xf>
    <xf numFmtId="168" fontId="47" fillId="0" borderId="72" xfId="0" applyNumberFormat="1" applyFont="1" applyBorder="1" applyAlignment="1">
      <alignment horizontal="center"/>
    </xf>
    <xf numFmtId="168" fontId="47" fillId="0" borderId="75" xfId="0" applyNumberFormat="1" applyFont="1" applyBorder="1" applyAlignment="1">
      <alignment horizontal="center"/>
    </xf>
    <xf numFmtId="168" fontId="47" fillId="0" borderId="76" xfId="0" applyNumberFormat="1" applyFont="1" applyBorder="1" applyAlignment="1">
      <alignment horizontal="center"/>
    </xf>
    <xf numFmtId="168" fontId="47" fillId="0" borderId="77" xfId="0" applyNumberFormat="1" applyFont="1" applyBorder="1" applyAlignment="1">
      <alignment horizontal="center"/>
    </xf>
    <xf numFmtId="168" fontId="47" fillId="0" borderId="78" xfId="0" applyNumberFormat="1" applyFont="1" applyBorder="1" applyAlignment="1">
      <alignment horizontal="center"/>
    </xf>
    <xf numFmtId="0" fontId="68" fillId="0" borderId="0" xfId="0" applyFont="1" applyAlignment="1">
      <alignment vertical="center"/>
    </xf>
    <xf numFmtId="0" fontId="54" fillId="0" borderId="0" xfId="0" applyFont="1" applyAlignment="1">
      <alignment horizontal="left" vertical="center"/>
    </xf>
    <xf numFmtId="0" fontId="68" fillId="0" borderId="0" xfId="0" applyFont="1"/>
    <xf numFmtId="168" fontId="47" fillId="0" borderId="79" xfId="0" applyNumberFormat="1" applyFont="1" applyBorder="1" applyAlignment="1">
      <alignment horizontal="center"/>
    </xf>
    <xf numFmtId="168" fontId="47" fillId="0" borderId="80" xfId="0" applyNumberFormat="1" applyFont="1" applyBorder="1" applyAlignment="1">
      <alignment horizontal="center"/>
    </xf>
    <xf numFmtId="168" fontId="47" fillId="0" borderId="81" xfId="0" applyNumberFormat="1" applyFont="1" applyBorder="1" applyAlignment="1">
      <alignment horizontal="center"/>
    </xf>
    <xf numFmtId="168" fontId="47" fillId="0" borderId="83" xfId="0" applyNumberFormat="1" applyFont="1" applyBorder="1" applyAlignment="1">
      <alignment horizontal="center"/>
    </xf>
    <xf numFmtId="16" fontId="36" fillId="0" borderId="31" xfId="0" quotePrefix="1" applyNumberFormat="1" applyFont="1" applyBorder="1"/>
    <xf numFmtId="166" fontId="36" fillId="0" borderId="14" xfId="0" applyNumberFormat="1" applyFont="1" applyBorder="1" applyAlignment="1">
      <alignment horizontal="center"/>
    </xf>
    <xf numFmtId="0" fontId="36" fillId="0" borderId="31" xfId="0" quotePrefix="1" applyFont="1" applyBorder="1"/>
    <xf numFmtId="0" fontId="36" fillId="0" borderId="15" xfId="0" quotePrefix="1" applyFont="1" applyBorder="1"/>
    <xf numFmtId="0" fontId="36" fillId="0" borderId="16" xfId="0" quotePrefix="1" applyFont="1" applyBorder="1"/>
    <xf numFmtId="0" fontId="36" fillId="0" borderId="16" xfId="0" applyFont="1" applyBorder="1"/>
    <xf numFmtId="166" fontId="36" fillId="0" borderId="22" xfId="0" applyNumberFormat="1" applyFont="1" applyBorder="1" applyAlignment="1">
      <alignment horizontal="center"/>
    </xf>
    <xf numFmtId="164" fontId="36" fillId="0" borderId="30" xfId="0" applyNumberFormat="1" applyFont="1" applyBorder="1" applyAlignment="1">
      <alignment horizontal="center"/>
    </xf>
    <xf numFmtId="0" fontId="13" fillId="0" borderId="31" xfId="0" applyFont="1" applyBorder="1" applyAlignment="1">
      <alignment horizontal="right" vertical="center" indent="1"/>
    </xf>
    <xf numFmtId="0" fontId="11" fillId="0" borderId="1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0" fontId="64" fillId="0" borderId="0" xfId="0" applyFont="1" applyAlignment="1">
      <alignment horizontal="left"/>
    </xf>
    <xf numFmtId="0" fontId="26" fillId="0" borderId="0" xfId="0" applyFont="1" applyAlignment="1">
      <alignment vertical="center"/>
    </xf>
    <xf numFmtId="0" fontId="37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10" fontId="38" fillId="0" borderId="0" xfId="0" applyNumberFormat="1" applyFont="1"/>
    <xf numFmtId="0" fontId="37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164" fontId="36" fillId="0" borderId="0" xfId="0" applyNumberFormat="1" applyFont="1" applyAlignment="1">
      <alignment horizontal="center"/>
    </xf>
    <xf numFmtId="164" fontId="36" fillId="0" borderId="14" xfId="0" applyNumberFormat="1" applyFont="1" applyBorder="1" applyAlignment="1">
      <alignment horizontal="center"/>
    </xf>
    <xf numFmtId="0" fontId="10" fillId="0" borderId="31" xfId="0" applyFont="1" applyBorder="1"/>
    <xf numFmtId="0" fontId="36" fillId="0" borderId="15" xfId="0" applyFont="1" applyBorder="1"/>
    <xf numFmtId="0" fontId="36" fillId="0" borderId="31" xfId="0" applyFont="1" applyBorder="1"/>
    <xf numFmtId="0" fontId="20" fillId="0" borderId="0" xfId="0" applyFont="1" applyAlignment="1">
      <alignment horizontal="center" vertical="center"/>
    </xf>
    <xf numFmtId="166" fontId="36" fillId="0" borderId="2" xfId="0" applyNumberFormat="1" applyFont="1" applyBorder="1" applyAlignment="1">
      <alignment horizontal="center"/>
    </xf>
    <xf numFmtId="164" fontId="36" fillId="0" borderId="3" xfId="0" applyNumberFormat="1" applyFont="1" applyBorder="1" applyAlignment="1">
      <alignment horizontal="center"/>
    </xf>
    <xf numFmtId="0" fontId="36" fillId="0" borderId="3" xfId="0" applyFont="1" applyBorder="1"/>
    <xf numFmtId="164" fontId="36" fillId="0" borderId="1" xfId="0" applyNumberFormat="1" applyFont="1" applyBorder="1" applyAlignment="1">
      <alignment horizontal="center"/>
    </xf>
    <xf numFmtId="164" fontId="36" fillId="0" borderId="5" xfId="0" applyNumberFormat="1" applyFont="1" applyBorder="1" applyAlignment="1">
      <alignment horizontal="center"/>
    </xf>
    <xf numFmtId="166" fontId="36" fillId="0" borderId="31" xfId="0" applyNumberFormat="1" applyFont="1" applyBorder="1" applyAlignment="1">
      <alignment horizontal="center" vertical="center"/>
    </xf>
    <xf numFmtId="0" fontId="36" fillId="0" borderId="1" xfId="0" applyFont="1" applyBorder="1"/>
    <xf numFmtId="0" fontId="36" fillId="0" borderId="31" xfId="0" applyFont="1" applyBorder="1" applyAlignment="1">
      <alignment horizontal="center"/>
    </xf>
    <xf numFmtId="166" fontId="36" fillId="0" borderId="0" xfId="0" applyNumberFormat="1" applyFont="1" applyAlignment="1">
      <alignment horizontal="center"/>
    </xf>
    <xf numFmtId="0" fontId="36" fillId="0" borderId="14" xfId="0" applyFont="1" applyBorder="1"/>
    <xf numFmtId="0" fontId="36" fillId="0" borderId="33" xfId="0" applyFont="1" applyBorder="1"/>
    <xf numFmtId="0" fontId="36" fillId="0" borderId="2" xfId="0" applyFont="1" applyBorder="1" applyAlignment="1">
      <alignment horizontal="center"/>
    </xf>
    <xf numFmtId="166" fontId="36" fillId="0" borderId="31" xfId="0" applyNumberFormat="1" applyFont="1" applyBorder="1" applyAlignment="1">
      <alignment horizontal="center"/>
    </xf>
    <xf numFmtId="166" fontId="36" fillId="0" borderId="32" xfId="0" applyNumberFormat="1" applyFont="1" applyBorder="1" applyAlignment="1">
      <alignment horizontal="center"/>
    </xf>
    <xf numFmtId="0" fontId="39" fillId="0" borderId="0" xfId="0" applyFont="1" applyAlignment="1">
      <alignment vertical="center"/>
    </xf>
    <xf numFmtId="164" fontId="73" fillId="0" borderId="0" xfId="0" applyNumberFormat="1" applyFont="1" applyAlignment="1">
      <alignment horizontal="center"/>
    </xf>
    <xf numFmtId="164" fontId="73" fillId="0" borderId="40" xfId="0" applyNumberFormat="1" applyFont="1" applyBorder="1" applyAlignment="1">
      <alignment horizontal="center"/>
    </xf>
    <xf numFmtId="0" fontId="67" fillId="0" borderId="14" xfId="1" applyFont="1" applyFill="1" applyBorder="1" applyAlignment="1">
      <alignment horizontal="center" vertical="center"/>
    </xf>
    <xf numFmtId="0" fontId="26" fillId="0" borderId="0" xfId="0" applyFont="1"/>
    <xf numFmtId="168" fontId="73" fillId="0" borderId="0" xfId="0" applyNumberFormat="1" applyFont="1" applyAlignment="1">
      <alignment horizontal="center"/>
    </xf>
    <xf numFmtId="0" fontId="36" fillId="0" borderId="14" xfId="0" applyFont="1" applyBorder="1" applyAlignment="1">
      <alignment horizontal="center"/>
    </xf>
    <xf numFmtId="166" fontId="10" fillId="0" borderId="14" xfId="0" applyNumberFormat="1" applyFont="1" applyBorder="1" applyAlignment="1">
      <alignment horizontal="center"/>
    </xf>
    <xf numFmtId="0" fontId="26" fillId="0" borderId="14" xfId="0" applyFont="1" applyBorder="1"/>
    <xf numFmtId="0" fontId="42" fillId="0" borderId="31" xfId="0" applyFont="1" applyBorder="1" applyAlignment="1">
      <alignment horizontal="center"/>
    </xf>
    <xf numFmtId="49" fontId="29" fillId="0" borderId="31" xfId="0" applyNumberFormat="1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47" fillId="0" borderId="0" xfId="0" applyFont="1" applyAlignment="1">
      <alignment horizontal="left"/>
    </xf>
    <xf numFmtId="168" fontId="47" fillId="0" borderId="0" xfId="0" applyNumberFormat="1" applyFont="1" applyAlignment="1">
      <alignment horizontal="center"/>
    </xf>
    <xf numFmtId="0" fontId="17" fillId="0" borderId="0" xfId="0" applyFont="1"/>
    <xf numFmtId="166" fontId="71" fillId="0" borderId="0" xfId="0" applyNumberFormat="1" applyFont="1"/>
    <xf numFmtId="0" fontId="53" fillId="0" borderId="0" xfId="0" applyFont="1" applyAlignment="1">
      <alignment horizontal="left" vertical="center" indent="1"/>
    </xf>
    <xf numFmtId="164" fontId="73" fillId="0" borderId="14" xfId="0" applyNumberFormat="1" applyFont="1" applyBorder="1" applyAlignment="1">
      <alignment horizontal="center"/>
    </xf>
    <xf numFmtId="164" fontId="73" fillId="0" borderId="0" xfId="0" applyNumberFormat="1" applyFont="1" applyAlignment="1">
      <alignment horizontal="center" vertical="center"/>
    </xf>
    <xf numFmtId="166" fontId="36" fillId="0" borderId="14" xfId="0" applyNumberFormat="1" applyFont="1" applyBorder="1" applyAlignment="1">
      <alignment horizontal="center" vertical="center"/>
    </xf>
    <xf numFmtId="166" fontId="36" fillId="0" borderId="31" xfId="0" applyNumberFormat="1" applyFont="1" applyBorder="1" applyAlignment="1">
      <alignment horizontal="left"/>
    </xf>
    <xf numFmtId="0" fontId="36" fillId="0" borderId="22" xfId="0" applyFont="1" applyBorder="1"/>
    <xf numFmtId="0" fontId="36" fillId="0" borderId="1" xfId="0" applyFont="1" applyBorder="1" applyAlignment="1">
      <alignment vertical="center"/>
    </xf>
    <xf numFmtId="0" fontId="26" fillId="0" borderId="16" xfId="0" applyFont="1" applyBorder="1"/>
    <xf numFmtId="164" fontId="73" fillId="0" borderId="14" xfId="0" applyNumberFormat="1" applyFont="1" applyBorder="1" applyAlignment="1">
      <alignment horizontal="center" vertical="center"/>
    </xf>
    <xf numFmtId="0" fontId="76" fillId="0" borderId="14" xfId="0" applyFont="1" applyBorder="1" applyAlignment="1">
      <alignment horizontal="center" vertical="center"/>
    </xf>
    <xf numFmtId="0" fontId="10" fillId="0" borderId="15" xfId="0" applyFont="1" applyBorder="1"/>
    <xf numFmtId="0" fontId="10" fillId="0" borderId="24" xfId="0" applyFont="1" applyBorder="1"/>
    <xf numFmtId="0" fontId="34" fillId="0" borderId="0" xfId="1" applyFont="1" applyBorder="1" applyAlignment="1">
      <alignment vertical="center"/>
    </xf>
    <xf numFmtId="0" fontId="12" fillId="0" borderId="0" xfId="1" applyFont="1" applyBorder="1" applyAlignment="1">
      <alignment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168" fontId="47" fillId="0" borderId="13" xfId="0" applyNumberFormat="1" applyFont="1" applyBorder="1" applyAlignment="1">
      <alignment horizontal="center"/>
    </xf>
    <xf numFmtId="168" fontId="47" fillId="0" borderId="0" xfId="0" quotePrefix="1" applyNumberFormat="1" applyFont="1" applyAlignment="1">
      <alignment horizontal="center"/>
    </xf>
    <xf numFmtId="0" fontId="17" fillId="0" borderId="0" xfId="0" quotePrefix="1" applyFont="1"/>
    <xf numFmtId="0" fontId="10" fillId="0" borderId="3" xfId="0" applyFont="1" applyBorder="1"/>
    <xf numFmtId="166" fontId="53" fillId="0" borderId="0" xfId="0" applyNumberFormat="1" applyFont="1" applyAlignment="1">
      <alignment vertical="center"/>
    </xf>
    <xf numFmtId="164" fontId="73" fillId="0" borderId="28" xfId="0" applyNumberFormat="1" applyFont="1" applyBorder="1" applyAlignment="1">
      <alignment horizontal="center"/>
    </xf>
    <xf numFmtId="0" fontId="53" fillId="0" borderId="0" xfId="0" applyFont="1"/>
    <xf numFmtId="0" fontId="44" fillId="0" borderId="0" xfId="0" applyFont="1" applyAlignment="1">
      <alignment horizontal="left" vertical="center" indent="1"/>
    </xf>
    <xf numFmtId="0" fontId="53" fillId="0" borderId="0" xfId="0" applyFont="1" applyAlignment="1">
      <alignment horizontal="left" vertical="center"/>
    </xf>
    <xf numFmtId="166" fontId="71" fillId="0" borderId="0" xfId="0" applyNumberFormat="1" applyFont="1" applyAlignment="1">
      <alignment vertical="center"/>
    </xf>
    <xf numFmtId="166" fontId="25" fillId="0" borderId="0" xfId="0" applyNumberFormat="1" applyFont="1" applyAlignment="1">
      <alignment vertical="center"/>
    </xf>
    <xf numFmtId="0" fontId="36" fillId="0" borderId="2" xfId="0" applyFont="1" applyBorder="1"/>
    <xf numFmtId="0" fontId="36" fillId="0" borderId="111" xfId="0" applyFont="1" applyBorder="1"/>
    <xf numFmtId="0" fontId="10" fillId="0" borderId="111" xfId="0" applyFont="1" applyBorder="1"/>
    <xf numFmtId="0" fontId="36" fillId="0" borderId="113" xfId="0" applyFont="1" applyBorder="1" applyAlignment="1">
      <alignment horizontal="center"/>
    </xf>
    <xf numFmtId="0" fontId="36" fillId="0" borderId="119" xfId="0" applyFont="1" applyBorder="1" applyAlignment="1">
      <alignment horizontal="center"/>
    </xf>
    <xf numFmtId="0" fontId="36" fillId="0" borderId="118" xfId="0" applyFont="1" applyBorder="1" applyAlignment="1">
      <alignment horizontal="center"/>
    </xf>
    <xf numFmtId="0" fontId="38" fillId="0" borderId="0" xfId="0" applyFont="1" applyAlignment="1">
      <alignment vertical="center"/>
    </xf>
    <xf numFmtId="166" fontId="77" fillId="0" borderId="0" xfId="0" applyNumberFormat="1" applyFont="1"/>
    <xf numFmtId="0" fontId="53" fillId="0" borderId="0" xfId="0" applyFont="1" applyAlignment="1">
      <alignment horizontal="left"/>
    </xf>
    <xf numFmtId="0" fontId="78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73" fillId="0" borderId="0" xfId="0" applyFont="1"/>
    <xf numFmtId="0" fontId="58" fillId="0" borderId="0" xfId="0" applyFont="1"/>
    <xf numFmtId="0" fontId="14" fillId="0" borderId="3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0" fillId="0" borderId="2" xfId="0" applyFont="1" applyBorder="1"/>
    <xf numFmtId="0" fontId="79" fillId="2" borderId="0" xfId="0" applyFont="1" applyFill="1" applyAlignment="1">
      <alignment horizontal="center"/>
    </xf>
    <xf numFmtId="0" fontId="26" fillId="15" borderId="14" xfId="0" applyFont="1" applyFill="1" applyBorder="1"/>
    <xf numFmtId="0" fontId="26" fillId="15" borderId="15" xfId="0" applyFont="1" applyFill="1" applyBorder="1"/>
    <xf numFmtId="0" fontId="26" fillId="15" borderId="16" xfId="0" applyFont="1" applyFill="1" applyBorder="1"/>
    <xf numFmtId="0" fontId="36" fillId="0" borderId="31" xfId="0" applyFont="1" applyBorder="1" applyAlignment="1">
      <alignment horizontal="left"/>
    </xf>
    <xf numFmtId="0" fontId="26" fillId="17" borderId="16" xfId="0" applyFont="1" applyFill="1" applyBorder="1"/>
    <xf numFmtId="0" fontId="35" fillId="0" borderId="0" xfId="0" applyFont="1" applyAlignment="1">
      <alignment vertical="center"/>
    </xf>
    <xf numFmtId="166" fontId="19" fillId="0" borderId="0" xfId="0" applyNumberFormat="1" applyFont="1" applyAlignment="1">
      <alignment vertical="center"/>
    </xf>
    <xf numFmtId="164" fontId="36" fillId="0" borderId="0" xfId="0" applyNumberFormat="1" applyFont="1" applyAlignment="1">
      <alignment horizontal="center" vertical="center"/>
    </xf>
    <xf numFmtId="164" fontId="35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170" fontId="38" fillId="0" borderId="0" xfId="0" applyNumberFormat="1" applyFont="1"/>
    <xf numFmtId="0" fontId="58" fillId="0" borderId="0" xfId="0" applyFont="1" applyAlignment="1">
      <alignment vertical="center"/>
    </xf>
    <xf numFmtId="0" fontId="36" fillId="15" borderId="0" xfId="0" applyFont="1" applyFill="1"/>
    <xf numFmtId="0" fontId="61" fillId="0" borderId="0" xfId="0" applyFont="1"/>
    <xf numFmtId="0" fontId="29" fillId="0" borderId="23" xfId="0" applyFont="1" applyBorder="1" applyAlignment="1">
      <alignment horizontal="center"/>
    </xf>
    <xf numFmtId="0" fontId="36" fillId="0" borderId="111" xfId="0" applyFont="1" applyBorder="1" applyAlignment="1">
      <alignment horizontal="center"/>
    </xf>
    <xf numFmtId="0" fontId="36" fillId="0" borderId="114" xfId="0" applyFont="1" applyBorder="1" applyAlignment="1">
      <alignment horizontal="center"/>
    </xf>
    <xf numFmtId="0" fontId="26" fillId="5" borderId="13" xfId="0" applyFont="1" applyFill="1" applyBorder="1"/>
    <xf numFmtId="0" fontId="36" fillId="15" borderId="14" xfId="0" applyFont="1" applyFill="1" applyBorder="1"/>
    <xf numFmtId="0" fontId="36" fillId="15" borderId="31" xfId="0" applyFont="1" applyFill="1" applyBorder="1"/>
    <xf numFmtId="0" fontId="85" fillId="8" borderId="0" xfId="0" applyFont="1" applyFill="1" applyAlignment="1">
      <alignment horizontal="center"/>
    </xf>
    <xf numFmtId="166" fontId="26" fillId="2" borderId="0" xfId="0" applyNumberFormat="1" applyFont="1" applyFill="1" applyAlignment="1">
      <alignment horizontal="center"/>
    </xf>
    <xf numFmtId="0" fontId="10" fillId="0" borderId="6" xfId="0" applyFont="1" applyBorder="1"/>
    <xf numFmtId="0" fontId="33" fillId="0" borderId="0" xfId="0" applyFont="1" applyAlignment="1">
      <alignment horizontal="left" vertical="center"/>
    </xf>
    <xf numFmtId="0" fontId="29" fillId="0" borderId="31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26" fillId="0" borderId="31" xfId="0" applyFont="1" applyBorder="1"/>
    <xf numFmtId="0" fontId="6" fillId="0" borderId="16" xfId="0" applyFont="1" applyBorder="1" applyAlignment="1">
      <alignment horizontal="center"/>
    </xf>
    <xf numFmtId="0" fontId="24" fillId="0" borderId="117" xfId="0" applyFont="1" applyBorder="1"/>
    <xf numFmtId="0" fontId="67" fillId="0" borderId="111" xfId="1" applyFon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164" fontId="52" fillId="0" borderId="0" xfId="0" applyNumberFormat="1" applyFont="1" applyAlignment="1">
      <alignment horizontal="center"/>
    </xf>
    <xf numFmtId="166" fontId="38" fillId="0" borderId="0" xfId="0" applyNumberFormat="1" applyFont="1" applyAlignment="1">
      <alignment horizontal="center"/>
    </xf>
    <xf numFmtId="164" fontId="3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33" fillId="0" borderId="0" xfId="0" applyFont="1" applyAlignment="1">
      <alignment vertical="center"/>
    </xf>
    <xf numFmtId="166" fontId="36" fillId="0" borderId="0" xfId="0" applyNumberFormat="1" applyFont="1" applyAlignment="1">
      <alignment vertical="center"/>
    </xf>
    <xf numFmtId="0" fontId="33" fillId="0" borderId="0" xfId="0" quotePrefix="1" applyFont="1"/>
    <xf numFmtId="166" fontId="19" fillId="0" borderId="0" xfId="0" applyNumberFormat="1" applyFont="1"/>
    <xf numFmtId="166" fontId="20" fillId="0" borderId="0" xfId="0" quotePrefix="1" applyNumberFormat="1" applyFont="1" applyAlignment="1">
      <alignment horizontal="center"/>
    </xf>
    <xf numFmtId="164" fontId="20" fillId="0" borderId="0" xfId="0" quotePrefix="1" applyNumberFormat="1" applyFont="1" applyAlignment="1">
      <alignment horizontal="center"/>
    </xf>
    <xf numFmtId="10" fontId="20" fillId="0" borderId="0" xfId="0" applyNumberFormat="1" applyFont="1"/>
    <xf numFmtId="0" fontId="26" fillId="0" borderId="46" xfId="0" applyFont="1" applyBorder="1"/>
    <xf numFmtId="0" fontId="26" fillId="15" borderId="31" xfId="0" applyFont="1" applyFill="1" applyBorder="1" applyAlignment="1">
      <alignment horizontal="left"/>
    </xf>
    <xf numFmtId="0" fontId="36" fillId="0" borderId="24" xfId="0" applyFont="1" applyBorder="1"/>
    <xf numFmtId="0" fontId="36" fillId="0" borderId="13" xfId="0" applyFont="1" applyBorder="1"/>
    <xf numFmtId="0" fontId="26" fillId="13" borderId="14" xfId="0" applyFont="1" applyFill="1" applyBorder="1"/>
    <xf numFmtId="0" fontId="26" fillId="13" borderId="14" xfId="0" applyFont="1" applyFill="1" applyBorder="1" applyAlignment="1">
      <alignment vertical="center"/>
    </xf>
    <xf numFmtId="166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/>
    </xf>
    <xf numFmtId="164" fontId="73" fillId="0" borderId="49" xfId="0" applyNumberFormat="1" applyFont="1" applyBorder="1" applyAlignment="1">
      <alignment horizontal="center"/>
    </xf>
    <xf numFmtId="168" fontId="58" fillId="0" borderId="120" xfId="0" quotePrefix="1" applyNumberFormat="1" applyFont="1" applyBorder="1" applyAlignment="1">
      <alignment horizontal="center"/>
    </xf>
    <xf numFmtId="0" fontId="73" fillId="0" borderId="126" xfId="0" applyFont="1" applyBorder="1" applyAlignment="1">
      <alignment horizontal="center"/>
    </xf>
    <xf numFmtId="0" fontId="73" fillId="0" borderId="127" xfId="0" applyFont="1" applyBorder="1" applyAlignment="1">
      <alignment horizontal="center"/>
    </xf>
    <xf numFmtId="0" fontId="73" fillId="0" borderId="107" xfId="0" applyFont="1" applyBorder="1" applyAlignment="1">
      <alignment horizontal="center"/>
    </xf>
    <xf numFmtId="168" fontId="73" fillId="0" borderId="108" xfId="0" applyNumberFormat="1" applyFont="1" applyBorder="1" applyAlignment="1">
      <alignment horizontal="center"/>
    </xf>
    <xf numFmtId="168" fontId="73" fillId="0" borderId="109" xfId="0" applyNumberFormat="1" applyFont="1" applyBorder="1" applyAlignment="1">
      <alignment horizontal="center"/>
    </xf>
    <xf numFmtId="168" fontId="73" fillId="0" borderId="61" xfId="0" applyNumberFormat="1" applyFont="1" applyBorder="1" applyAlignment="1">
      <alignment horizontal="center"/>
    </xf>
    <xf numFmtId="168" fontId="73" fillId="0" borderId="110" xfId="0" applyNumberFormat="1" applyFont="1" applyBorder="1" applyAlignment="1">
      <alignment horizontal="center"/>
    </xf>
    <xf numFmtId="0" fontId="73" fillId="0" borderId="91" xfId="0" applyFont="1" applyBorder="1" applyAlignment="1">
      <alignment horizontal="center"/>
    </xf>
    <xf numFmtId="168" fontId="73" fillId="0" borderId="60" xfId="0" applyNumberFormat="1" applyFont="1" applyBorder="1" applyAlignment="1">
      <alignment horizontal="center"/>
    </xf>
    <xf numFmtId="168" fontId="73" fillId="0" borderId="79" xfId="0" applyNumberFormat="1" applyFont="1" applyBorder="1" applyAlignment="1">
      <alignment horizontal="center"/>
    </xf>
    <xf numFmtId="168" fontId="73" fillId="0" borderId="62" xfId="0" applyNumberFormat="1" applyFont="1" applyBorder="1" applyAlignment="1">
      <alignment horizontal="center"/>
    </xf>
    <xf numFmtId="0" fontId="73" fillId="0" borderId="92" xfId="0" applyFont="1" applyBorder="1" applyAlignment="1">
      <alignment horizontal="center"/>
    </xf>
    <xf numFmtId="168" fontId="73" fillId="0" borderId="64" xfId="0" applyNumberFormat="1" applyFont="1" applyBorder="1" applyAlignment="1">
      <alignment horizontal="center"/>
    </xf>
    <xf numFmtId="168" fontId="73" fillId="0" borderId="65" xfId="0" applyNumberFormat="1" applyFont="1" applyBorder="1" applyAlignment="1">
      <alignment horizontal="center"/>
    </xf>
    <xf numFmtId="168" fontId="73" fillId="0" borderId="66" xfId="0" applyNumberFormat="1" applyFont="1" applyBorder="1" applyAlignment="1">
      <alignment horizontal="center"/>
    </xf>
    <xf numFmtId="168" fontId="73" fillId="0" borderId="80" xfId="0" applyNumberFormat="1" applyFont="1" applyBorder="1" applyAlignment="1">
      <alignment horizontal="center"/>
    </xf>
    <xf numFmtId="0" fontId="73" fillId="0" borderId="93" xfId="0" applyFont="1" applyBorder="1" applyAlignment="1">
      <alignment horizontal="center"/>
    </xf>
    <xf numFmtId="168" fontId="73" fillId="0" borderId="71" xfId="0" applyNumberFormat="1" applyFont="1" applyBorder="1" applyAlignment="1">
      <alignment horizontal="center"/>
    </xf>
    <xf numFmtId="168" fontId="73" fillId="0" borderId="72" xfId="0" applyNumberFormat="1" applyFont="1" applyBorder="1" applyAlignment="1">
      <alignment horizontal="center"/>
    </xf>
    <xf numFmtId="168" fontId="73" fillId="0" borderId="73" xfId="0" applyNumberFormat="1" applyFont="1" applyBorder="1" applyAlignment="1">
      <alignment horizontal="center"/>
    </xf>
    <xf numFmtId="168" fontId="73" fillId="0" borderId="81" xfId="0" applyNumberFormat="1" applyFont="1" applyBorder="1" applyAlignment="1">
      <alignment horizontal="center"/>
    </xf>
    <xf numFmtId="0" fontId="73" fillId="0" borderId="92" xfId="0" applyFont="1" applyBorder="1" applyAlignment="1">
      <alignment horizontal="left"/>
    </xf>
    <xf numFmtId="0" fontId="73" fillId="0" borderId="91" xfId="0" applyFont="1" applyBorder="1" applyAlignment="1">
      <alignment horizontal="left"/>
    </xf>
    <xf numFmtId="168" fontId="73" fillId="0" borderId="68" xfId="0" applyNumberFormat="1" applyFont="1" applyBorder="1" applyAlignment="1">
      <alignment horizontal="center"/>
    </xf>
    <xf numFmtId="168" fontId="73" fillId="0" borderId="69" xfId="0" applyNumberFormat="1" applyFont="1" applyBorder="1" applyAlignment="1">
      <alignment horizontal="center"/>
    </xf>
    <xf numFmtId="168" fontId="73" fillId="0" borderId="139" xfId="0" applyNumberFormat="1" applyFont="1" applyBorder="1" applyAlignment="1">
      <alignment horizontal="center"/>
    </xf>
    <xf numFmtId="0" fontId="73" fillId="0" borderId="95" xfId="0" applyFont="1" applyBorder="1" applyAlignment="1">
      <alignment horizontal="left"/>
    </xf>
    <xf numFmtId="0" fontId="73" fillId="0" borderId="138" xfId="0" applyFont="1" applyBorder="1" applyAlignment="1">
      <alignment horizontal="center"/>
    </xf>
    <xf numFmtId="168" fontId="73" fillId="0" borderId="16" xfId="0" applyNumberFormat="1" applyFont="1" applyBorder="1" applyAlignment="1">
      <alignment horizontal="center"/>
    </xf>
    <xf numFmtId="164" fontId="36" fillId="0" borderId="22" xfId="0" applyNumberFormat="1" applyFont="1" applyBorder="1" applyAlignment="1">
      <alignment horizontal="center"/>
    </xf>
    <xf numFmtId="0" fontId="36" fillId="15" borderId="14" xfId="0" applyFont="1" applyFill="1" applyBorder="1" applyAlignment="1">
      <alignment horizontal="left"/>
    </xf>
    <xf numFmtId="0" fontId="36" fillId="15" borderId="31" xfId="0" applyFont="1" applyFill="1" applyBorder="1" applyAlignment="1">
      <alignment horizontal="left"/>
    </xf>
    <xf numFmtId="0" fontId="26" fillId="14" borderId="0" xfId="0" applyFont="1" applyFill="1"/>
    <xf numFmtId="0" fontId="26" fillId="14" borderId="14" xfId="0" applyFont="1" applyFill="1" applyBorder="1"/>
    <xf numFmtId="0" fontId="26" fillId="17" borderId="31" xfId="0" applyFont="1" applyFill="1" applyBorder="1"/>
    <xf numFmtId="0" fontId="26" fillId="17" borderId="15" xfId="0" applyFont="1" applyFill="1" applyBorder="1"/>
    <xf numFmtId="166" fontId="36" fillId="0" borderId="31" xfId="0" applyNumberFormat="1" applyFont="1" applyBorder="1"/>
    <xf numFmtId="0" fontId="36" fillId="0" borderId="29" xfId="0" applyFont="1" applyBorder="1"/>
    <xf numFmtId="0" fontId="36" fillId="0" borderId="23" xfId="0" applyFont="1" applyBorder="1"/>
    <xf numFmtId="0" fontId="26" fillId="0" borderId="25" xfId="0" applyFont="1" applyBorder="1"/>
    <xf numFmtId="0" fontId="26" fillId="0" borderId="125" xfId="0" applyFont="1" applyBorder="1" applyAlignment="1">
      <alignment horizontal="center"/>
    </xf>
    <xf numFmtId="9" fontId="36" fillId="0" borderId="14" xfId="0" applyNumberFormat="1" applyFont="1" applyBorder="1" applyAlignment="1">
      <alignment horizontal="center"/>
    </xf>
    <xf numFmtId="9" fontId="36" fillId="0" borderId="22" xfId="0" applyNumberFormat="1" applyFont="1" applyBorder="1" applyAlignment="1">
      <alignment horizontal="center"/>
    </xf>
    <xf numFmtId="0" fontId="58" fillId="0" borderId="97" xfId="2" applyFont="1" applyBorder="1" applyAlignment="1">
      <alignment horizontal="center"/>
    </xf>
    <xf numFmtId="0" fontId="58" fillId="0" borderId="9" xfId="2" applyFont="1" applyBorder="1" applyAlignment="1">
      <alignment horizontal="center"/>
    </xf>
    <xf numFmtId="0" fontId="58" fillId="0" borderId="8" xfId="2" applyFont="1" applyBorder="1" applyAlignment="1">
      <alignment horizontal="center"/>
    </xf>
    <xf numFmtId="0" fontId="58" fillId="0" borderId="19" xfId="2" applyFont="1" applyBorder="1" applyAlignment="1">
      <alignment horizontal="center"/>
    </xf>
    <xf numFmtId="0" fontId="58" fillId="0" borderId="85" xfId="2" applyFont="1" applyBorder="1" applyAlignment="1">
      <alignment horizontal="center"/>
    </xf>
    <xf numFmtId="0" fontId="73" fillId="0" borderId="97" xfId="2" applyFont="1" applyBorder="1" applyAlignment="1">
      <alignment horizontal="center"/>
    </xf>
    <xf numFmtId="9" fontId="58" fillId="0" borderId="9" xfId="2" applyNumberFormat="1" applyFont="1" applyBorder="1" applyAlignment="1">
      <alignment horizontal="center"/>
    </xf>
    <xf numFmtId="164" fontId="73" fillId="0" borderId="8" xfId="0" applyNumberFormat="1" applyFont="1" applyBorder="1" applyAlignment="1">
      <alignment horizontal="center" vertical="center"/>
    </xf>
    <xf numFmtId="164" fontId="73" fillId="0" borderId="85" xfId="0" applyNumberFormat="1" applyFont="1" applyBorder="1" applyAlignment="1">
      <alignment horizontal="center" vertical="center"/>
    </xf>
    <xf numFmtId="166" fontId="73" fillId="0" borderId="8" xfId="2" applyNumberFormat="1" applyFont="1" applyBorder="1" applyAlignment="1">
      <alignment horizontal="center" vertical="center"/>
    </xf>
    <xf numFmtId="166" fontId="73" fillId="0" borderId="9" xfId="2" applyNumberFormat="1" applyFont="1" applyBorder="1" applyAlignment="1">
      <alignment horizontal="center" vertical="center"/>
    </xf>
    <xf numFmtId="166" fontId="73" fillId="0" borderId="19" xfId="2" applyNumberFormat="1" applyFont="1" applyBorder="1" applyAlignment="1">
      <alignment horizontal="center" vertical="center"/>
    </xf>
    <xf numFmtId="166" fontId="73" fillId="0" borderId="85" xfId="2" applyNumberFormat="1" applyFont="1" applyBorder="1" applyAlignment="1">
      <alignment horizontal="center" vertical="center"/>
    </xf>
    <xf numFmtId="0" fontId="73" fillId="0" borderId="98" xfId="2" applyFont="1" applyBorder="1" applyAlignment="1">
      <alignment horizontal="center"/>
    </xf>
    <xf numFmtId="164" fontId="73" fillId="0" borderId="9" xfId="0" applyNumberFormat="1" applyFont="1" applyBorder="1" applyAlignment="1">
      <alignment horizontal="center" vertical="center"/>
    </xf>
    <xf numFmtId="164" fontId="73" fillId="0" borderId="19" xfId="0" applyNumberFormat="1" applyFont="1" applyBorder="1" applyAlignment="1">
      <alignment horizontal="center" vertical="center"/>
    </xf>
    <xf numFmtId="0" fontId="73" fillId="0" borderId="99" xfId="2" applyFont="1" applyBorder="1" applyAlignment="1">
      <alignment horizontal="center"/>
    </xf>
    <xf numFmtId="9" fontId="58" fillId="0" borderId="10" xfId="2" applyNumberFormat="1" applyFont="1" applyBorder="1" applyAlignment="1">
      <alignment horizontal="center"/>
    </xf>
    <xf numFmtId="9" fontId="58" fillId="0" borderId="8" xfId="2" applyNumberFormat="1" applyFont="1" applyBorder="1" applyAlignment="1">
      <alignment horizontal="center"/>
    </xf>
    <xf numFmtId="0" fontId="73" fillId="0" borderId="100" xfId="2" applyFont="1" applyBorder="1" applyAlignment="1">
      <alignment horizontal="center"/>
    </xf>
    <xf numFmtId="9" fontId="58" fillId="0" borderId="26" xfId="2" applyNumberFormat="1" applyFont="1" applyBorder="1" applyAlignment="1">
      <alignment horizontal="center"/>
    </xf>
    <xf numFmtId="164" fontId="73" fillId="0" borderId="12" xfId="0" applyNumberFormat="1" applyFont="1" applyBorder="1" applyAlignment="1">
      <alignment horizontal="center" vertical="center"/>
    </xf>
    <xf numFmtId="164" fontId="73" fillId="0" borderId="20" xfId="0" applyNumberFormat="1" applyFont="1" applyBorder="1" applyAlignment="1">
      <alignment horizontal="center" vertical="center"/>
    </xf>
    <xf numFmtId="164" fontId="73" fillId="0" borderId="86" xfId="0" applyNumberFormat="1" applyFont="1" applyBorder="1" applyAlignment="1">
      <alignment horizontal="center" vertical="center"/>
    </xf>
    <xf numFmtId="0" fontId="36" fillId="0" borderId="97" xfId="0" applyFont="1" applyBorder="1"/>
    <xf numFmtId="0" fontId="26" fillId="0" borderId="9" xfId="0" applyFont="1" applyBorder="1"/>
    <xf numFmtId="166" fontId="73" fillId="0" borderId="9" xfId="2" applyNumberFormat="1" applyFont="1" applyBorder="1" applyAlignment="1">
      <alignment horizontal="center"/>
    </xf>
    <xf numFmtId="166" fontId="73" fillId="0" borderId="85" xfId="2" applyNumberFormat="1" applyFont="1" applyBorder="1" applyAlignment="1">
      <alignment horizontal="center"/>
    </xf>
    <xf numFmtId="0" fontId="73" fillId="0" borderId="97" xfId="2" applyFont="1" applyBorder="1"/>
    <xf numFmtId="0" fontId="73" fillId="0" borderId="9" xfId="2" applyFont="1" applyBorder="1"/>
    <xf numFmtId="0" fontId="73" fillId="0" borderId="102" xfId="2" applyFont="1" applyBorder="1"/>
    <xf numFmtId="0" fontId="73" fillId="0" borderId="88" xfId="2" applyFont="1" applyBorder="1"/>
    <xf numFmtId="164" fontId="73" fillId="0" borderId="88" xfId="0" applyNumberFormat="1" applyFont="1" applyBorder="1" applyAlignment="1">
      <alignment horizontal="center" vertical="center"/>
    </xf>
    <xf numFmtId="166" fontId="73" fillId="0" borderId="88" xfId="2" applyNumberFormat="1" applyFont="1" applyBorder="1" applyAlignment="1">
      <alignment horizontal="center" vertical="center"/>
    </xf>
    <xf numFmtId="166" fontId="73" fillId="0" borderId="89" xfId="2" applyNumberFormat="1" applyFont="1" applyBorder="1" applyAlignment="1">
      <alignment horizontal="center" vertical="center"/>
    </xf>
    <xf numFmtId="164" fontId="36" fillId="0" borderId="14" xfId="0" applyNumberFormat="1" applyFont="1" applyBorder="1" applyAlignment="1">
      <alignment horizontal="center" vertical="center"/>
    </xf>
    <xf numFmtId="164" fontId="36" fillId="0" borderId="11" xfId="0" applyNumberFormat="1" applyFont="1" applyBorder="1" applyAlignment="1">
      <alignment horizontal="center" vertical="center"/>
    </xf>
    <xf numFmtId="164" fontId="36" fillId="0" borderId="40" xfId="0" applyNumberFormat="1" applyFont="1" applyBorder="1" applyAlignment="1">
      <alignment horizontal="center" vertical="center"/>
    </xf>
    <xf numFmtId="0" fontId="36" fillId="0" borderId="25" xfId="0" applyFont="1" applyBorder="1"/>
    <xf numFmtId="0" fontId="36" fillId="0" borderId="2" xfId="0" applyFont="1" applyBorder="1" applyAlignment="1">
      <alignment vertical="center"/>
    </xf>
    <xf numFmtId="165" fontId="36" fillId="0" borderId="3" xfId="0" applyNumberFormat="1" applyFont="1" applyBorder="1" applyAlignment="1">
      <alignment horizontal="center" vertical="center"/>
    </xf>
    <xf numFmtId="0" fontId="36" fillId="0" borderId="4" xfId="0" applyFont="1" applyBorder="1" applyAlignment="1">
      <alignment vertical="center"/>
    </xf>
    <xf numFmtId="165" fontId="36" fillId="0" borderId="5" xfId="0" applyNumberFormat="1" applyFont="1" applyBorder="1" applyAlignment="1">
      <alignment horizontal="center" vertical="center"/>
    </xf>
    <xf numFmtId="0" fontId="26" fillId="0" borderId="2" xfId="0" applyFont="1" applyBorder="1"/>
    <xf numFmtId="0" fontId="36" fillId="0" borderId="104" xfId="0" applyFont="1" applyBorder="1"/>
    <xf numFmtId="14" fontId="26" fillId="0" borderId="0" xfId="0" applyNumberFormat="1" applyFont="1" applyAlignment="1">
      <alignment horizontal="center"/>
    </xf>
    <xf numFmtId="0" fontId="26" fillId="0" borderId="115" xfId="0" applyFont="1" applyBorder="1" applyAlignment="1">
      <alignment vertical="center"/>
    </xf>
    <xf numFmtId="0" fontId="79" fillId="0" borderId="0" xfId="0" applyFont="1" applyAlignment="1">
      <alignment horizontal="center"/>
    </xf>
    <xf numFmtId="166" fontId="26" fillId="0" borderId="0" xfId="0" applyNumberFormat="1" applyFont="1" applyAlignment="1">
      <alignment horizontal="center"/>
    </xf>
    <xf numFmtId="0" fontId="26" fillId="17" borderId="14" xfId="0" applyFont="1" applyFill="1" applyBorder="1"/>
    <xf numFmtId="0" fontId="26" fillId="17" borderId="22" xfId="0" applyFont="1" applyFill="1" applyBorder="1"/>
    <xf numFmtId="0" fontId="36" fillId="0" borderId="17" xfId="0" applyFont="1" applyBorder="1"/>
    <xf numFmtId="0" fontId="74" fillId="0" borderId="116" xfId="1" applyFont="1" applyBorder="1" applyAlignment="1">
      <alignment vertical="center"/>
    </xf>
    <xf numFmtId="0" fontId="89" fillId="0" borderId="116" xfId="1" applyFont="1" applyBorder="1" applyAlignment="1">
      <alignment vertical="center"/>
    </xf>
    <xf numFmtId="0" fontId="26" fillId="0" borderId="116" xfId="0" applyFont="1" applyBorder="1" applyAlignment="1">
      <alignment vertical="center"/>
    </xf>
    <xf numFmtId="0" fontId="58" fillId="0" borderId="116" xfId="0" applyFont="1" applyBorder="1" applyAlignment="1">
      <alignment vertical="center"/>
    </xf>
    <xf numFmtId="16" fontId="26" fillId="0" borderId="0" xfId="0" quotePrefix="1" applyNumberFormat="1" applyFont="1" applyAlignment="1">
      <alignment horizontal="right"/>
    </xf>
    <xf numFmtId="0" fontId="26" fillId="0" borderId="0" xfId="0" applyFont="1" applyAlignment="1">
      <alignment horizontal="right"/>
    </xf>
    <xf numFmtId="0" fontId="74" fillId="0" borderId="0" xfId="1" applyFont="1" applyBorder="1" applyAlignment="1">
      <alignment horizontal="center" vertical="center"/>
    </xf>
    <xf numFmtId="165" fontId="36" fillId="0" borderId="0" xfId="0" applyNumberFormat="1" applyFont="1" applyAlignment="1">
      <alignment horizontal="center" vertical="center"/>
    </xf>
    <xf numFmtId="0" fontId="74" fillId="0" borderId="29" xfId="1" applyFont="1" applyBorder="1" applyAlignment="1">
      <alignment vertical="center"/>
    </xf>
    <xf numFmtId="0" fontId="89" fillId="0" borderId="29" xfId="1" applyFont="1" applyBorder="1" applyAlignment="1">
      <alignment vertical="center"/>
    </xf>
    <xf numFmtId="10" fontId="20" fillId="0" borderId="0" xfId="0" applyNumberFormat="1" applyFont="1" applyAlignment="1">
      <alignment horizontal="center"/>
    </xf>
    <xf numFmtId="170" fontId="20" fillId="0" borderId="0" xfId="0" applyNumberFormat="1" applyFont="1" applyAlignment="1">
      <alignment horizontal="center"/>
    </xf>
    <xf numFmtId="164" fontId="58" fillId="0" borderId="11" xfId="0" applyNumberFormat="1" applyFont="1" applyBorder="1" applyAlignment="1">
      <alignment horizontal="center"/>
    </xf>
    <xf numFmtId="164" fontId="58" fillId="0" borderId="51" xfId="0" applyNumberFormat="1" applyFont="1" applyBorder="1" applyAlignment="1">
      <alignment horizontal="center"/>
    </xf>
    <xf numFmtId="164" fontId="73" fillId="0" borderId="51" xfId="0" applyNumberFormat="1" applyFont="1" applyBorder="1" applyAlignment="1">
      <alignment horizontal="center"/>
    </xf>
    <xf numFmtId="0" fontId="73" fillId="0" borderId="3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15" borderId="31" xfId="0" applyFont="1" applyFill="1" applyBorder="1" applyAlignment="1">
      <alignment vertical="center"/>
    </xf>
    <xf numFmtId="0" fontId="26" fillId="15" borderId="14" xfId="0" applyFont="1" applyFill="1" applyBorder="1" applyAlignment="1">
      <alignment vertical="center"/>
    </xf>
    <xf numFmtId="0" fontId="26" fillId="15" borderId="15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26" fillId="15" borderId="0" xfId="0" applyFont="1" applyFill="1" applyAlignment="1">
      <alignment vertical="center"/>
    </xf>
    <xf numFmtId="0" fontId="89" fillId="0" borderId="0" xfId="1" applyFont="1"/>
    <xf numFmtId="164" fontId="36" fillId="0" borderId="22" xfId="0" applyNumberFormat="1" applyFont="1" applyBorder="1" applyAlignment="1">
      <alignment horizontal="center" vertical="center"/>
    </xf>
    <xf numFmtId="0" fontId="36" fillId="15" borderId="0" xfId="0" applyFont="1" applyFill="1" applyAlignment="1">
      <alignment horizontal="left"/>
    </xf>
    <xf numFmtId="164" fontId="73" fillId="15" borderId="0" xfId="0" applyNumberFormat="1" applyFont="1" applyFill="1" applyAlignment="1">
      <alignment horizontal="left"/>
    </xf>
    <xf numFmtId="0" fontId="58" fillId="15" borderId="0" xfId="0" applyFont="1" applyFill="1" applyAlignment="1">
      <alignment horizontal="left" vertical="center"/>
    </xf>
    <xf numFmtId="164" fontId="36" fillId="15" borderId="0" xfId="0" applyNumberFormat="1" applyFont="1" applyFill="1" applyAlignment="1">
      <alignment horizontal="left" vertical="center"/>
    </xf>
    <xf numFmtId="166" fontId="26" fillId="15" borderId="0" xfId="0" applyNumberFormat="1" applyFont="1" applyFill="1" applyAlignment="1">
      <alignment horizontal="left" vertical="center"/>
    </xf>
    <xf numFmtId="0" fontId="39" fillId="0" borderId="31" xfId="0" applyFont="1" applyBorder="1" applyAlignment="1">
      <alignment vertical="center"/>
    </xf>
    <xf numFmtId="168" fontId="73" fillId="0" borderId="112" xfId="0" applyNumberFormat="1" applyFont="1" applyBorder="1" applyAlignment="1">
      <alignment horizontal="center"/>
    </xf>
    <xf numFmtId="168" fontId="73" fillId="0" borderId="63" xfId="0" applyNumberFormat="1" applyFont="1" applyBorder="1" applyAlignment="1">
      <alignment horizontal="center"/>
    </xf>
    <xf numFmtId="168" fontId="73" fillId="0" borderId="67" xfId="0" applyNumberFormat="1" applyFont="1" applyBorder="1" applyAlignment="1">
      <alignment horizontal="center"/>
    </xf>
    <xf numFmtId="168" fontId="73" fillId="0" borderId="74" xfId="0" applyNumberFormat="1" applyFont="1" applyBorder="1" applyAlignment="1">
      <alignment horizontal="center"/>
    </xf>
    <xf numFmtId="166" fontId="36" fillId="0" borderId="14" xfId="0" applyNumberFormat="1" applyFont="1" applyBorder="1" applyAlignment="1" applyProtection="1">
      <alignment horizontal="center" vertical="center"/>
      <protection hidden="1"/>
    </xf>
    <xf numFmtId="164" fontId="73" fillId="0" borderId="11" xfId="0" applyNumberFormat="1" applyFont="1" applyBorder="1" applyAlignment="1">
      <alignment horizontal="center"/>
    </xf>
    <xf numFmtId="164" fontId="73" fillId="0" borderId="4" xfId="0" applyNumberFormat="1" applyFont="1" applyBorder="1" applyAlignment="1">
      <alignment horizontal="center"/>
    </xf>
    <xf numFmtId="0" fontId="58" fillId="0" borderId="30" xfId="0" applyFont="1" applyBorder="1" applyAlignment="1">
      <alignment horizontal="center"/>
    </xf>
    <xf numFmtId="0" fontId="10" fillId="0" borderId="5" xfId="0" applyFont="1" applyBorder="1"/>
    <xf numFmtId="0" fontId="14" fillId="0" borderId="33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64" fontId="73" fillId="0" borderId="30" xfId="0" applyNumberFormat="1" applyFont="1" applyBorder="1" applyAlignment="1">
      <alignment horizontal="left"/>
    </xf>
    <xf numFmtId="0" fontId="26" fillId="14" borderId="31" xfId="0" applyFont="1" applyFill="1" applyBorder="1"/>
    <xf numFmtId="0" fontId="26" fillId="15" borderId="22" xfId="0" applyFont="1" applyFill="1" applyBorder="1"/>
    <xf numFmtId="0" fontId="26" fillId="15" borderId="31" xfId="0" applyFont="1" applyFill="1" applyBorder="1"/>
    <xf numFmtId="0" fontId="11" fillId="14" borderId="15" xfId="0" applyFont="1" applyFill="1" applyBorder="1"/>
    <xf numFmtId="0" fontId="11" fillId="14" borderId="16" xfId="0" applyFont="1" applyFill="1" applyBorder="1"/>
    <xf numFmtId="0" fontId="11" fillId="14" borderId="22" xfId="0" applyFont="1" applyFill="1" applyBorder="1"/>
    <xf numFmtId="0" fontId="11" fillId="16" borderId="16" xfId="0" applyFont="1" applyFill="1" applyBorder="1"/>
    <xf numFmtId="0" fontId="11" fillId="16" borderId="22" xfId="0" applyFont="1" applyFill="1" applyBorder="1"/>
    <xf numFmtId="0" fontId="11" fillId="15" borderId="31" xfId="0" applyFont="1" applyFill="1" applyBorder="1"/>
    <xf numFmtId="0" fontId="11" fillId="15" borderId="14" xfId="0" applyFont="1" applyFill="1" applyBorder="1"/>
    <xf numFmtId="0" fontId="11" fillId="15" borderId="15" xfId="0" applyFont="1" applyFill="1" applyBorder="1"/>
    <xf numFmtId="0" fontId="11" fillId="15" borderId="16" xfId="0" applyFont="1" applyFill="1" applyBorder="1"/>
    <xf numFmtId="0" fontId="11" fillId="15" borderId="22" xfId="0" applyFont="1" applyFill="1" applyBorder="1"/>
    <xf numFmtId="0" fontId="11" fillId="13" borderId="31" xfId="0" applyFont="1" applyFill="1" applyBorder="1"/>
    <xf numFmtId="0" fontId="11" fillId="13" borderId="14" xfId="0" applyFont="1" applyFill="1" applyBorder="1"/>
    <xf numFmtId="0" fontId="11" fillId="13" borderId="15" xfId="0" applyFont="1" applyFill="1" applyBorder="1"/>
    <xf numFmtId="0" fontId="11" fillId="13" borderId="16" xfId="0" applyFont="1" applyFill="1" applyBorder="1"/>
    <xf numFmtId="0" fontId="11" fillId="13" borderId="22" xfId="0" applyFont="1" applyFill="1" applyBorder="1"/>
    <xf numFmtId="0" fontId="84" fillId="0" borderId="15" xfId="0" applyFont="1" applyBorder="1"/>
    <xf numFmtId="0" fontId="84" fillId="0" borderId="16" xfId="0" applyFont="1" applyBorder="1"/>
    <xf numFmtId="0" fontId="84" fillId="0" borderId="22" xfId="0" applyFont="1" applyBorder="1"/>
    <xf numFmtId="0" fontId="45" fillId="0" borderId="24" xfId="0" applyFont="1" applyBorder="1" applyAlignment="1">
      <alignment horizontal="center"/>
    </xf>
    <xf numFmtId="0" fontId="73" fillId="0" borderId="0" xfId="0" applyFont="1" applyAlignment="1">
      <alignment horizontal="center" vertical="center"/>
    </xf>
    <xf numFmtId="166" fontId="36" fillId="0" borderId="15" xfId="0" applyNumberFormat="1" applyFont="1" applyBorder="1" applyAlignment="1">
      <alignment horizontal="center" vertical="center"/>
    </xf>
    <xf numFmtId="0" fontId="26" fillId="15" borderId="31" xfId="0" applyFont="1" applyFill="1" applyBorder="1" applyAlignment="1">
      <alignment horizontal="center" vertical="center"/>
    </xf>
    <xf numFmtId="0" fontId="26" fillId="15" borderId="0" xfId="0" applyFont="1" applyFill="1" applyAlignment="1">
      <alignment horizontal="center" vertical="center"/>
    </xf>
    <xf numFmtId="0" fontId="26" fillId="15" borderId="14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26" fillId="0" borderId="13" xfId="0" applyFont="1" applyBorder="1"/>
    <xf numFmtId="0" fontId="26" fillId="0" borderId="23" xfId="0" applyFont="1" applyBorder="1"/>
    <xf numFmtId="0" fontId="88" fillId="0" borderId="13" xfId="1" applyFont="1" applyBorder="1" applyAlignment="1"/>
    <xf numFmtId="0" fontId="92" fillId="0" borderId="13" xfId="1" applyFont="1" applyBorder="1" applyAlignment="1"/>
    <xf numFmtId="0" fontId="58" fillId="0" borderId="13" xfId="0" applyFont="1" applyBorder="1"/>
    <xf numFmtId="0" fontId="26" fillId="0" borderId="3" xfId="0" applyFont="1" applyBorder="1"/>
    <xf numFmtId="0" fontId="26" fillId="0" borderId="15" xfId="0" applyFont="1" applyBorder="1"/>
    <xf numFmtId="164" fontId="73" fillId="0" borderId="53" xfId="0" applyNumberFormat="1" applyFont="1" applyBorder="1" applyAlignment="1">
      <alignment horizontal="center"/>
    </xf>
    <xf numFmtId="164" fontId="73" fillId="0" borderId="5" xfId="0" applyNumberFormat="1" applyFont="1" applyBorder="1" applyAlignment="1">
      <alignment horizontal="center"/>
    </xf>
    <xf numFmtId="164" fontId="73" fillId="0" borderId="30" xfId="0" applyNumberFormat="1" applyFont="1" applyBorder="1" applyAlignment="1">
      <alignment horizontal="center"/>
    </xf>
    <xf numFmtId="164" fontId="73" fillId="0" borderId="16" xfId="0" applyNumberFormat="1" applyFont="1" applyBorder="1" applyAlignment="1">
      <alignment horizontal="center"/>
    </xf>
    <xf numFmtId="164" fontId="73" fillId="0" borderId="22" xfId="0" applyNumberFormat="1" applyFont="1" applyBorder="1" applyAlignment="1">
      <alignment horizontal="center"/>
    </xf>
    <xf numFmtId="0" fontId="11" fillId="0" borderId="14" xfId="0" applyFont="1" applyBorder="1"/>
    <xf numFmtId="0" fontId="10" fillId="0" borderId="25" xfId="0" applyFont="1" applyBorder="1"/>
    <xf numFmtId="14" fontId="26" fillId="0" borderId="0" xfId="0" applyNumberFormat="1" applyFont="1" applyAlignment="1">
      <alignment horizontal="left"/>
    </xf>
    <xf numFmtId="164" fontId="73" fillId="0" borderId="56" xfId="0" applyNumberFormat="1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6" fontId="36" fillId="0" borderId="14" xfId="0" applyNumberFormat="1" applyFont="1" applyBorder="1" applyAlignment="1">
      <alignment horizontal="center"/>
    </xf>
    <xf numFmtId="6" fontId="36" fillId="0" borderId="22" xfId="0" applyNumberFormat="1" applyFont="1" applyBorder="1" applyAlignment="1">
      <alignment horizontal="center"/>
    </xf>
    <xf numFmtId="0" fontId="10" fillId="20" borderId="0" xfId="0" applyFont="1" applyFill="1"/>
    <xf numFmtId="0" fontId="26" fillId="20" borderId="31" xfId="0" applyFont="1" applyFill="1" applyBorder="1"/>
    <xf numFmtId="0" fontId="10" fillId="20" borderId="14" xfId="0" applyFont="1" applyFill="1" applyBorder="1"/>
    <xf numFmtId="49" fontId="29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8" fontId="73" fillId="0" borderId="145" xfId="0" applyNumberFormat="1" applyFont="1" applyBorder="1" applyAlignment="1">
      <alignment horizontal="center"/>
    </xf>
    <xf numFmtId="168" fontId="73" fillId="0" borderId="146" xfId="0" applyNumberFormat="1" applyFont="1" applyBorder="1" applyAlignment="1">
      <alignment horizontal="center"/>
    </xf>
    <xf numFmtId="16" fontId="36" fillId="0" borderId="0" xfId="0" quotePrefix="1" applyNumberFormat="1" applyFont="1"/>
    <xf numFmtId="0" fontId="36" fillId="0" borderId="0" xfId="0" quotePrefix="1" applyFont="1"/>
    <xf numFmtId="0" fontId="64" fillId="0" borderId="0" xfId="0" applyFont="1"/>
    <xf numFmtId="168" fontId="73" fillId="0" borderId="147" xfId="0" applyNumberFormat="1" applyFont="1" applyBorder="1" applyAlignment="1">
      <alignment horizontal="center"/>
    </xf>
    <xf numFmtId="168" fontId="73" fillId="0" borderId="148" xfId="0" applyNumberFormat="1" applyFont="1" applyBorder="1" applyAlignment="1">
      <alignment horizontal="center"/>
    </xf>
    <xf numFmtId="168" fontId="73" fillId="0" borderId="149" xfId="0" applyNumberFormat="1" applyFont="1" applyBorder="1" applyAlignment="1">
      <alignment horizontal="center"/>
    </xf>
    <xf numFmtId="168" fontId="73" fillId="0" borderId="150" xfId="0" applyNumberFormat="1" applyFont="1" applyBorder="1" applyAlignment="1">
      <alignment horizontal="center"/>
    </xf>
    <xf numFmtId="168" fontId="73" fillId="0" borderId="151" xfId="0" applyNumberFormat="1" applyFont="1" applyBorder="1" applyAlignment="1">
      <alignment horizontal="center"/>
    </xf>
    <xf numFmtId="0" fontId="26" fillId="17" borderId="0" xfId="0" applyFont="1" applyFill="1"/>
    <xf numFmtId="0" fontId="39" fillId="0" borderId="0" xfId="0" applyFont="1"/>
    <xf numFmtId="0" fontId="26" fillId="0" borderId="16" xfId="0" applyFont="1" applyBorder="1" applyAlignment="1">
      <alignment vertical="center"/>
    </xf>
    <xf numFmtId="0" fontId="45" fillId="0" borderId="23" xfId="0" applyFont="1" applyBorder="1" applyAlignment="1">
      <alignment vertical="center"/>
    </xf>
    <xf numFmtId="0" fontId="45" fillId="0" borderId="13" xfId="0" applyFont="1" applyBorder="1" applyAlignment="1">
      <alignment vertical="center"/>
    </xf>
    <xf numFmtId="0" fontId="45" fillId="0" borderId="24" xfId="0" applyFont="1" applyBorder="1" applyAlignment="1">
      <alignment vertical="center"/>
    </xf>
    <xf numFmtId="0" fontId="26" fillId="18" borderId="31" xfId="0" applyFont="1" applyFill="1" applyBorder="1" applyAlignment="1">
      <alignment vertical="center"/>
    </xf>
    <xf numFmtId="0" fontId="26" fillId="18" borderId="14" xfId="0" applyFont="1" applyFill="1" applyBorder="1" applyAlignment="1">
      <alignment vertical="center"/>
    </xf>
    <xf numFmtId="10" fontId="26" fillId="18" borderId="14" xfId="0" applyNumberFormat="1" applyFont="1" applyFill="1" applyBorder="1" applyAlignment="1">
      <alignment vertical="center"/>
    </xf>
    <xf numFmtId="166" fontId="83" fillId="0" borderId="15" xfId="0" applyNumberFormat="1" applyFont="1" applyBorder="1" applyAlignment="1">
      <alignment vertical="center"/>
    </xf>
    <xf numFmtId="166" fontId="83" fillId="0" borderId="16" xfId="0" applyNumberFormat="1" applyFont="1" applyBorder="1" applyAlignment="1">
      <alignment vertical="center"/>
    </xf>
    <xf numFmtId="166" fontId="83" fillId="0" borderId="22" xfId="0" applyNumberFormat="1" applyFont="1" applyBorder="1" applyAlignment="1">
      <alignment vertical="center"/>
    </xf>
    <xf numFmtId="0" fontId="26" fillId="0" borderId="13" xfId="0" applyFont="1" applyBorder="1" applyAlignment="1">
      <alignment horizontal="center"/>
    </xf>
    <xf numFmtId="164" fontId="36" fillId="0" borderId="13" xfId="0" applyNumberFormat="1" applyFont="1" applyBorder="1" applyAlignment="1">
      <alignment horizontal="center" vertical="center"/>
    </xf>
    <xf numFmtId="10" fontId="26" fillId="20" borderId="14" xfId="0" applyNumberFormat="1" applyFont="1" applyFill="1" applyBorder="1" applyAlignment="1">
      <alignment horizontal="center" vertical="center"/>
    </xf>
    <xf numFmtId="164" fontId="73" fillId="0" borderId="52" xfId="0" applyNumberFormat="1" applyFont="1" applyBorder="1" applyAlignment="1">
      <alignment horizontal="center"/>
    </xf>
    <xf numFmtId="164" fontId="73" fillId="0" borderId="5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73" fillId="0" borderId="153" xfId="0" applyNumberFormat="1" applyFont="1" applyBorder="1" applyAlignment="1">
      <alignment horizontal="center"/>
    </xf>
    <xf numFmtId="164" fontId="73" fillId="0" borderId="154" xfId="0" applyNumberFormat="1" applyFont="1" applyBorder="1" applyAlignment="1">
      <alignment horizontal="center"/>
    </xf>
    <xf numFmtId="0" fontId="42" fillId="0" borderId="0" xfId="0" applyFont="1" applyAlignment="1">
      <alignment horizontal="center"/>
    </xf>
    <xf numFmtId="168" fontId="73" fillId="0" borderId="155" xfId="0" applyNumberFormat="1" applyFont="1" applyBorder="1" applyAlignment="1">
      <alignment horizontal="center"/>
    </xf>
    <xf numFmtId="168" fontId="73" fillId="0" borderId="156" xfId="0" applyNumberFormat="1" applyFont="1" applyBorder="1" applyAlignment="1">
      <alignment horizontal="center"/>
    </xf>
    <xf numFmtId="0" fontId="54" fillId="0" borderId="0" xfId="0" applyFont="1" applyAlignment="1">
      <alignment horizontal="left" vertical="top"/>
    </xf>
    <xf numFmtId="10" fontId="36" fillId="0" borderId="14" xfId="0" applyNumberFormat="1" applyFont="1" applyBorder="1"/>
    <xf numFmtId="171" fontId="36" fillId="0" borderId="14" xfId="0" applyNumberFormat="1" applyFont="1" applyBorder="1"/>
    <xf numFmtId="0" fontId="29" fillId="0" borderId="0" xfId="0" applyFont="1"/>
    <xf numFmtId="0" fontId="47" fillId="0" borderId="0" xfId="0" applyFont="1"/>
    <xf numFmtId="168" fontId="47" fillId="0" borderId="0" xfId="0" applyNumberFormat="1" applyFont="1"/>
    <xf numFmtId="0" fontId="70" fillId="0" borderId="0" xfId="0" applyFont="1"/>
    <xf numFmtId="168" fontId="70" fillId="0" borderId="0" xfId="0" applyNumberFormat="1" applyFont="1"/>
    <xf numFmtId="0" fontId="38" fillId="0" borderId="0" xfId="0" applyFont="1" applyAlignment="1">
      <alignment horizontal="center"/>
    </xf>
    <xf numFmtId="168" fontId="73" fillId="0" borderId="157" xfId="0" applyNumberFormat="1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1" fillId="0" borderId="51" xfId="0" applyFont="1" applyBorder="1" applyAlignment="1">
      <alignment horizontal="center"/>
    </xf>
    <xf numFmtId="164" fontId="73" fillId="0" borderId="24" xfId="0" applyNumberFormat="1" applyFont="1" applyBorder="1" applyAlignment="1">
      <alignment horizontal="center"/>
    </xf>
    <xf numFmtId="0" fontId="26" fillId="0" borderId="15" xfId="0" applyFont="1" applyBorder="1" applyAlignment="1">
      <alignment vertical="center"/>
    </xf>
    <xf numFmtId="0" fontId="26" fillId="0" borderId="31" xfId="0" applyFont="1" applyBorder="1" applyAlignment="1">
      <alignment horizontal="left"/>
    </xf>
    <xf numFmtId="0" fontId="73" fillId="0" borderId="48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0" fontId="10" fillId="13" borderId="14" xfId="0" applyFont="1" applyFill="1" applyBorder="1"/>
    <xf numFmtId="0" fontId="86" fillId="0" borderId="13" xfId="0" applyFont="1" applyBorder="1" applyAlignment="1">
      <alignment vertical="center"/>
    </xf>
    <xf numFmtId="164" fontId="58" fillId="0" borderId="5" xfId="0" applyNumberFormat="1" applyFont="1" applyBorder="1" applyAlignment="1">
      <alignment horizontal="left"/>
    </xf>
    <xf numFmtId="0" fontId="73" fillId="0" borderId="23" xfId="0" applyFont="1" applyBorder="1" applyAlignment="1">
      <alignment horizontal="left"/>
    </xf>
    <xf numFmtId="0" fontId="73" fillId="0" borderId="15" xfId="0" applyFont="1" applyBorder="1" applyAlignment="1">
      <alignment horizontal="left"/>
    </xf>
    <xf numFmtId="0" fontId="10" fillId="13" borderId="31" xfId="0" applyFont="1" applyFill="1" applyBorder="1"/>
    <xf numFmtId="0" fontId="33" fillId="0" borderId="14" xfId="0" applyFont="1" applyBorder="1" applyAlignment="1">
      <alignment vertical="center"/>
    </xf>
    <xf numFmtId="166" fontId="36" fillId="0" borderId="23" xfId="0" applyNumberFormat="1" applyFont="1" applyBorder="1" applyAlignment="1">
      <alignment horizontal="center" vertical="center"/>
    </xf>
    <xf numFmtId="164" fontId="73" fillId="0" borderId="13" xfId="0" applyNumberFormat="1" applyFont="1" applyBorder="1" applyAlignment="1">
      <alignment horizontal="center" vertical="center"/>
    </xf>
    <xf numFmtId="0" fontId="38" fillId="0" borderId="22" xfId="0" applyFont="1" applyBorder="1"/>
    <xf numFmtId="164" fontId="73" fillId="0" borderId="160" xfId="0" applyNumberFormat="1" applyFont="1" applyBorder="1" applyAlignment="1">
      <alignment horizontal="center"/>
    </xf>
    <xf numFmtId="164" fontId="73" fillId="0" borderId="161" xfId="0" applyNumberFormat="1" applyFont="1" applyBorder="1" applyAlignment="1">
      <alignment horizontal="center"/>
    </xf>
    <xf numFmtId="164" fontId="36" fillId="0" borderId="53" xfId="0" applyNumberFormat="1" applyFont="1" applyBorder="1" applyAlignment="1">
      <alignment horizontal="center" vertical="center"/>
    </xf>
    <xf numFmtId="164" fontId="73" fillId="0" borderId="48" xfId="0" applyNumberFormat="1" applyFont="1" applyBorder="1" applyAlignment="1">
      <alignment horizontal="center"/>
    </xf>
    <xf numFmtId="164" fontId="10" fillId="0" borderId="0" xfId="0" applyNumberFormat="1" applyFont="1"/>
    <xf numFmtId="0" fontId="80" fillId="2" borderId="0" xfId="0" applyFont="1" applyFill="1" applyAlignment="1">
      <alignment horizontal="center"/>
    </xf>
    <xf numFmtId="164" fontId="73" fillId="0" borderId="16" xfId="0" applyNumberFormat="1" applyFont="1" applyBorder="1" applyAlignment="1">
      <alignment horizontal="center" vertical="center"/>
    </xf>
    <xf numFmtId="0" fontId="10" fillId="13" borderId="0" xfId="0" applyFont="1" applyFill="1"/>
    <xf numFmtId="10" fontId="36" fillId="0" borderId="0" xfId="0" applyNumberFormat="1" applyFont="1" applyAlignment="1">
      <alignment horizontal="left"/>
    </xf>
    <xf numFmtId="170" fontId="36" fillId="0" borderId="0" xfId="0" applyNumberFormat="1" applyFont="1" applyAlignment="1">
      <alignment horizontal="left"/>
    </xf>
    <xf numFmtId="14" fontId="36" fillId="0" borderId="0" xfId="0" quotePrefix="1" applyNumberFormat="1" applyFont="1"/>
    <xf numFmtId="171" fontId="36" fillId="0" borderId="0" xfId="0" applyNumberFormat="1" applyFont="1"/>
    <xf numFmtId="0" fontId="36" fillId="0" borderId="0" xfId="0" applyFont="1" applyAlignment="1">
      <alignment horizontal="left" indent="1"/>
    </xf>
    <xf numFmtId="0" fontId="10" fillId="7" borderId="0" xfId="0" applyFont="1" applyFill="1"/>
    <xf numFmtId="0" fontId="36" fillId="7" borderId="0" xfId="0" applyFont="1" applyFill="1"/>
    <xf numFmtId="164" fontId="73" fillId="7" borderId="0" xfId="0" applyNumberFormat="1" applyFont="1" applyFill="1" applyAlignment="1">
      <alignment horizontal="center"/>
    </xf>
    <xf numFmtId="164" fontId="36" fillId="7" borderId="0" xfId="0" applyNumberFormat="1" applyFont="1" applyFill="1" applyAlignment="1">
      <alignment horizontal="center" vertical="center"/>
    </xf>
    <xf numFmtId="0" fontId="38" fillId="7" borderId="0" xfId="0" applyFont="1" applyFill="1"/>
    <xf numFmtId="0" fontId="36" fillId="7" borderId="0" xfId="0" applyFont="1" applyFill="1" applyAlignment="1">
      <alignment horizontal="left" vertical="center"/>
    </xf>
    <xf numFmtId="0" fontId="36" fillId="7" borderId="0" xfId="0" applyFont="1" applyFill="1" applyAlignment="1">
      <alignment vertical="center"/>
    </xf>
    <xf numFmtId="0" fontId="26" fillId="7" borderId="0" xfId="0" applyFont="1" applyFill="1" applyAlignment="1">
      <alignment vertical="center"/>
    </xf>
    <xf numFmtId="0" fontId="6" fillId="7" borderId="0" xfId="0" applyFont="1" applyFill="1" applyAlignment="1">
      <alignment vertical="top"/>
    </xf>
    <xf numFmtId="166" fontId="33" fillId="7" borderId="0" xfId="0" applyNumberFormat="1" applyFont="1" applyFill="1" applyAlignment="1">
      <alignment vertical="center"/>
    </xf>
    <xf numFmtId="0" fontId="38" fillId="7" borderId="0" xfId="0" applyFont="1" applyFill="1" applyAlignment="1">
      <alignment vertical="center"/>
    </xf>
    <xf numFmtId="0" fontId="58" fillId="7" borderId="0" xfId="0" applyFont="1" applyFill="1"/>
    <xf numFmtId="166" fontId="36" fillId="7" borderId="0" xfId="0" applyNumberFormat="1" applyFont="1" applyFill="1" applyAlignment="1">
      <alignment horizontal="center"/>
    </xf>
    <xf numFmtId="0" fontId="36" fillId="7" borderId="0" xfId="0" quotePrefix="1" applyFont="1" applyFill="1" applyAlignment="1" applyProtection="1">
      <alignment horizontal="center" vertical="center"/>
      <protection hidden="1"/>
    </xf>
    <xf numFmtId="166" fontId="36" fillId="7" borderId="0" xfId="0" applyNumberFormat="1" applyFont="1" applyFill="1" applyAlignment="1" applyProtection="1">
      <alignment horizontal="center" vertical="center"/>
      <protection hidden="1"/>
    </xf>
    <xf numFmtId="166" fontId="36" fillId="7" borderId="31" xfId="0" applyNumberFormat="1" applyFont="1" applyFill="1" applyBorder="1" applyAlignment="1">
      <alignment horizontal="center" vertical="center"/>
    </xf>
    <xf numFmtId="0" fontId="38" fillId="7" borderId="14" xfId="0" applyFont="1" applyFill="1" applyBorder="1"/>
    <xf numFmtId="0" fontId="75" fillId="22" borderId="31" xfId="0" applyFont="1" applyFill="1" applyBorder="1" applyAlignment="1">
      <alignment vertical="center"/>
    </xf>
    <xf numFmtId="0" fontId="10" fillId="22" borderId="14" xfId="0" applyFont="1" applyFill="1" applyBorder="1"/>
    <xf numFmtId="0" fontId="26" fillId="13" borderId="31" xfId="0" applyFont="1" applyFill="1" applyBorder="1"/>
    <xf numFmtId="0" fontId="26" fillId="13" borderId="31" xfId="0" applyFont="1" applyFill="1" applyBorder="1" applyAlignment="1">
      <alignment vertical="center"/>
    </xf>
    <xf numFmtId="0" fontId="10" fillId="22" borderId="31" xfId="0" applyFont="1" applyFill="1" applyBorder="1"/>
    <xf numFmtId="0" fontId="12" fillId="0" borderId="23" xfId="1" applyFont="1" applyBorder="1"/>
    <xf numFmtId="0" fontId="10" fillId="16" borderId="31" xfId="0" applyFont="1" applyFill="1" applyBorder="1"/>
    <xf numFmtId="0" fontId="10" fillId="16" borderId="14" xfId="0" applyFont="1" applyFill="1" applyBorder="1"/>
    <xf numFmtId="0" fontId="76" fillId="0" borderId="31" xfId="0" applyFont="1" applyBorder="1" applyAlignment="1">
      <alignment horizontal="center" vertical="center"/>
    </xf>
    <xf numFmtId="0" fontId="95" fillId="0" borderId="0" xfId="1" applyFont="1" applyFill="1" applyBorder="1" applyAlignment="1">
      <alignment vertical="center"/>
    </xf>
    <xf numFmtId="164" fontId="36" fillId="0" borderId="35" xfId="0" applyNumberFormat="1" applyFont="1" applyBorder="1" applyAlignment="1">
      <alignment vertical="center"/>
    </xf>
    <xf numFmtId="0" fontId="29" fillId="0" borderId="164" xfId="0" applyFont="1" applyBorder="1" applyAlignment="1">
      <alignment vertical="center"/>
    </xf>
    <xf numFmtId="0" fontId="95" fillId="0" borderId="0" xfId="1" applyFont="1" applyFill="1" applyBorder="1" applyAlignment="1">
      <alignment horizontal="center" vertical="center"/>
    </xf>
    <xf numFmtId="0" fontId="29" fillId="20" borderId="166" xfId="0" applyFont="1" applyFill="1" applyBorder="1" applyAlignment="1">
      <alignment vertical="center"/>
    </xf>
    <xf numFmtId="0" fontId="29" fillId="20" borderId="131" xfId="0" applyFont="1" applyFill="1" applyBorder="1" applyAlignment="1">
      <alignment vertical="center"/>
    </xf>
    <xf numFmtId="0" fontId="10" fillId="15" borderId="14" xfId="0" applyFont="1" applyFill="1" applyBorder="1"/>
    <xf numFmtId="0" fontId="10" fillId="16" borderId="0" xfId="0" applyFont="1" applyFill="1"/>
    <xf numFmtId="0" fontId="81" fillId="4" borderId="125" xfId="0" applyFont="1" applyFill="1" applyBorder="1" applyAlignment="1">
      <alignment horizontal="center"/>
    </xf>
    <xf numFmtId="0" fontId="26" fillId="0" borderId="171" xfId="0" applyFont="1" applyBorder="1" applyAlignment="1">
      <alignment horizontal="center"/>
    </xf>
    <xf numFmtId="0" fontId="26" fillId="0" borderId="170" xfId="0" applyFont="1" applyBorder="1" applyAlignment="1">
      <alignment horizontal="center"/>
    </xf>
    <xf numFmtId="0" fontId="10" fillId="22" borderId="34" xfId="0" applyFont="1" applyFill="1" applyBorder="1"/>
    <xf numFmtId="0" fontId="24" fillId="0" borderId="3" xfId="0" applyFont="1" applyBorder="1"/>
    <xf numFmtId="0" fontId="26" fillId="0" borderId="23" xfId="0" applyFont="1" applyBorder="1" applyAlignment="1">
      <alignment horizontal="left"/>
    </xf>
    <xf numFmtId="164" fontId="36" fillId="0" borderId="16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167" fontId="26" fillId="9" borderId="15" xfId="0" applyNumberFormat="1" applyFont="1" applyFill="1" applyBorder="1" applyAlignment="1">
      <alignment horizontal="center" vertical="center"/>
    </xf>
    <xf numFmtId="164" fontId="26" fillId="9" borderId="16" xfId="8" applyNumberFormat="1" applyFont="1" applyFill="1" applyBorder="1" applyAlignment="1">
      <alignment horizontal="center" vertical="center"/>
    </xf>
    <xf numFmtId="164" fontId="26" fillId="9" borderId="22" xfId="8" applyNumberFormat="1" applyFont="1" applyFill="1" applyBorder="1" applyAlignment="1">
      <alignment horizontal="center" vertical="center"/>
    </xf>
    <xf numFmtId="164" fontId="36" fillId="0" borderId="16" xfId="0" applyNumberFormat="1" applyFont="1" applyBorder="1" applyAlignment="1">
      <alignment horizontal="center"/>
    </xf>
    <xf numFmtId="164" fontId="73" fillId="0" borderId="22" xfId="0" applyNumberFormat="1" applyFont="1" applyBorder="1" applyAlignment="1">
      <alignment horizontal="center" vertical="center"/>
    </xf>
    <xf numFmtId="166" fontId="83" fillId="0" borderId="16" xfId="0" applyNumberFormat="1" applyFont="1" applyBorder="1" applyAlignment="1">
      <alignment horizontal="center" vertical="center"/>
    </xf>
    <xf numFmtId="0" fontId="36" fillId="7" borderId="14" xfId="0" applyFont="1" applyFill="1" applyBorder="1" applyAlignment="1">
      <alignment horizontal="center"/>
    </xf>
    <xf numFmtId="0" fontId="39" fillId="7" borderId="23" xfId="0" applyFont="1" applyFill="1" applyBorder="1" applyAlignment="1">
      <alignment horizontal="center" vertical="center"/>
    </xf>
    <xf numFmtId="0" fontId="39" fillId="7" borderId="13" xfId="0" applyFont="1" applyFill="1" applyBorder="1" applyAlignment="1">
      <alignment horizontal="center" vertical="center"/>
    </xf>
    <xf numFmtId="0" fontId="39" fillId="7" borderId="24" xfId="0" applyFont="1" applyFill="1" applyBorder="1" applyAlignment="1">
      <alignment horizontal="center" vertical="center"/>
    </xf>
    <xf numFmtId="0" fontId="73" fillId="7" borderId="0" xfId="0" applyFont="1" applyFill="1" applyAlignment="1">
      <alignment horizontal="center"/>
    </xf>
    <xf numFmtId="0" fontId="36" fillId="7" borderId="0" xfId="0" applyFont="1" applyFill="1" applyAlignment="1">
      <alignment horizontal="right" vertical="center"/>
    </xf>
    <xf numFmtId="164" fontId="36" fillId="0" borderId="51" xfId="0" applyNumberFormat="1" applyFont="1" applyBorder="1" applyAlignment="1">
      <alignment horizontal="center" vertical="center"/>
    </xf>
    <xf numFmtId="164" fontId="36" fillId="0" borderId="49" xfId="0" applyNumberFormat="1" applyFont="1" applyBorder="1" applyAlignment="1">
      <alignment horizontal="center" vertical="center"/>
    </xf>
    <xf numFmtId="0" fontId="58" fillId="0" borderId="15" xfId="0" applyFont="1" applyBorder="1"/>
    <xf numFmtId="164" fontId="73" fillId="0" borderId="152" xfId="0" applyNumberFormat="1" applyFont="1" applyBorder="1" applyAlignment="1">
      <alignment horizontal="center"/>
    </xf>
    <xf numFmtId="164" fontId="36" fillId="0" borderId="50" xfId="0" applyNumberFormat="1" applyFont="1" applyBorder="1" applyAlignment="1">
      <alignment horizontal="center" vertical="center"/>
    </xf>
    <xf numFmtId="164" fontId="73" fillId="0" borderId="144" xfId="0" applyNumberFormat="1" applyFont="1" applyBorder="1" applyAlignment="1">
      <alignment horizontal="center"/>
    </xf>
    <xf numFmtId="164" fontId="36" fillId="0" borderId="40" xfId="0" applyNumberFormat="1" applyFont="1" applyBorder="1" applyAlignment="1">
      <alignment horizontal="center"/>
    </xf>
    <xf numFmtId="10" fontId="26" fillId="20" borderId="14" xfId="0" applyNumberFormat="1" applyFont="1" applyFill="1" applyBorder="1" applyAlignment="1">
      <alignment horizontal="left"/>
    </xf>
    <xf numFmtId="170" fontId="36" fillId="7" borderId="0" xfId="0" applyNumberFormat="1" applyFont="1" applyFill="1" applyAlignment="1">
      <alignment vertical="center"/>
    </xf>
    <xf numFmtId="164" fontId="30" fillId="3" borderId="170" xfId="0" applyNumberFormat="1" applyFont="1" applyFill="1" applyBorder="1" applyAlignment="1">
      <alignment horizontal="center" vertical="center"/>
    </xf>
    <xf numFmtId="164" fontId="30" fillId="3" borderId="15" xfId="0" applyNumberFormat="1" applyFont="1" applyFill="1" applyBorder="1" applyAlignment="1">
      <alignment horizontal="center" vertical="center"/>
    </xf>
    <xf numFmtId="164" fontId="20" fillId="7" borderId="171" xfId="0" applyNumberFormat="1" applyFont="1" applyFill="1" applyBorder="1" applyAlignment="1">
      <alignment horizontal="center" vertical="center" wrapText="1"/>
    </xf>
    <xf numFmtId="164" fontId="20" fillId="7" borderId="171" xfId="0" applyNumberFormat="1" applyFont="1" applyFill="1" applyBorder="1" applyAlignment="1">
      <alignment horizontal="center" vertical="center"/>
    </xf>
    <xf numFmtId="0" fontId="36" fillId="0" borderId="52" xfId="0" applyFont="1" applyBorder="1" applyAlignment="1">
      <alignment horizontal="left"/>
    </xf>
    <xf numFmtId="0" fontId="36" fillId="0" borderId="172" xfId="0" applyFont="1" applyBorder="1" applyAlignment="1">
      <alignment horizontal="left"/>
    </xf>
    <xf numFmtId="169" fontId="73" fillId="0" borderId="172" xfId="0" applyNumberFormat="1" applyFont="1" applyBorder="1" applyAlignment="1">
      <alignment horizontal="left"/>
    </xf>
    <xf numFmtId="0" fontId="73" fillId="0" borderId="172" xfId="0" applyFont="1" applyBorder="1" applyAlignment="1">
      <alignment horizontal="left"/>
    </xf>
    <xf numFmtId="0" fontId="73" fillId="0" borderId="173" xfId="0" applyFont="1" applyBorder="1" applyAlignment="1">
      <alignment horizontal="center"/>
    </xf>
    <xf numFmtId="168" fontId="73" fillId="0" borderId="174" xfId="0" applyNumberFormat="1" applyFont="1" applyBorder="1" applyAlignment="1">
      <alignment horizontal="center"/>
    </xf>
    <xf numFmtId="168" fontId="73" fillId="0" borderId="175" xfId="0" applyNumberFormat="1" applyFont="1" applyBorder="1" applyAlignment="1">
      <alignment horizontal="center"/>
    </xf>
    <xf numFmtId="168" fontId="73" fillId="0" borderId="176" xfId="0" applyNumberFormat="1" applyFont="1" applyBorder="1" applyAlignment="1">
      <alignment horizontal="center"/>
    </xf>
    <xf numFmtId="168" fontId="73" fillId="0" borderId="177" xfId="0" applyNumberFormat="1" applyFont="1" applyBorder="1" applyAlignment="1">
      <alignment horizontal="center"/>
    </xf>
    <xf numFmtId="168" fontId="58" fillId="0" borderId="172" xfId="0" quotePrefix="1" applyNumberFormat="1" applyFont="1" applyBorder="1" applyAlignment="1">
      <alignment horizontal="center"/>
    </xf>
    <xf numFmtId="0" fontId="36" fillId="0" borderId="0" xfId="0" applyFont="1" applyAlignment="1">
      <alignment horizontal="left" indent="2"/>
    </xf>
    <xf numFmtId="0" fontId="54" fillId="0" borderId="0" xfId="0" applyFont="1"/>
    <xf numFmtId="6" fontId="36" fillId="0" borderId="0" xfId="0" applyNumberFormat="1" applyFont="1"/>
    <xf numFmtId="164" fontId="73" fillId="0" borderId="178" xfId="0" applyNumberFormat="1" applyFont="1" applyBorder="1" applyAlignment="1">
      <alignment horizontal="center"/>
    </xf>
    <xf numFmtId="0" fontId="86" fillId="0" borderId="24" xfId="0" applyFont="1" applyBorder="1" applyAlignment="1">
      <alignment vertical="center"/>
    </xf>
    <xf numFmtId="18" fontId="26" fillId="0" borderId="0" xfId="0" applyNumberFormat="1" applyFont="1" applyAlignment="1">
      <alignment horizontal="left"/>
    </xf>
    <xf numFmtId="0" fontId="26" fillId="5" borderId="0" xfId="0" applyFont="1" applyFill="1" applyAlignment="1">
      <alignment horizontal="center"/>
    </xf>
    <xf numFmtId="0" fontId="102" fillId="16" borderId="0" xfId="1" applyFont="1" applyFill="1" applyBorder="1" applyAlignment="1">
      <alignment wrapText="1"/>
    </xf>
    <xf numFmtId="0" fontId="102" fillId="16" borderId="14" xfId="1" applyFont="1" applyFill="1" applyBorder="1" applyAlignment="1">
      <alignment wrapText="1"/>
    </xf>
    <xf numFmtId="0" fontId="58" fillId="0" borderId="29" xfId="0" applyFont="1" applyBorder="1" applyAlignment="1">
      <alignment vertical="center"/>
    </xf>
    <xf numFmtId="0" fontId="58" fillId="0" borderId="25" xfId="0" applyFont="1" applyBorder="1" applyAlignment="1">
      <alignment vertical="center"/>
    </xf>
    <xf numFmtId="0" fontId="18" fillId="0" borderId="25" xfId="0" applyFont="1" applyBorder="1" applyAlignment="1">
      <alignment horizontal="center" vertical="center"/>
    </xf>
    <xf numFmtId="0" fontId="36" fillId="0" borderId="183" xfId="0" applyFont="1" applyBorder="1" applyAlignment="1">
      <alignment horizontal="center"/>
    </xf>
    <xf numFmtId="164" fontId="73" fillId="0" borderId="188" xfId="0" applyNumberFormat="1" applyFont="1" applyBorder="1" applyAlignment="1">
      <alignment horizontal="center"/>
    </xf>
    <xf numFmtId="0" fontId="26" fillId="0" borderId="182" xfId="0" applyFont="1" applyBorder="1" applyAlignment="1">
      <alignment vertical="center"/>
    </xf>
    <xf numFmtId="0" fontId="74" fillId="0" borderId="182" xfId="1" applyFont="1" applyBorder="1" applyAlignment="1">
      <alignment vertical="center"/>
    </xf>
    <xf numFmtId="0" fontId="89" fillId="0" borderId="182" xfId="1" applyFont="1" applyBorder="1" applyAlignment="1">
      <alignment vertical="center"/>
    </xf>
    <xf numFmtId="0" fontId="58" fillId="0" borderId="182" xfId="0" applyFont="1" applyBorder="1" applyAlignment="1">
      <alignment vertical="center"/>
    </xf>
    <xf numFmtId="164" fontId="36" fillId="0" borderId="188" xfId="0" applyNumberFormat="1" applyFont="1" applyBorder="1" applyAlignment="1">
      <alignment horizontal="center" vertical="center"/>
    </xf>
    <xf numFmtId="167" fontId="73" fillId="0" borderId="191" xfId="0" applyNumberFormat="1" applyFont="1" applyBorder="1" applyAlignment="1">
      <alignment horizontal="center" vertical="center"/>
    </xf>
    <xf numFmtId="0" fontId="26" fillId="0" borderId="41" xfId="0" applyFont="1" applyBorder="1" applyAlignment="1">
      <alignment horizontal="center"/>
    </xf>
    <xf numFmtId="0" fontId="26" fillId="0" borderId="25" xfId="0" applyFont="1" applyBorder="1" applyAlignment="1">
      <alignment horizontal="center"/>
    </xf>
    <xf numFmtId="0" fontId="75" fillId="16" borderId="14" xfId="0" applyFont="1" applyFill="1" applyBorder="1" applyAlignment="1">
      <alignment horizontal="center" vertical="center"/>
    </xf>
    <xf numFmtId="0" fontId="26" fillId="0" borderId="31" xfId="0" applyFont="1" applyBorder="1" applyAlignment="1">
      <alignment horizontal="center"/>
    </xf>
    <xf numFmtId="0" fontId="36" fillId="0" borderId="137" xfId="0" applyFont="1" applyBorder="1" applyAlignment="1">
      <alignment horizontal="left"/>
    </xf>
    <xf numFmtId="164" fontId="36" fillId="0" borderId="128" xfId="0" applyNumberFormat="1" applyFont="1" applyBorder="1" applyAlignment="1">
      <alignment horizontal="center"/>
    </xf>
    <xf numFmtId="164" fontId="36" fillId="0" borderId="152" xfId="0" applyNumberFormat="1" applyFont="1" applyBorder="1" applyAlignment="1">
      <alignment horizontal="center"/>
    </xf>
    <xf numFmtId="0" fontId="35" fillId="3" borderId="41" xfId="0" applyFont="1" applyFill="1" applyBorder="1"/>
    <xf numFmtId="0" fontId="35" fillId="3" borderId="25" xfId="0" applyFont="1" applyFill="1" applyBorder="1"/>
    <xf numFmtId="0" fontId="35" fillId="3" borderId="163" xfId="0" applyFont="1" applyFill="1" applyBorder="1"/>
    <xf numFmtId="0" fontId="35" fillId="3" borderId="153" xfId="0" applyFont="1" applyFill="1" applyBorder="1" applyAlignment="1">
      <alignment horizontal="center"/>
    </xf>
    <xf numFmtId="0" fontId="35" fillId="3" borderId="154" xfId="0" applyFont="1" applyFill="1" applyBorder="1" applyAlignment="1">
      <alignment horizontal="center"/>
    </xf>
    <xf numFmtId="0" fontId="26" fillId="0" borderId="41" xfId="0" applyFont="1" applyBorder="1" applyAlignment="1">
      <alignment vertical="center"/>
    </xf>
    <xf numFmtId="0" fontId="74" fillId="0" borderId="25" xfId="1" applyFont="1" applyBorder="1" applyAlignment="1">
      <alignment vertical="center"/>
    </xf>
    <xf numFmtId="0" fontId="89" fillId="0" borderId="25" xfId="1" applyFont="1" applyBorder="1" applyAlignment="1">
      <alignment vertical="center"/>
    </xf>
    <xf numFmtId="0" fontId="26" fillId="0" borderId="46" xfId="0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91" fillId="0" borderId="13" xfId="0" applyFont="1" applyBorder="1" applyAlignment="1">
      <alignment horizontal="center" vertical="center"/>
    </xf>
    <xf numFmtId="0" fontId="93" fillId="0" borderId="13" xfId="0" applyFont="1" applyBorder="1"/>
    <xf numFmtId="0" fontId="95" fillId="0" borderId="13" xfId="1" applyFont="1" applyFill="1" applyBorder="1" applyAlignment="1">
      <alignment horizontal="center" vertical="center"/>
    </xf>
    <xf numFmtId="0" fontId="26" fillId="0" borderId="23" xfId="0" applyFont="1" applyBorder="1" applyAlignment="1">
      <alignment vertical="center"/>
    </xf>
    <xf numFmtId="0" fontId="81" fillId="0" borderId="0" xfId="0" applyFont="1" applyAlignment="1">
      <alignment horizontal="center"/>
    </xf>
    <xf numFmtId="0" fontId="104" fillId="0" borderId="0" xfId="1" applyFont="1" applyFill="1" applyBorder="1" applyAlignment="1">
      <alignment horizontal="center" vertical="center"/>
    </xf>
    <xf numFmtId="0" fontId="26" fillId="0" borderId="171" xfId="0" applyFont="1" applyBorder="1" applyAlignment="1">
      <alignment horizontal="center" vertical="center"/>
    </xf>
    <xf numFmtId="0" fontId="26" fillId="0" borderId="170" xfId="0" applyFont="1" applyBorder="1" applyAlignment="1">
      <alignment horizontal="center" vertical="center"/>
    </xf>
    <xf numFmtId="0" fontId="81" fillId="4" borderId="125" xfId="0" applyFont="1" applyFill="1" applyBorder="1" applyAlignment="1">
      <alignment horizontal="center" vertical="center"/>
    </xf>
    <xf numFmtId="164" fontId="73" fillId="0" borderId="163" xfId="0" applyNumberFormat="1" applyFont="1" applyBorder="1" applyAlignment="1">
      <alignment horizontal="center"/>
    </xf>
    <xf numFmtId="164" fontId="73" fillId="0" borderId="190" xfId="0" applyNumberFormat="1" applyFont="1" applyBorder="1" applyAlignment="1">
      <alignment horizontal="center"/>
    </xf>
    <xf numFmtId="164" fontId="73" fillId="0" borderId="33" xfId="0" applyNumberFormat="1" applyFont="1" applyBorder="1" applyAlignment="1">
      <alignment horizontal="center"/>
    </xf>
    <xf numFmtId="0" fontId="10" fillId="0" borderId="182" xfId="0" applyFont="1" applyBorder="1"/>
    <xf numFmtId="0" fontId="36" fillId="0" borderId="162" xfId="0" applyFont="1" applyBorder="1" applyAlignment="1">
      <alignment horizontal="center"/>
    </xf>
    <xf numFmtId="164" fontId="73" fillId="0" borderId="128" xfId="0" applyNumberFormat="1" applyFont="1" applyBorder="1" applyAlignment="1">
      <alignment horizontal="center"/>
    </xf>
    <xf numFmtId="164" fontId="73" fillId="0" borderId="13" xfId="0" applyNumberFormat="1" applyFont="1" applyBorder="1" applyAlignment="1">
      <alignment horizontal="center"/>
    </xf>
    <xf numFmtId="166" fontId="38" fillId="0" borderId="0" xfId="0" applyNumberFormat="1" applyFont="1"/>
    <xf numFmtId="0" fontId="39" fillId="4" borderId="13" xfId="0" applyFont="1" applyFill="1" applyBorder="1" applyAlignment="1">
      <alignment vertical="center"/>
    </xf>
    <xf numFmtId="0" fontId="39" fillId="4" borderId="24" xfId="0" applyFont="1" applyFill="1" applyBorder="1" applyAlignment="1">
      <alignment vertical="center"/>
    </xf>
    <xf numFmtId="164" fontId="47" fillId="0" borderId="14" xfId="0" applyNumberFormat="1" applyFont="1" applyBorder="1" applyAlignment="1">
      <alignment horizontal="center"/>
    </xf>
    <xf numFmtId="164" fontId="73" fillId="0" borderId="186" xfId="0" applyNumberFormat="1" applyFont="1" applyBorder="1" applyAlignment="1">
      <alignment horizontal="center"/>
    </xf>
    <xf numFmtId="164" fontId="36" fillId="0" borderId="186" xfId="0" applyNumberFormat="1" applyFont="1" applyBorder="1" applyAlignment="1">
      <alignment horizontal="center"/>
    </xf>
    <xf numFmtId="164" fontId="36" fillId="0" borderId="49" xfId="0" applyNumberFormat="1" applyFont="1" applyBorder="1" applyAlignment="1">
      <alignment horizontal="center"/>
    </xf>
    <xf numFmtId="166" fontId="38" fillId="0" borderId="14" xfId="0" applyNumberFormat="1" applyFont="1" applyBorder="1"/>
    <xf numFmtId="0" fontId="26" fillId="13" borderId="31" xfId="0" applyFont="1" applyFill="1" applyBorder="1" applyAlignment="1">
      <alignment horizontal="center"/>
    </xf>
    <xf numFmtId="0" fontId="26" fillId="13" borderId="14" xfId="0" applyFont="1" applyFill="1" applyBorder="1" applyAlignment="1">
      <alignment horizontal="center"/>
    </xf>
    <xf numFmtId="0" fontId="26" fillId="0" borderId="31" xfId="0" applyFont="1" applyBorder="1" applyAlignment="1">
      <alignment vertical="center"/>
    </xf>
    <xf numFmtId="0" fontId="73" fillId="0" borderId="31" xfId="0" applyFont="1" applyBorder="1" applyAlignment="1">
      <alignment horizontal="left"/>
    </xf>
    <xf numFmtId="0" fontId="36" fillId="0" borderId="23" xfId="0" applyFont="1" applyBorder="1" applyAlignment="1">
      <alignment horizontal="left"/>
    </xf>
    <xf numFmtId="167" fontId="73" fillId="0" borderId="13" xfId="0" applyNumberFormat="1" applyFont="1" applyBorder="1" applyAlignment="1">
      <alignment horizontal="center" vertical="center"/>
    </xf>
    <xf numFmtId="166" fontId="58" fillId="0" borderId="18" xfId="0" applyNumberFormat="1" applyFont="1" applyBorder="1" applyAlignment="1">
      <alignment horizontal="center" vertical="center"/>
    </xf>
    <xf numFmtId="164" fontId="58" fillId="0" borderId="29" xfId="0" applyNumberFormat="1" applyFont="1" applyBorder="1" applyAlignment="1">
      <alignment horizontal="center"/>
    </xf>
    <xf numFmtId="0" fontId="36" fillId="0" borderId="144" xfId="0" applyFont="1" applyBorder="1"/>
    <xf numFmtId="166" fontId="36" fillId="0" borderId="50" xfId="0" applyNumberFormat="1" applyFont="1" applyBorder="1" applyAlignment="1">
      <alignment horizontal="center"/>
    </xf>
    <xf numFmtId="166" fontId="36" fillId="0" borderId="128" xfId="0" applyNumberFormat="1" applyFont="1" applyBorder="1" applyAlignment="1">
      <alignment horizontal="center"/>
    </xf>
    <xf numFmtId="0" fontId="26" fillId="0" borderId="14" xfId="0" applyFont="1" applyBorder="1" applyAlignment="1">
      <alignment horizontal="center" vertical="center"/>
    </xf>
    <xf numFmtId="0" fontId="36" fillId="0" borderId="0" xfId="0" applyFont="1" applyAlignment="1">
      <alignment horizontal="left"/>
    </xf>
    <xf numFmtId="0" fontId="36" fillId="0" borderId="1" xfId="0" applyFont="1" applyBorder="1" applyAlignment="1">
      <alignment horizontal="center"/>
    </xf>
    <xf numFmtId="164" fontId="58" fillId="0" borderId="14" xfId="0" applyNumberFormat="1" applyFont="1" applyBorder="1" applyAlignment="1">
      <alignment horizontal="center" vertical="center"/>
    </xf>
    <xf numFmtId="0" fontId="37" fillId="0" borderId="2" xfId="0" applyFont="1" applyBorder="1" applyAlignment="1">
      <alignment vertical="center"/>
    </xf>
    <xf numFmtId="165" fontId="37" fillId="0" borderId="3" xfId="0" applyNumberFormat="1" applyFont="1" applyBorder="1" applyAlignment="1">
      <alignment horizontal="center" vertical="center"/>
    </xf>
    <xf numFmtId="0" fontId="37" fillId="0" borderId="2" xfId="0" applyFont="1" applyBorder="1"/>
    <xf numFmtId="0" fontId="37" fillId="0" borderId="4" xfId="0" applyFont="1" applyBorder="1" applyAlignment="1">
      <alignment vertical="center"/>
    </xf>
    <xf numFmtId="0" fontId="37" fillId="0" borderId="1" xfId="0" applyFont="1" applyBorder="1" applyAlignment="1">
      <alignment vertical="center"/>
    </xf>
    <xf numFmtId="165" fontId="37" fillId="0" borderId="5" xfId="0" applyNumberFormat="1" applyFont="1" applyBorder="1" applyAlignment="1">
      <alignment horizontal="center" vertical="center"/>
    </xf>
    <xf numFmtId="0" fontId="10" fillId="0" borderId="180" xfId="0" applyFont="1" applyBorder="1"/>
    <xf numFmtId="0" fontId="14" fillId="0" borderId="0" xfId="0" applyFont="1" applyAlignment="1">
      <alignment horizontal="right"/>
    </xf>
    <xf numFmtId="14" fontId="14" fillId="0" borderId="0" xfId="0" applyNumberFormat="1" applyFont="1" applyAlignment="1">
      <alignment horizontal="center"/>
    </xf>
    <xf numFmtId="18" fontId="14" fillId="0" borderId="0" xfId="0" applyNumberFormat="1" applyFont="1" applyAlignment="1">
      <alignment horizontal="left"/>
    </xf>
    <xf numFmtId="0" fontId="12" fillId="0" borderId="0" xfId="1" applyFont="1"/>
    <xf numFmtId="0" fontId="13" fillId="0" borderId="15" xfId="0" applyFont="1" applyBorder="1"/>
    <xf numFmtId="0" fontId="13" fillId="0" borderId="16" xfId="0" applyFont="1" applyBorder="1"/>
    <xf numFmtId="0" fontId="106" fillId="0" borderId="16" xfId="1" applyFont="1" applyBorder="1" applyAlignment="1"/>
    <xf numFmtId="0" fontId="107" fillId="0" borderId="16" xfId="1" applyFont="1" applyBorder="1" applyAlignment="1"/>
    <xf numFmtId="0" fontId="12" fillId="0" borderId="16" xfId="1" applyFont="1" applyBorder="1" applyAlignment="1"/>
    <xf numFmtId="0" fontId="18" fillId="0" borderId="16" xfId="0" applyFont="1" applyBorder="1"/>
    <xf numFmtId="0" fontId="17" fillId="0" borderId="16" xfId="0" applyFont="1" applyBorder="1"/>
    <xf numFmtId="0" fontId="11" fillId="0" borderId="16" xfId="0" applyFont="1" applyBorder="1"/>
    <xf numFmtId="0" fontId="108" fillId="0" borderId="23" xfId="0" applyFont="1" applyBorder="1"/>
    <xf numFmtId="0" fontId="108" fillId="0" borderId="13" xfId="0" applyFont="1" applyBorder="1"/>
    <xf numFmtId="0" fontId="108" fillId="0" borderId="24" xfId="0" applyFont="1" applyBorder="1"/>
    <xf numFmtId="0" fontId="10" fillId="2" borderId="0" xfId="0" applyFont="1" applyFill="1" applyAlignment="1">
      <alignment horizontal="center"/>
    </xf>
    <xf numFmtId="0" fontId="109" fillId="0" borderId="32" xfId="0" applyFont="1" applyBorder="1" applyAlignment="1">
      <alignment horizontal="center" vertical="center"/>
    </xf>
    <xf numFmtId="0" fontId="109" fillId="0" borderId="1" xfId="0" applyFont="1" applyBorder="1" applyAlignment="1">
      <alignment horizontal="center" vertical="center"/>
    </xf>
    <xf numFmtId="0" fontId="109" fillId="0" borderId="33" xfId="0" applyFont="1" applyBorder="1" applyAlignment="1">
      <alignment horizontal="center" vertical="center"/>
    </xf>
    <xf numFmtId="0" fontId="10" fillId="4" borderId="31" xfId="0" applyFont="1" applyFill="1" applyBorder="1"/>
    <xf numFmtId="0" fontId="10" fillId="4" borderId="0" xfId="0" applyFont="1" applyFill="1"/>
    <xf numFmtId="0" fontId="10" fillId="4" borderId="14" xfId="0" applyFont="1" applyFill="1" applyBorder="1"/>
    <xf numFmtId="0" fontId="19" fillId="3" borderId="44" xfId="0" applyFont="1" applyFill="1" applyBorder="1" applyAlignment="1">
      <alignment horizontal="center"/>
    </xf>
    <xf numFmtId="0" fontId="19" fillId="3" borderId="29" xfId="0" applyFont="1" applyFill="1" applyBorder="1" applyAlignment="1">
      <alignment horizontal="center"/>
    </xf>
    <xf numFmtId="0" fontId="19" fillId="3" borderId="30" xfId="0" applyFont="1" applyFill="1" applyBorder="1" applyAlignment="1">
      <alignment horizontal="center"/>
    </xf>
    <xf numFmtId="0" fontId="19" fillId="3" borderId="28" xfId="0" applyFont="1" applyFill="1" applyBorder="1" applyAlignment="1">
      <alignment horizontal="center"/>
    </xf>
    <xf numFmtId="0" fontId="19" fillId="3" borderId="45" xfId="0" applyFont="1" applyFill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129" xfId="0" applyFont="1" applyBorder="1"/>
    <xf numFmtId="0" fontId="36" fillId="0" borderId="159" xfId="0" applyFont="1" applyBorder="1" applyAlignment="1">
      <alignment horizontal="center"/>
    </xf>
    <xf numFmtId="0" fontId="36" fillId="0" borderId="158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36" fillId="0" borderId="129" xfId="0" applyFont="1" applyBorder="1" applyAlignment="1">
      <alignment horizontal="center"/>
    </xf>
    <xf numFmtId="166" fontId="36" fillId="0" borderId="2" xfId="0" applyNumberFormat="1" applyFont="1" applyBorder="1" applyAlignment="1">
      <alignment horizontal="center" vertical="center"/>
    </xf>
    <xf numFmtId="166" fontId="36" fillId="0" borderId="129" xfId="0" applyNumberFormat="1" applyFont="1" applyBorder="1" applyAlignment="1">
      <alignment horizontal="center" vertical="center"/>
    </xf>
    <xf numFmtId="164" fontId="36" fillId="0" borderId="0" xfId="0" applyNumberFormat="1" applyFont="1"/>
    <xf numFmtId="164" fontId="26" fillId="0" borderId="23" xfId="0" applyNumberFormat="1" applyFont="1" applyBorder="1" applyAlignment="1">
      <alignment horizontal="left"/>
    </xf>
    <xf numFmtId="164" fontId="36" fillId="0" borderId="13" xfId="0" applyNumberFormat="1" applyFont="1" applyBorder="1" applyAlignment="1">
      <alignment horizontal="center"/>
    </xf>
    <xf numFmtId="166" fontId="36" fillId="0" borderId="13" xfId="0" applyNumberFormat="1" applyFont="1" applyBorder="1" applyAlignment="1">
      <alignment horizontal="center" vertical="center"/>
    </xf>
    <xf numFmtId="164" fontId="36" fillId="0" borderId="24" xfId="0" applyNumberFormat="1" applyFont="1" applyBorder="1" applyAlignment="1">
      <alignment horizontal="center"/>
    </xf>
    <xf numFmtId="164" fontId="26" fillId="0" borderId="31" xfId="0" applyNumberFormat="1" applyFont="1" applyBorder="1" applyAlignment="1">
      <alignment horizontal="left"/>
    </xf>
    <xf numFmtId="166" fontId="36" fillId="0" borderId="16" xfId="0" applyNumberFormat="1" applyFont="1" applyBorder="1" applyAlignment="1">
      <alignment horizontal="left" vertical="center"/>
    </xf>
    <xf numFmtId="0" fontId="35" fillId="0" borderId="0" xfId="0" applyFont="1"/>
    <xf numFmtId="166" fontId="36" fillId="0" borderId="56" xfId="0" applyNumberFormat="1" applyFont="1" applyBorder="1" applyAlignment="1">
      <alignment horizontal="center"/>
    </xf>
    <xf numFmtId="0" fontId="26" fillId="0" borderId="14" xfId="0" applyFont="1" applyBorder="1" applyAlignment="1">
      <alignment vertical="center"/>
    </xf>
    <xf numFmtId="0" fontId="58" fillId="9" borderId="42" xfId="0" applyFont="1" applyFill="1" applyBorder="1"/>
    <xf numFmtId="0" fontId="37" fillId="9" borderId="18" xfId="0" applyFont="1" applyFill="1" applyBorder="1"/>
    <xf numFmtId="164" fontId="36" fillId="9" borderId="43" xfId="0" applyNumberFormat="1" applyFont="1" applyFill="1" applyBorder="1" applyAlignment="1">
      <alignment horizontal="center"/>
    </xf>
    <xf numFmtId="0" fontId="14" fillId="9" borderId="31" xfId="0" applyFont="1" applyFill="1" applyBorder="1"/>
    <xf numFmtId="170" fontId="26" fillId="9" borderId="0" xfId="0" applyNumberFormat="1" applyFont="1" applyFill="1" applyAlignment="1">
      <alignment vertical="center"/>
    </xf>
    <xf numFmtId="164" fontId="36" fillId="9" borderId="14" xfId="0" applyNumberFormat="1" applyFont="1" applyFill="1" applyBorder="1" applyAlignment="1">
      <alignment horizontal="center" vertical="center"/>
    </xf>
    <xf numFmtId="170" fontId="26" fillId="0" borderId="14" xfId="0" applyNumberFormat="1" applyFont="1" applyBorder="1" applyAlignment="1">
      <alignment vertical="center"/>
    </xf>
    <xf numFmtId="0" fontId="37" fillId="0" borderId="31" xfId="0" applyFont="1" applyBorder="1"/>
    <xf numFmtId="0" fontId="14" fillId="0" borderId="15" xfId="0" applyFont="1" applyBorder="1"/>
    <xf numFmtId="166" fontId="43" fillId="0" borderId="14" xfId="0" applyNumberFormat="1" applyFont="1" applyBorder="1" applyAlignment="1">
      <alignment vertical="center"/>
    </xf>
    <xf numFmtId="166" fontId="58" fillId="0" borderId="15" xfId="0" applyNumberFormat="1" applyFont="1" applyBorder="1" applyAlignment="1">
      <alignment vertical="center"/>
    </xf>
    <xf numFmtId="166" fontId="111" fillId="0" borderId="16" xfId="0" applyNumberFormat="1" applyFont="1" applyBorder="1" applyAlignment="1">
      <alignment vertical="center"/>
    </xf>
    <xf numFmtId="164" fontId="74" fillId="0" borderId="45" xfId="0" applyNumberFormat="1" applyFont="1" applyBorder="1" applyAlignment="1">
      <alignment horizontal="center" vertical="center"/>
    </xf>
    <xf numFmtId="166" fontId="58" fillId="0" borderId="14" xfId="0" applyNumberFormat="1" applyFont="1" applyBorder="1" applyAlignment="1">
      <alignment vertical="center"/>
    </xf>
    <xf numFmtId="166" fontId="25" fillId="0" borderId="31" xfId="0" applyNumberFormat="1" applyFont="1" applyBorder="1" applyAlignment="1">
      <alignment horizontal="center"/>
    </xf>
    <xf numFmtId="166" fontId="25" fillId="0" borderId="0" xfId="0" applyNumberFormat="1" applyFont="1" applyAlignment="1">
      <alignment horizontal="center"/>
    </xf>
    <xf numFmtId="0" fontId="26" fillId="0" borderId="46" xfId="0" applyFont="1" applyBorder="1" applyAlignment="1">
      <alignment horizontal="center"/>
    </xf>
    <xf numFmtId="0" fontId="36" fillId="0" borderId="180" xfId="0" applyFont="1" applyBorder="1"/>
    <xf numFmtId="0" fontId="58" fillId="0" borderId="186" xfId="0" applyFont="1" applyBorder="1" applyAlignment="1">
      <alignment horizontal="center"/>
    </xf>
    <xf numFmtId="164" fontId="73" fillId="0" borderId="187" xfId="0" applyNumberFormat="1" applyFont="1" applyBorder="1" applyAlignment="1">
      <alignment horizontal="center"/>
    </xf>
    <xf numFmtId="164" fontId="73" fillId="0" borderId="182" xfId="0" applyNumberFormat="1" applyFont="1" applyBorder="1" applyAlignment="1">
      <alignment horizontal="center"/>
    </xf>
    <xf numFmtId="0" fontId="58" fillId="0" borderId="31" xfId="0" applyFont="1" applyBorder="1"/>
    <xf numFmtId="164" fontId="36" fillId="0" borderId="2" xfId="0" applyNumberFormat="1" applyFont="1" applyBorder="1" applyAlignment="1">
      <alignment horizontal="center" vertical="center"/>
    </xf>
    <xf numFmtId="0" fontId="11" fillId="17" borderId="15" xfId="0" applyFont="1" applyFill="1" applyBorder="1" applyAlignment="1">
      <alignment horizontal="left"/>
    </xf>
    <xf numFmtId="0" fontId="26" fillId="17" borderId="16" xfId="0" applyFont="1" applyFill="1" applyBorder="1" applyAlignment="1">
      <alignment horizontal="left"/>
    </xf>
    <xf numFmtId="0" fontId="26" fillId="17" borderId="22" xfId="0" applyFont="1" applyFill="1" applyBorder="1" applyAlignment="1">
      <alignment horizontal="left"/>
    </xf>
    <xf numFmtId="0" fontId="11" fillId="20" borderId="16" xfId="0" applyFont="1" applyFill="1" applyBorder="1" applyAlignment="1">
      <alignment horizontal="left"/>
    </xf>
    <xf numFmtId="0" fontId="96" fillId="20" borderId="16" xfId="0" applyFont="1" applyFill="1" applyBorder="1" applyAlignment="1">
      <alignment horizontal="left"/>
    </xf>
    <xf numFmtId="10" fontId="26" fillId="20" borderId="22" xfId="0" applyNumberFormat="1" applyFont="1" applyFill="1" applyBorder="1" applyAlignment="1">
      <alignment horizontal="left"/>
    </xf>
    <xf numFmtId="0" fontId="26" fillId="18" borderId="16" xfId="0" applyFont="1" applyFill="1" applyBorder="1" applyAlignment="1">
      <alignment horizontal="left"/>
    </xf>
    <xf numFmtId="10" fontId="26" fillId="18" borderId="16" xfId="0" applyNumberFormat="1" applyFont="1" applyFill="1" applyBorder="1" applyAlignment="1">
      <alignment horizontal="left"/>
    </xf>
    <xf numFmtId="10" fontId="26" fillId="18" borderId="22" xfId="0" applyNumberFormat="1" applyFont="1" applyFill="1" applyBorder="1" applyAlignment="1">
      <alignment horizontal="left"/>
    </xf>
    <xf numFmtId="0" fontId="26" fillId="0" borderId="16" xfId="0" applyFont="1" applyBorder="1" applyAlignment="1">
      <alignment horizontal="center"/>
    </xf>
    <xf numFmtId="0" fontId="26" fillId="17" borderId="0" xfId="0" applyFont="1" applyFill="1" applyAlignment="1">
      <alignment horizontal="center"/>
    </xf>
    <xf numFmtId="164" fontId="36" fillId="0" borderId="24" xfId="0" applyNumberFormat="1" applyFont="1" applyBorder="1" applyAlignment="1">
      <alignment horizontal="center" vertical="center"/>
    </xf>
    <xf numFmtId="164" fontId="73" fillId="0" borderId="172" xfId="0" applyNumberFormat="1" applyFont="1" applyBorder="1" applyAlignment="1">
      <alignment horizontal="center"/>
    </xf>
    <xf numFmtId="164" fontId="36" fillId="0" borderId="160" xfId="0" applyNumberFormat="1" applyFont="1" applyBorder="1" applyAlignment="1">
      <alignment horizontal="center"/>
    </xf>
    <xf numFmtId="164" fontId="36" fillId="0" borderId="161" xfId="0" applyNumberFormat="1" applyFont="1" applyBorder="1" applyAlignment="1">
      <alignment horizontal="center"/>
    </xf>
    <xf numFmtId="0" fontId="26" fillId="20" borderId="0" xfId="0" applyFont="1" applyFill="1" applyAlignment="1">
      <alignment vertical="center"/>
    </xf>
    <xf numFmtId="0" fontId="26" fillId="17" borderId="0" xfId="0" applyFont="1" applyFill="1" applyAlignment="1">
      <alignment horizontal="right"/>
    </xf>
    <xf numFmtId="0" fontId="26" fillId="18" borderId="0" xfId="0" applyFont="1" applyFill="1" applyAlignment="1">
      <alignment vertical="center"/>
    </xf>
    <xf numFmtId="0" fontId="96" fillId="20" borderId="0" xfId="0" applyFont="1" applyFill="1" applyAlignment="1">
      <alignment vertical="center"/>
    </xf>
    <xf numFmtId="0" fontId="26" fillId="18" borderId="0" xfId="0" applyFont="1" applyFill="1"/>
    <xf numFmtId="10" fontId="26" fillId="18" borderId="0" xfId="0" applyNumberFormat="1" applyFont="1" applyFill="1" applyAlignment="1">
      <alignment vertical="center"/>
    </xf>
    <xf numFmtId="0" fontId="11" fillId="20" borderId="0" xfId="0" applyFont="1" applyFill="1" applyAlignment="1">
      <alignment horizontal="left"/>
    </xf>
    <xf numFmtId="0" fontId="96" fillId="20" borderId="0" xfId="0" applyFont="1" applyFill="1" applyAlignment="1">
      <alignment horizontal="left"/>
    </xf>
    <xf numFmtId="166" fontId="36" fillId="7" borderId="0" xfId="0" applyNumberFormat="1" applyFont="1" applyFill="1" applyAlignment="1">
      <alignment horizontal="center" vertical="center"/>
    </xf>
    <xf numFmtId="0" fontId="36" fillId="7" borderId="0" xfId="0" applyFont="1" applyFill="1" applyAlignment="1">
      <alignment horizontal="center"/>
    </xf>
    <xf numFmtId="0" fontId="36" fillId="7" borderId="0" xfId="0" applyFont="1" applyFill="1" applyAlignment="1">
      <alignment horizontal="left"/>
    </xf>
    <xf numFmtId="0" fontId="26" fillId="5" borderId="144" xfId="0" applyFont="1" applyFill="1" applyBorder="1" applyAlignment="1">
      <alignment horizontal="center" vertical="center"/>
    </xf>
    <xf numFmtId="0" fontId="26" fillId="5" borderId="43" xfId="0" applyFont="1" applyFill="1" applyBorder="1" applyAlignment="1">
      <alignment horizontal="center" vertical="center"/>
    </xf>
    <xf numFmtId="0" fontId="58" fillId="5" borderId="163" xfId="0" applyFont="1" applyFill="1" applyBorder="1" applyAlignment="1">
      <alignment horizontal="center" vertical="center"/>
    </xf>
    <xf numFmtId="0" fontId="58" fillId="5" borderId="153" xfId="0" applyFont="1" applyFill="1" applyBorder="1" applyAlignment="1">
      <alignment horizontal="center" vertical="center"/>
    </xf>
    <xf numFmtId="0" fontId="58" fillId="5" borderId="192" xfId="0" applyFont="1" applyFill="1" applyBorder="1" applyAlignment="1">
      <alignment horizontal="center" vertical="center"/>
    </xf>
    <xf numFmtId="0" fontId="58" fillId="5" borderId="154" xfId="0" applyFont="1" applyFill="1" applyBorder="1" applyAlignment="1">
      <alignment horizontal="center" vertical="center"/>
    </xf>
    <xf numFmtId="0" fontId="26" fillId="5" borderId="193" xfId="0" applyFont="1" applyFill="1" applyBorder="1" applyAlignment="1">
      <alignment horizontal="center" vertical="center"/>
    </xf>
    <xf numFmtId="0" fontId="58" fillId="5" borderId="25" xfId="0" applyFont="1" applyFill="1" applyBorder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166" fontId="24" fillId="0" borderId="14" xfId="0" applyNumberFormat="1" applyFont="1" applyBorder="1" applyAlignment="1">
      <alignment vertical="center"/>
    </xf>
    <xf numFmtId="0" fontId="44" fillId="0" borderId="14" xfId="0" applyFont="1" applyBorder="1" applyAlignment="1">
      <alignment horizontal="left" vertical="center" indent="1"/>
    </xf>
    <xf numFmtId="164" fontId="73" fillId="0" borderId="0" xfId="0" applyNumberFormat="1" applyFont="1" applyAlignment="1">
      <alignment horizontal="left" vertical="center"/>
    </xf>
    <xf numFmtId="164" fontId="73" fillId="0" borderId="0" xfId="0" applyNumberFormat="1" applyFont="1" applyAlignment="1">
      <alignment vertical="center"/>
    </xf>
    <xf numFmtId="164" fontId="47" fillId="0" borderId="0" xfId="0" applyNumberFormat="1" applyFont="1" applyAlignment="1">
      <alignment horizontal="center"/>
    </xf>
    <xf numFmtId="0" fontId="14" fillId="0" borderId="16" xfId="0" applyFont="1" applyBorder="1" applyAlignment="1">
      <alignment horizontal="center" vertical="center"/>
    </xf>
    <xf numFmtId="0" fontId="10" fillId="0" borderId="23" xfId="0" applyFont="1" applyBorder="1"/>
    <xf numFmtId="166" fontId="83" fillId="0" borderId="0" xfId="0" applyNumberFormat="1" applyFont="1" applyAlignment="1">
      <alignment horizontal="center" vertical="center"/>
    </xf>
    <xf numFmtId="166" fontId="73" fillId="0" borderId="0" xfId="0" applyNumberFormat="1" applyFont="1" applyAlignment="1">
      <alignment horizontal="left" vertical="center"/>
    </xf>
    <xf numFmtId="0" fontId="26" fillId="18" borderId="16" xfId="0" applyFont="1" applyFill="1" applyBorder="1" applyAlignment="1">
      <alignment vertical="center"/>
    </xf>
    <xf numFmtId="0" fontId="58" fillId="0" borderId="0" xfId="0" applyFont="1" applyAlignment="1">
      <alignment horizontal="center"/>
    </xf>
    <xf numFmtId="166" fontId="36" fillId="0" borderId="16" xfId="0" applyNumberFormat="1" applyFont="1" applyBorder="1" applyAlignment="1">
      <alignment horizontal="center"/>
    </xf>
    <xf numFmtId="166" fontId="36" fillId="0" borderId="16" xfId="0" applyNumberFormat="1" applyFont="1" applyBorder="1" applyAlignment="1">
      <alignment horizontal="center" vertical="center"/>
    </xf>
    <xf numFmtId="166" fontId="33" fillId="4" borderId="41" xfId="0" applyNumberFormat="1" applyFont="1" applyFill="1" applyBorder="1" applyAlignment="1">
      <alignment vertical="center"/>
    </xf>
    <xf numFmtId="166" fontId="33" fillId="4" borderId="25" xfId="0" applyNumberFormat="1" applyFont="1" applyFill="1" applyBorder="1" applyAlignment="1">
      <alignment vertical="center"/>
    </xf>
    <xf numFmtId="0" fontId="94" fillId="19" borderId="41" xfId="1" applyFont="1" applyFill="1" applyBorder="1" applyAlignment="1">
      <alignment vertical="center"/>
    </xf>
    <xf numFmtId="0" fontId="94" fillId="19" borderId="25" xfId="1" applyFont="1" applyFill="1" applyBorder="1" applyAlignment="1">
      <alignment vertical="center"/>
    </xf>
    <xf numFmtId="0" fontId="94" fillId="19" borderId="46" xfId="1" applyFont="1" applyFill="1" applyBorder="1" applyAlignment="1">
      <alignment vertical="center"/>
    </xf>
    <xf numFmtId="166" fontId="33" fillId="4" borderId="132" xfId="0" applyNumberFormat="1" applyFont="1" applyFill="1" applyBorder="1" applyAlignment="1">
      <alignment vertical="center"/>
    </xf>
    <xf numFmtId="166" fontId="33" fillId="4" borderId="34" xfId="0" applyNumberFormat="1" applyFont="1" applyFill="1" applyBorder="1" applyAlignment="1">
      <alignment vertical="center"/>
    </xf>
    <xf numFmtId="0" fontId="26" fillId="0" borderId="193" xfId="0" applyFont="1" applyBorder="1" applyAlignment="1">
      <alignment horizontal="center" vertical="center"/>
    </xf>
    <xf numFmtId="0" fontId="26" fillId="0" borderId="153" xfId="0" applyFont="1" applyBorder="1" applyAlignment="1">
      <alignment horizontal="center" vertical="center"/>
    </xf>
    <xf numFmtId="0" fontId="26" fillId="0" borderId="154" xfId="0" applyFont="1" applyBorder="1" applyAlignment="1">
      <alignment horizontal="center" vertical="center"/>
    </xf>
    <xf numFmtId="0" fontId="19" fillId="4" borderId="23" xfId="0" applyFont="1" applyFill="1" applyBorder="1" applyAlignment="1">
      <alignment horizontal="left" vertical="center"/>
    </xf>
    <xf numFmtId="0" fontId="19" fillId="4" borderId="13" xfId="0" applyFont="1" applyFill="1" applyBorder="1" applyAlignment="1">
      <alignment horizontal="left" vertical="center"/>
    </xf>
    <xf numFmtId="0" fontId="26" fillId="0" borderId="0" xfId="0" quotePrefix="1" applyFont="1" applyAlignment="1" applyProtection="1">
      <alignment horizontal="left" vertical="center"/>
      <protection hidden="1"/>
    </xf>
    <xf numFmtId="0" fontId="26" fillId="0" borderId="0" xfId="0" quotePrefix="1" applyFont="1" applyAlignment="1" applyProtection="1">
      <alignment vertical="center"/>
      <protection hidden="1"/>
    </xf>
    <xf numFmtId="0" fontId="35" fillId="0" borderId="16" xfId="0" applyFont="1" applyBorder="1" applyAlignment="1">
      <alignment vertical="center"/>
    </xf>
    <xf numFmtId="0" fontId="10" fillId="3" borderId="189" xfId="0" applyFont="1" applyFill="1" applyBorder="1"/>
    <xf numFmtId="0" fontId="10" fillId="3" borderId="180" xfId="0" applyFont="1" applyFill="1" applyBorder="1"/>
    <xf numFmtId="0" fontId="10" fillId="3" borderId="184" xfId="0" applyFont="1" applyFill="1" applyBorder="1"/>
    <xf numFmtId="0" fontId="36" fillId="21" borderId="0" xfId="0" applyFont="1" applyFill="1"/>
    <xf numFmtId="0" fontId="10" fillId="21" borderId="0" xfId="0" applyFont="1" applyFill="1"/>
    <xf numFmtId="0" fontId="10" fillId="11" borderId="31" xfId="0" applyFont="1" applyFill="1" applyBorder="1"/>
    <xf numFmtId="0" fontId="10" fillId="11" borderId="13" xfId="0" applyFont="1" applyFill="1" applyBorder="1"/>
    <xf numFmtId="0" fontId="10" fillId="11" borderId="14" xfId="0" applyFont="1" applyFill="1" applyBorder="1"/>
    <xf numFmtId="0" fontId="13" fillId="0" borderId="0" xfId="0" applyFont="1" applyAlignment="1">
      <alignment horizontal="right" vertical="center" indent="1"/>
    </xf>
    <xf numFmtId="0" fontId="18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10" fillId="3" borderId="0" xfId="0" applyFont="1" applyFill="1"/>
    <xf numFmtId="0" fontId="36" fillId="13" borderId="15" xfId="0" applyFont="1" applyFill="1" applyBorder="1"/>
    <xf numFmtId="164" fontId="26" fillId="21" borderId="14" xfId="0" applyNumberFormat="1" applyFont="1" applyFill="1" applyBorder="1" applyAlignment="1">
      <alignment horizontal="center"/>
    </xf>
    <xf numFmtId="0" fontId="26" fillId="21" borderId="31" xfId="0" applyFont="1" applyFill="1" applyBorder="1" applyAlignment="1">
      <alignment horizontal="left"/>
    </xf>
    <xf numFmtId="0" fontId="26" fillId="21" borderId="16" xfId="0" applyFont="1" applyFill="1" applyBorder="1" applyAlignment="1">
      <alignment horizontal="left"/>
    </xf>
    <xf numFmtId="0" fontId="10" fillId="21" borderId="16" xfId="0" applyFont="1" applyFill="1" applyBorder="1"/>
    <xf numFmtId="0" fontId="38" fillId="21" borderId="16" xfId="0" applyFont="1" applyFill="1" applyBorder="1"/>
    <xf numFmtId="164" fontId="58" fillId="21" borderId="22" xfId="0" applyNumberFormat="1" applyFont="1" applyFill="1" applyBorder="1" applyAlignment="1">
      <alignment horizontal="center"/>
    </xf>
    <xf numFmtId="166" fontId="114" fillId="0" borderId="0" xfId="0" applyNumberFormat="1" applyFont="1" applyAlignment="1">
      <alignment horizontal="left" vertical="center"/>
    </xf>
    <xf numFmtId="0" fontId="20" fillId="0" borderId="0" xfId="0" applyFont="1" applyAlignment="1">
      <alignment vertical="center"/>
    </xf>
    <xf numFmtId="164" fontId="46" fillId="0" borderId="0" xfId="0" applyNumberFormat="1" applyFont="1" applyAlignment="1">
      <alignment vertical="center"/>
    </xf>
    <xf numFmtId="0" fontId="10" fillId="13" borderId="194" xfId="0" applyFont="1" applyFill="1" applyBorder="1"/>
    <xf numFmtId="0" fontId="95" fillId="13" borderId="194" xfId="1" applyFont="1" applyFill="1" applyBorder="1" applyAlignment="1">
      <alignment horizontal="center" vertical="center"/>
    </xf>
    <xf numFmtId="0" fontId="95" fillId="13" borderId="195" xfId="1" applyFont="1" applyFill="1" applyBorder="1" applyAlignment="1">
      <alignment horizontal="center" vertical="center"/>
    </xf>
    <xf numFmtId="0" fontId="10" fillId="24" borderId="167" xfId="0" applyFont="1" applyFill="1" applyBorder="1"/>
    <xf numFmtId="0" fontId="10" fillId="24" borderId="164" xfId="0" applyFont="1" applyFill="1" applyBorder="1"/>
    <xf numFmtId="164" fontId="36" fillId="0" borderId="164" xfId="0" applyNumberFormat="1" applyFont="1" applyBorder="1"/>
    <xf numFmtId="166" fontId="35" fillId="4" borderId="194" xfId="0" applyNumberFormat="1" applyFont="1" applyFill="1" applyBorder="1" applyAlignment="1">
      <alignment vertical="center"/>
    </xf>
    <xf numFmtId="166" fontId="62" fillId="4" borderId="36" xfId="0" applyNumberFormat="1" applyFont="1" applyFill="1" applyBorder="1" applyAlignment="1">
      <alignment vertical="center"/>
    </xf>
    <xf numFmtId="166" fontId="62" fillId="4" borderId="36" xfId="0" applyNumberFormat="1" applyFont="1" applyFill="1" applyBorder="1" applyAlignment="1">
      <alignment horizontal="center" vertical="center"/>
    </xf>
    <xf numFmtId="166" fontId="36" fillId="25" borderId="34" xfId="0" applyNumberFormat="1" applyFont="1" applyFill="1" applyBorder="1" applyAlignment="1">
      <alignment horizontal="left" vertical="center"/>
    </xf>
    <xf numFmtId="0" fontId="36" fillId="25" borderId="165" xfId="0" applyFont="1" applyFill="1" applyBorder="1" applyAlignment="1">
      <alignment horizontal="left"/>
    </xf>
    <xf numFmtId="0" fontId="55" fillId="0" borderId="31" xfId="0" applyFont="1" applyBorder="1" applyAlignment="1">
      <alignment horizontal="center"/>
    </xf>
    <xf numFmtId="0" fontId="55" fillId="0" borderId="14" xfId="0" applyFont="1" applyBorder="1"/>
    <xf numFmtId="0" fontId="26" fillId="2" borderId="23" xfId="0" applyFont="1" applyFill="1" applyBorder="1"/>
    <xf numFmtId="0" fontId="26" fillId="2" borderId="13" xfId="0" applyFont="1" applyFill="1" applyBorder="1"/>
    <xf numFmtId="0" fontId="26" fillId="2" borderId="24" xfId="0" applyFont="1" applyFill="1" applyBorder="1"/>
    <xf numFmtId="0" fontId="39" fillId="4" borderId="41" xfId="0" applyFont="1" applyFill="1" applyBorder="1" applyAlignment="1">
      <alignment vertical="center"/>
    </xf>
    <xf numFmtId="0" fontId="39" fillId="4" borderId="25" xfId="0" applyFont="1" applyFill="1" applyBorder="1" applyAlignment="1">
      <alignment vertical="center"/>
    </xf>
    <xf numFmtId="0" fontId="39" fillId="4" borderId="46" xfId="0" applyFont="1" applyFill="1" applyBorder="1" applyAlignment="1">
      <alignment vertical="center"/>
    </xf>
    <xf numFmtId="164" fontId="73" fillId="0" borderId="15" xfId="0" applyNumberFormat="1" applyFont="1" applyBorder="1" applyAlignment="1">
      <alignment horizontal="center"/>
    </xf>
    <xf numFmtId="166" fontId="36" fillId="0" borderId="24" xfId="0" applyNumberFormat="1" applyFont="1" applyBorder="1" applyAlignment="1">
      <alignment horizontal="center"/>
    </xf>
    <xf numFmtId="0" fontId="76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0" fillId="15" borderId="0" xfId="0" applyFont="1" applyFill="1"/>
    <xf numFmtId="0" fontId="66" fillId="0" borderId="0" xfId="0" applyFont="1" applyAlignment="1">
      <alignment horizontal="center" vertical="center" wrapText="1"/>
    </xf>
    <xf numFmtId="0" fontId="91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10" fillId="24" borderId="0" xfId="0" applyFont="1" applyFill="1"/>
    <xf numFmtId="164" fontId="36" fillId="0" borderId="0" xfId="0" applyNumberFormat="1" applyFont="1" applyAlignment="1">
      <alignment vertical="center"/>
    </xf>
    <xf numFmtId="0" fontId="75" fillId="16" borderId="0" xfId="0" applyFont="1" applyFill="1" applyAlignment="1">
      <alignment horizontal="center" vertical="center"/>
    </xf>
    <xf numFmtId="0" fontId="29" fillId="16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36" fillId="25" borderId="0" xfId="0" applyFont="1" applyFill="1" applyAlignment="1">
      <alignment horizontal="left"/>
    </xf>
    <xf numFmtId="0" fontId="26" fillId="13" borderId="0" xfId="0" applyFont="1" applyFill="1"/>
    <xf numFmtId="0" fontId="39" fillId="0" borderId="0" xfId="0" applyFont="1" applyAlignment="1">
      <alignment horizontal="center" vertical="center"/>
    </xf>
    <xf numFmtId="0" fontId="26" fillId="13" borderId="0" xfId="0" applyFont="1" applyFill="1" applyAlignment="1">
      <alignment vertical="center"/>
    </xf>
    <xf numFmtId="167" fontId="73" fillId="0" borderId="0" xfId="0" applyNumberFormat="1" applyFont="1" applyAlignment="1">
      <alignment horizontal="center" vertical="center"/>
    </xf>
    <xf numFmtId="0" fontId="26" fillId="13" borderId="0" xfId="0" applyFont="1" applyFill="1" applyAlignment="1">
      <alignment horizontal="center"/>
    </xf>
    <xf numFmtId="0" fontId="10" fillId="22" borderId="0" xfId="0" applyFont="1" applyFill="1"/>
    <xf numFmtId="167" fontId="47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left"/>
    </xf>
    <xf numFmtId="167" fontId="73" fillId="21" borderId="0" xfId="0" applyNumberFormat="1" applyFont="1" applyFill="1" applyAlignment="1">
      <alignment horizontal="center" vertical="center"/>
    </xf>
    <xf numFmtId="0" fontId="91" fillId="0" borderId="23" xfId="0" applyFont="1" applyBorder="1" applyAlignment="1">
      <alignment horizontal="center" vertical="center"/>
    </xf>
    <xf numFmtId="0" fontId="91" fillId="0" borderId="24" xfId="0" applyFont="1" applyBorder="1" applyAlignment="1">
      <alignment horizontal="center" vertical="center"/>
    </xf>
    <xf numFmtId="168" fontId="73" fillId="0" borderId="196" xfId="0" applyNumberFormat="1" applyFont="1" applyBorder="1" applyAlignment="1">
      <alignment horizontal="center"/>
    </xf>
    <xf numFmtId="168" fontId="73" fillId="0" borderId="197" xfId="0" applyNumberFormat="1" applyFont="1" applyBorder="1" applyAlignment="1">
      <alignment horizontal="center"/>
    </xf>
    <xf numFmtId="0" fontId="73" fillId="0" borderId="198" xfId="0" applyFont="1" applyBorder="1" applyAlignment="1">
      <alignment horizontal="center"/>
    </xf>
    <xf numFmtId="0" fontId="73" fillId="0" borderId="199" xfId="0" applyFont="1" applyBorder="1" applyAlignment="1">
      <alignment horizontal="center"/>
    </xf>
    <xf numFmtId="168" fontId="73" fillId="0" borderId="200" xfId="0" applyNumberFormat="1" applyFont="1" applyBorder="1" applyAlignment="1">
      <alignment horizontal="center"/>
    </xf>
    <xf numFmtId="168" fontId="73" fillId="0" borderId="201" xfId="0" applyNumberFormat="1" applyFont="1" applyBorder="1" applyAlignment="1">
      <alignment horizontal="center"/>
    </xf>
    <xf numFmtId="168" fontId="73" fillId="0" borderId="202" xfId="0" applyNumberFormat="1" applyFont="1" applyBorder="1" applyAlignment="1">
      <alignment horizontal="center"/>
    </xf>
    <xf numFmtId="168" fontId="73" fillId="0" borderId="203" xfId="0" applyNumberFormat="1" applyFont="1" applyBorder="1" applyAlignment="1">
      <alignment horizontal="center"/>
    </xf>
    <xf numFmtId="168" fontId="73" fillId="0" borderId="204" xfId="0" applyNumberFormat="1" applyFont="1" applyBorder="1" applyAlignment="1">
      <alignment horizontal="center"/>
    </xf>
    <xf numFmtId="168" fontId="73" fillId="0" borderId="205" xfId="0" applyNumberFormat="1" applyFont="1" applyBorder="1" applyAlignment="1">
      <alignment horizontal="center"/>
    </xf>
    <xf numFmtId="168" fontId="73" fillId="0" borderId="206" xfId="0" applyNumberFormat="1" applyFont="1" applyBorder="1" applyAlignment="1">
      <alignment horizontal="center"/>
    </xf>
    <xf numFmtId="0" fontId="26" fillId="17" borderId="23" xfId="0" applyFont="1" applyFill="1" applyBorder="1"/>
    <xf numFmtId="0" fontId="26" fillId="17" borderId="13" xfId="0" applyFont="1" applyFill="1" applyBorder="1"/>
    <xf numFmtId="0" fontId="26" fillId="17" borderId="24" xfId="0" applyFont="1" applyFill="1" applyBorder="1"/>
    <xf numFmtId="168" fontId="73" fillId="0" borderId="207" xfId="0" applyNumberFormat="1" applyFont="1" applyBorder="1" applyAlignment="1">
      <alignment horizontal="center"/>
    </xf>
    <xf numFmtId="168" fontId="73" fillId="0" borderId="208" xfId="0" applyNumberFormat="1" applyFont="1" applyBorder="1" applyAlignment="1">
      <alignment horizontal="center"/>
    </xf>
    <xf numFmtId="168" fontId="47" fillId="0" borderId="209" xfId="0" applyNumberFormat="1" applyFont="1" applyBorder="1" applyAlignment="1">
      <alignment horizontal="center"/>
    </xf>
    <xf numFmtId="0" fontId="47" fillId="0" borderId="210" xfId="0" applyFont="1" applyBorder="1" applyAlignment="1">
      <alignment horizontal="center"/>
    </xf>
    <xf numFmtId="0" fontId="47" fillId="0" borderId="211" xfId="0" applyFont="1" applyBorder="1" applyAlignment="1">
      <alignment horizontal="center"/>
    </xf>
    <xf numFmtId="168" fontId="47" fillId="0" borderId="212" xfId="0" applyNumberFormat="1" applyFont="1" applyBorder="1" applyAlignment="1">
      <alignment horizontal="center"/>
    </xf>
    <xf numFmtId="168" fontId="73" fillId="0" borderId="213" xfId="0" applyNumberFormat="1" applyFont="1" applyBorder="1" applyAlignment="1">
      <alignment horizontal="center"/>
    </xf>
    <xf numFmtId="168" fontId="47" fillId="0" borderId="214" xfId="0" applyNumberFormat="1" applyFont="1" applyBorder="1" applyAlignment="1">
      <alignment horizontal="center"/>
    </xf>
    <xf numFmtId="168" fontId="47" fillId="0" borderId="201" xfId="0" applyNumberFormat="1" applyFont="1" applyBorder="1" applyAlignment="1">
      <alignment horizontal="center"/>
    </xf>
    <xf numFmtId="168" fontId="47" fillId="0" borderId="202" xfId="0" applyNumberFormat="1" applyFont="1" applyBorder="1" applyAlignment="1">
      <alignment horizontal="center"/>
    </xf>
    <xf numFmtId="168" fontId="73" fillId="0" borderId="215" xfId="0" applyNumberFormat="1" applyFont="1" applyBorder="1" applyAlignment="1">
      <alignment horizontal="center"/>
    </xf>
    <xf numFmtId="168" fontId="47" fillId="0" borderId="216" xfId="0" applyNumberFormat="1" applyFont="1" applyBorder="1" applyAlignment="1">
      <alignment horizontal="center"/>
    </xf>
    <xf numFmtId="168" fontId="47" fillId="0" borderId="204" xfId="0" applyNumberFormat="1" applyFont="1" applyBorder="1" applyAlignment="1">
      <alignment horizontal="center"/>
    </xf>
    <xf numFmtId="168" fontId="47" fillId="0" borderId="205" xfId="0" applyNumberFormat="1" applyFont="1" applyBorder="1" applyAlignment="1">
      <alignment horizontal="center"/>
    </xf>
    <xf numFmtId="0" fontId="36" fillId="0" borderId="98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64" fillId="0" borderId="15" xfId="0" applyFont="1" applyBorder="1"/>
    <xf numFmtId="0" fontId="35" fillId="0" borderId="14" xfId="0" applyFont="1" applyBorder="1" applyAlignment="1">
      <alignment vertical="center"/>
    </xf>
    <xf numFmtId="164" fontId="36" fillId="25" borderId="35" xfId="0" applyNumberFormat="1" applyFont="1" applyFill="1" applyBorder="1" applyAlignment="1">
      <alignment vertical="center"/>
    </xf>
    <xf numFmtId="164" fontId="36" fillId="25" borderId="39" xfId="0" applyNumberFormat="1" applyFont="1" applyFill="1" applyBorder="1" applyAlignment="1">
      <alignment vertical="center"/>
    </xf>
    <xf numFmtId="0" fontId="62" fillId="4" borderId="36" xfId="0" applyFont="1" applyFill="1" applyBorder="1" applyAlignment="1">
      <alignment vertical="center"/>
    </xf>
    <xf numFmtId="0" fontId="62" fillId="4" borderId="195" xfId="0" applyFont="1" applyFill="1" applyBorder="1" applyAlignment="1">
      <alignment vertical="center"/>
    </xf>
    <xf numFmtId="0" fontId="26" fillId="0" borderId="188" xfId="0" applyFont="1" applyBorder="1" applyAlignment="1">
      <alignment horizontal="center"/>
    </xf>
    <xf numFmtId="0" fontId="34" fillId="0" borderId="182" xfId="1" applyFont="1" applyBorder="1" applyAlignment="1">
      <alignment vertical="center"/>
    </xf>
    <xf numFmtId="0" fontId="12" fillId="0" borderId="182" xfId="1" applyFont="1" applyBorder="1" applyAlignment="1">
      <alignment vertical="center"/>
    </xf>
    <xf numFmtId="0" fontId="36" fillId="0" borderId="220" xfId="0" applyFont="1" applyBorder="1" applyAlignment="1">
      <alignment horizontal="center"/>
    </xf>
    <xf numFmtId="0" fontId="36" fillId="0" borderId="222" xfId="0" applyFont="1" applyBorder="1" applyAlignment="1">
      <alignment horizontal="center"/>
    </xf>
    <xf numFmtId="0" fontId="36" fillId="0" borderId="223" xfId="0" applyFont="1" applyBorder="1" applyAlignment="1">
      <alignment horizontal="center"/>
    </xf>
    <xf numFmtId="0" fontId="36" fillId="0" borderId="221" xfId="0" applyFont="1" applyBorder="1" applyAlignment="1">
      <alignment horizontal="center"/>
    </xf>
    <xf numFmtId="0" fontId="11" fillId="0" borderId="189" xfId="0" applyFont="1" applyBorder="1" applyAlignment="1">
      <alignment vertical="center"/>
    </xf>
    <xf numFmtId="0" fontId="11" fillId="0" borderId="220" xfId="0" applyFont="1" applyBorder="1" applyAlignment="1">
      <alignment vertical="center"/>
    </xf>
    <xf numFmtId="164" fontId="11" fillId="0" borderId="220" xfId="0" applyNumberFormat="1" applyFont="1" applyBorder="1" applyAlignment="1">
      <alignment horizontal="center" vertical="center"/>
    </xf>
    <xf numFmtId="0" fontId="11" fillId="0" borderId="182" xfId="0" applyFont="1" applyBorder="1"/>
    <xf numFmtId="0" fontId="11" fillId="0" borderId="183" xfId="0" applyFont="1" applyBorder="1"/>
    <xf numFmtId="164" fontId="36" fillId="0" borderId="220" xfId="0" applyNumberFormat="1" applyFont="1" applyBorder="1" applyAlignment="1">
      <alignment horizontal="center"/>
    </xf>
    <xf numFmtId="0" fontId="26" fillId="15" borderId="0" xfId="0" applyFont="1" applyFill="1"/>
    <xf numFmtId="166" fontId="69" fillId="0" borderId="0" xfId="0" applyNumberFormat="1" applyFont="1" applyAlignment="1">
      <alignment horizontal="center" vertical="center"/>
    </xf>
    <xf numFmtId="0" fontId="26" fillId="0" borderId="172" xfId="0" applyFont="1" applyBorder="1" applyAlignment="1">
      <alignment horizontal="left"/>
    </xf>
    <xf numFmtId="0" fontId="36" fillId="0" borderId="188" xfId="0" applyFont="1" applyBorder="1" applyAlignment="1">
      <alignment horizontal="center"/>
    </xf>
    <xf numFmtId="0" fontId="26" fillId="0" borderId="0" xfId="0" quotePrefix="1" applyFont="1"/>
    <xf numFmtId="0" fontId="10" fillId="0" borderId="0" xfId="0" quotePrefix="1" applyFont="1"/>
    <xf numFmtId="0" fontId="36" fillId="0" borderId="172" xfId="0" applyFont="1" applyBorder="1" applyAlignment="1">
      <alignment horizontal="center"/>
    </xf>
    <xf numFmtId="164" fontId="36" fillId="0" borderId="188" xfId="0" applyNumberFormat="1" applyFont="1" applyBorder="1" applyAlignment="1">
      <alignment horizontal="center"/>
    </xf>
    <xf numFmtId="164" fontId="36" fillId="0" borderId="178" xfId="0" applyNumberFormat="1" applyFont="1" applyBorder="1" applyAlignment="1">
      <alignment horizontal="center"/>
    </xf>
    <xf numFmtId="0" fontId="11" fillId="15" borderId="0" xfId="0" applyFont="1" applyFill="1"/>
    <xf numFmtId="0" fontId="36" fillId="0" borderId="188" xfId="0" quotePrefix="1" applyFont="1" applyBorder="1" applyAlignment="1">
      <alignment horizontal="center"/>
    </xf>
    <xf numFmtId="0" fontId="11" fillId="13" borderId="0" xfId="0" applyFont="1" applyFill="1"/>
    <xf numFmtId="0" fontId="13" fillId="0" borderId="0" xfId="0" applyFont="1" applyAlignment="1">
      <alignment horizontal="center"/>
    </xf>
    <xf numFmtId="0" fontId="26" fillId="0" borderId="13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166" fontId="36" fillId="0" borderId="40" xfId="0" applyNumberFormat="1" applyFont="1" applyBorder="1" applyAlignment="1">
      <alignment horizontal="center" vertical="center"/>
    </xf>
    <xf numFmtId="166" fontId="36" fillId="0" borderId="49" xfId="0" applyNumberFormat="1" applyFont="1" applyBorder="1" applyAlignment="1">
      <alignment horizontal="center" vertical="center"/>
    </xf>
    <xf numFmtId="164" fontId="36" fillId="0" borderId="52" xfId="0" applyNumberFormat="1" applyFont="1" applyBorder="1" applyAlignment="1">
      <alignment horizontal="center" vertical="center"/>
    </xf>
    <xf numFmtId="164" fontId="36" fillId="0" borderId="172" xfId="0" applyNumberFormat="1" applyFont="1" applyBorder="1" applyAlignment="1">
      <alignment horizontal="center" vertical="center"/>
    </xf>
    <xf numFmtId="166" fontId="36" fillId="0" borderId="48" xfId="0" applyNumberFormat="1" applyFont="1" applyBorder="1" applyAlignment="1">
      <alignment horizontal="center" vertical="center"/>
    </xf>
    <xf numFmtId="166" fontId="36" fillId="0" borderId="53" xfId="0" applyNumberFormat="1" applyFont="1" applyBorder="1" applyAlignment="1">
      <alignment horizontal="center" vertical="center"/>
    </xf>
    <xf numFmtId="166" fontId="36" fillId="0" borderId="50" xfId="0" applyNumberFormat="1" applyFont="1" applyBorder="1" applyAlignment="1">
      <alignment horizontal="center" vertical="center"/>
    </xf>
    <xf numFmtId="166" fontId="36" fillId="0" borderId="153" xfId="0" applyNumberFormat="1" applyFont="1" applyBorder="1" applyAlignment="1">
      <alignment horizontal="center" vertical="center"/>
    </xf>
    <xf numFmtId="166" fontId="36" fillId="0" borderId="154" xfId="0" applyNumberFormat="1" applyFont="1" applyBorder="1" applyAlignment="1">
      <alignment horizontal="center" vertical="center"/>
    </xf>
    <xf numFmtId="167" fontId="73" fillId="0" borderId="49" xfId="0" applyNumberFormat="1" applyFont="1" applyBorder="1" applyAlignment="1">
      <alignment horizontal="center" vertical="center"/>
    </xf>
    <xf numFmtId="166" fontId="36" fillId="0" borderId="224" xfId="0" applyNumberFormat="1" applyFont="1" applyBorder="1" applyAlignment="1">
      <alignment horizontal="center" vertical="center"/>
    </xf>
    <xf numFmtId="166" fontId="36" fillId="0" borderId="25" xfId="0" applyNumberFormat="1" applyFont="1" applyBorder="1" applyAlignment="1">
      <alignment horizontal="center" vertical="center"/>
    </xf>
    <xf numFmtId="166" fontId="36" fillId="0" borderId="18" xfId="0" applyNumberFormat="1" applyFont="1" applyBorder="1" applyAlignment="1">
      <alignment horizontal="center" vertical="center"/>
    </xf>
    <xf numFmtId="166" fontId="36" fillId="0" borderId="46" xfId="0" applyNumberFormat="1" applyFont="1" applyBorder="1" applyAlignment="1">
      <alignment horizontal="center" vertical="center"/>
    </xf>
    <xf numFmtId="166" fontId="36" fillId="0" borderId="43" xfId="0" applyNumberFormat="1" applyFont="1" applyBorder="1" applyAlignment="1">
      <alignment horizontal="center" vertical="center"/>
    </xf>
    <xf numFmtId="168" fontId="73" fillId="0" borderId="226" xfId="0" applyNumberFormat="1" applyFont="1" applyBorder="1" applyAlignment="1">
      <alignment horizontal="center"/>
    </xf>
    <xf numFmtId="168" fontId="73" fillId="0" borderId="225" xfId="0" applyNumberFormat="1" applyFont="1" applyBorder="1" applyAlignment="1">
      <alignment horizontal="center"/>
    </xf>
    <xf numFmtId="166" fontId="36" fillId="0" borderId="192" xfId="0" applyNumberFormat="1" applyFont="1" applyBorder="1" applyAlignment="1">
      <alignment horizontal="center" vertical="center"/>
    </xf>
    <xf numFmtId="0" fontId="17" fillId="0" borderId="192" xfId="0" applyFont="1" applyBorder="1"/>
    <xf numFmtId="168" fontId="73" fillId="0" borderId="227" xfId="0" applyNumberFormat="1" applyFont="1" applyBorder="1" applyAlignment="1">
      <alignment horizontal="center"/>
    </xf>
    <xf numFmtId="168" fontId="73" fillId="0" borderId="228" xfId="0" applyNumberFormat="1" applyFont="1" applyBorder="1" applyAlignment="1">
      <alignment horizontal="center"/>
    </xf>
    <xf numFmtId="0" fontId="47" fillId="0" borderId="95" xfId="0" applyFont="1" applyBorder="1" applyAlignment="1">
      <alignment horizontal="left"/>
    </xf>
    <xf numFmtId="164" fontId="47" fillId="6" borderId="30" xfId="0" applyNumberFormat="1" applyFont="1" applyFill="1" applyBorder="1" applyAlignment="1">
      <alignment horizontal="left"/>
    </xf>
    <xf numFmtId="168" fontId="47" fillId="0" borderId="229" xfId="0" applyNumberFormat="1" applyFont="1" applyBorder="1" applyAlignment="1">
      <alignment horizontal="center"/>
    </xf>
    <xf numFmtId="0" fontId="58" fillId="7" borderId="153" xfId="0" applyFont="1" applyFill="1" applyBorder="1" applyAlignment="1">
      <alignment horizontal="center" vertical="center"/>
    </xf>
    <xf numFmtId="0" fontId="58" fillId="7" borderId="192" xfId="0" applyFont="1" applyFill="1" applyBorder="1" applyAlignment="1">
      <alignment horizontal="center" vertical="center"/>
    </xf>
    <xf numFmtId="0" fontId="58" fillId="7" borderId="154" xfId="0" applyFont="1" applyFill="1" applyBorder="1" applyAlignment="1">
      <alignment horizontal="center" vertical="center"/>
    </xf>
    <xf numFmtId="166" fontId="36" fillId="0" borderId="30" xfId="0" applyNumberFormat="1" applyFont="1" applyBorder="1" applyAlignment="1">
      <alignment horizontal="center" vertical="center"/>
    </xf>
    <xf numFmtId="0" fontId="58" fillId="7" borderId="193" xfId="0" applyFont="1" applyFill="1" applyBorder="1" applyAlignment="1">
      <alignment horizontal="center" vertical="center"/>
    </xf>
    <xf numFmtId="164" fontId="58" fillId="0" borderId="144" xfId="0" applyNumberFormat="1" applyFont="1" applyBorder="1" applyAlignment="1">
      <alignment horizontal="center"/>
    </xf>
    <xf numFmtId="164" fontId="58" fillId="6" borderId="30" xfId="0" applyNumberFormat="1" applyFont="1" applyFill="1" applyBorder="1" applyAlignment="1">
      <alignment horizontal="center"/>
    </xf>
    <xf numFmtId="166" fontId="36" fillId="0" borderId="28" xfId="0" applyNumberFormat="1" applyFont="1" applyBorder="1" applyAlignment="1">
      <alignment horizontal="center" vertical="center"/>
    </xf>
    <xf numFmtId="166" fontId="36" fillId="0" borderId="22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6" fillId="13" borderId="14" xfId="0" applyFont="1" applyFill="1" applyBorder="1"/>
    <xf numFmtId="0" fontId="36" fillId="13" borderId="16" xfId="0" applyFont="1" applyFill="1" applyBorder="1"/>
    <xf numFmtId="0" fontId="36" fillId="13" borderId="22" xfId="0" applyFont="1" applyFill="1" applyBorder="1"/>
    <xf numFmtId="0" fontId="26" fillId="0" borderId="31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164" fontId="26" fillId="0" borderId="0" xfId="8" applyNumberFormat="1" applyFont="1" applyFill="1" applyBorder="1" applyAlignment="1">
      <alignment horizontal="center" vertical="center"/>
    </xf>
    <xf numFmtId="0" fontId="99" fillId="0" borderId="0" xfId="1" applyFont="1" applyFill="1" applyBorder="1" applyAlignment="1">
      <alignment vertical="center"/>
    </xf>
    <xf numFmtId="0" fontId="28" fillId="0" borderId="0" xfId="0" applyFont="1" applyAlignment="1">
      <alignment horizontal="center"/>
    </xf>
    <xf numFmtId="0" fontId="25" fillId="0" borderId="0" xfId="0" applyFont="1"/>
    <xf numFmtId="0" fontId="86" fillId="0" borderId="0" xfId="0" applyFont="1" applyAlignment="1">
      <alignment horizontal="center" vertical="center"/>
    </xf>
    <xf numFmtId="0" fontId="36" fillId="0" borderId="0" xfId="0" applyFont="1" applyAlignment="1">
      <alignment horizontal="left" indent="3"/>
    </xf>
    <xf numFmtId="0" fontId="26" fillId="0" borderId="0" xfId="0" applyFont="1" applyAlignment="1">
      <alignment horizontal="left"/>
    </xf>
    <xf numFmtId="0" fontId="46" fillId="0" borderId="0" xfId="0" applyFont="1" applyAlignment="1">
      <alignment vertical="center"/>
    </xf>
    <xf numFmtId="0" fontId="72" fillId="0" borderId="0" xfId="0" applyFont="1" applyAlignment="1">
      <alignment horizontal="center" vertical="center"/>
    </xf>
    <xf numFmtId="0" fontId="23" fillId="0" borderId="0" xfId="0" applyFont="1"/>
    <xf numFmtId="164" fontId="50" fillId="0" borderId="0" xfId="0" applyNumberFormat="1" applyFont="1" applyAlignment="1">
      <alignment horizontal="right"/>
    </xf>
    <xf numFmtId="0" fontId="51" fillId="0" borderId="0" xfId="0" applyFont="1"/>
    <xf numFmtId="167" fontId="26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vertical="center"/>
    </xf>
    <xf numFmtId="166" fontId="36" fillId="0" borderId="14" xfId="0" applyNumberFormat="1" applyFont="1" applyBorder="1"/>
    <xf numFmtId="0" fontId="26" fillId="0" borderId="54" xfId="0" applyFont="1" applyBorder="1" applyAlignment="1">
      <alignment horizontal="center" vertical="center"/>
    </xf>
    <xf numFmtId="0" fontId="104" fillId="4" borderId="125" xfId="1" applyFont="1" applyFill="1" applyBorder="1" applyAlignment="1">
      <alignment horizontal="center" vertical="center"/>
    </xf>
    <xf numFmtId="164" fontId="58" fillId="0" borderId="153" xfId="0" applyNumberFormat="1" applyFont="1" applyBorder="1" applyAlignment="1">
      <alignment horizontal="center"/>
    </xf>
    <xf numFmtId="164" fontId="58" fillId="0" borderId="154" xfId="0" applyNumberFormat="1" applyFont="1" applyBorder="1" applyAlignment="1">
      <alignment horizontal="center"/>
    </xf>
    <xf numFmtId="166" fontId="36" fillId="0" borderId="31" xfId="0" applyNumberFormat="1" applyFont="1" applyBorder="1" applyAlignment="1">
      <alignment horizontal="left" vertical="center"/>
    </xf>
    <xf numFmtId="166" fontId="36" fillId="0" borderId="0" xfId="0" applyNumberFormat="1" applyFont="1" applyAlignment="1">
      <alignment horizontal="left" vertical="center"/>
    </xf>
    <xf numFmtId="169" fontId="73" fillId="0" borderId="186" xfId="0" applyNumberFormat="1" applyFont="1" applyBorder="1" applyAlignment="1">
      <alignment horizontal="left"/>
    </xf>
    <xf numFmtId="164" fontId="73" fillId="0" borderId="163" xfId="0" applyNumberFormat="1" applyFont="1" applyBorder="1" applyAlignment="1">
      <alignment horizontal="left"/>
    </xf>
    <xf numFmtId="169" fontId="73" fillId="0" borderId="5" xfId="0" applyNumberFormat="1" applyFont="1" applyBorder="1" applyAlignment="1">
      <alignment horizontal="left"/>
    </xf>
    <xf numFmtId="169" fontId="73" fillId="0" borderId="30" xfId="0" applyNumberFormat="1" applyFont="1" applyBorder="1" applyAlignment="1">
      <alignment horizontal="left"/>
    </xf>
    <xf numFmtId="0" fontId="36" fillId="0" borderId="186" xfId="0" applyFont="1" applyBorder="1" applyAlignment="1">
      <alignment vertical="center"/>
    </xf>
    <xf numFmtId="0" fontId="81" fillId="4" borderId="15" xfId="0" applyFont="1" applyFill="1" applyBorder="1" applyAlignment="1">
      <alignment horizontal="center" vertical="center"/>
    </xf>
    <xf numFmtId="166" fontId="36" fillId="0" borderId="15" xfId="0" applyNumberFormat="1" applyFont="1" applyBorder="1" applyAlignment="1">
      <alignment vertical="center"/>
    </xf>
    <xf numFmtId="166" fontId="36" fillId="0" borderId="16" xfId="0" applyNumberFormat="1" applyFont="1" applyBorder="1" applyAlignment="1">
      <alignment vertical="center"/>
    </xf>
    <xf numFmtId="0" fontId="36" fillId="13" borderId="0" xfId="0" applyFont="1" applyFill="1"/>
    <xf numFmtId="0" fontId="45" fillId="0" borderId="0" xfId="0" applyFont="1" applyAlignment="1">
      <alignment vertical="center"/>
    </xf>
    <xf numFmtId="0" fontId="45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45" fillId="0" borderId="14" xfId="0" applyFont="1" applyBorder="1" applyAlignment="1">
      <alignment horizontal="center"/>
    </xf>
    <xf numFmtId="0" fontId="10" fillId="0" borderId="103" xfId="0" applyFont="1" applyBorder="1"/>
    <xf numFmtId="164" fontId="36" fillId="0" borderId="230" xfId="0" applyNumberFormat="1" applyFont="1" applyBorder="1" applyAlignment="1">
      <alignment horizontal="center" vertical="center"/>
    </xf>
    <xf numFmtId="164" fontId="36" fillId="0" borderId="56" xfId="0" applyNumberFormat="1" applyFont="1" applyBorder="1" applyAlignment="1">
      <alignment horizontal="center" vertical="center"/>
    </xf>
    <xf numFmtId="164" fontId="36" fillId="0" borderId="152" xfId="0" applyNumberFormat="1" applyFont="1" applyBorder="1" applyAlignment="1">
      <alignment horizontal="center" vertical="center"/>
    </xf>
    <xf numFmtId="167" fontId="73" fillId="0" borderId="230" xfId="0" applyNumberFormat="1" applyFont="1" applyBorder="1" applyAlignment="1">
      <alignment horizontal="center" vertical="center"/>
    </xf>
    <xf numFmtId="166" fontId="36" fillId="0" borderId="160" xfId="0" applyNumberFormat="1" applyFont="1" applyBorder="1" applyAlignment="1">
      <alignment horizontal="center" vertical="center"/>
    </xf>
    <xf numFmtId="166" fontId="36" fillId="0" borderId="161" xfId="0" applyNumberFormat="1" applyFont="1" applyBorder="1" applyAlignment="1">
      <alignment horizontal="center" vertical="center"/>
    </xf>
    <xf numFmtId="164" fontId="58" fillId="0" borderId="52" xfId="0" applyNumberFormat="1" applyFont="1" applyBorder="1" applyAlignment="1">
      <alignment horizontal="left"/>
    </xf>
    <xf numFmtId="164" fontId="58" fillId="0" borderId="53" xfId="0" applyNumberFormat="1" applyFont="1" applyBorder="1" applyAlignment="1">
      <alignment horizontal="center"/>
    </xf>
    <xf numFmtId="164" fontId="58" fillId="0" borderId="50" xfId="0" applyNumberFormat="1" applyFont="1" applyBorder="1" applyAlignment="1">
      <alignment horizontal="center"/>
    </xf>
    <xf numFmtId="169" fontId="73" fillId="0" borderId="48" xfId="0" applyNumberFormat="1" applyFont="1" applyBorder="1" applyAlignment="1">
      <alignment horizontal="left"/>
    </xf>
    <xf numFmtId="0" fontId="36" fillId="0" borderId="144" xfId="0" applyFont="1" applyBorder="1" applyAlignment="1">
      <alignment vertical="center"/>
    </xf>
    <xf numFmtId="164" fontId="36" fillId="0" borderId="6" xfId="0" applyNumberFormat="1" applyFont="1" applyBorder="1" applyAlignment="1">
      <alignment horizontal="center" vertical="center"/>
    </xf>
    <xf numFmtId="164" fontId="36" fillId="0" borderId="129" xfId="0" applyNumberFormat="1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10" fillId="17" borderId="23" xfId="0" applyFont="1" applyFill="1" applyBorder="1" applyAlignment="1">
      <alignment horizontal="center" vertical="center"/>
    </xf>
    <xf numFmtId="0" fontId="10" fillId="17" borderId="13" xfId="0" applyFont="1" applyFill="1" applyBorder="1" applyAlignment="1">
      <alignment horizontal="center" vertical="center"/>
    </xf>
    <xf numFmtId="0" fontId="10" fillId="17" borderId="24" xfId="0" applyFont="1" applyFill="1" applyBorder="1" applyAlignment="1">
      <alignment horizontal="center" vertical="center"/>
    </xf>
    <xf numFmtId="0" fontId="10" fillId="17" borderId="31" xfId="0" applyFont="1" applyFill="1" applyBorder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10" fillId="17" borderId="14" xfId="0" applyFont="1" applyFill="1" applyBorder="1" applyAlignment="1">
      <alignment horizontal="center" vertical="center"/>
    </xf>
    <xf numFmtId="168" fontId="73" fillId="0" borderId="231" xfId="0" applyNumberFormat="1" applyFont="1" applyBorder="1" applyAlignment="1">
      <alignment horizontal="center"/>
    </xf>
    <xf numFmtId="168" fontId="47" fillId="0" borderId="231" xfId="0" applyNumberFormat="1" applyFont="1" applyBorder="1" applyAlignment="1">
      <alignment horizontal="center"/>
    </xf>
    <xf numFmtId="168" fontId="47" fillId="0" borderId="226" xfId="0" applyNumberFormat="1" applyFont="1" applyBorder="1" applyAlignment="1">
      <alignment horizontal="center"/>
    </xf>
    <xf numFmtId="0" fontId="35" fillId="3" borderId="31" xfId="0" quotePrefix="1" applyFont="1" applyFill="1" applyBorder="1" applyAlignment="1">
      <alignment horizontal="center"/>
    </xf>
    <xf numFmtId="0" fontId="35" fillId="3" borderId="0" xfId="0" quotePrefix="1" applyFont="1" applyFill="1" applyAlignment="1">
      <alignment horizontal="center"/>
    </xf>
    <xf numFmtId="0" fontId="35" fillId="3" borderId="14" xfId="0" quotePrefix="1" applyFont="1" applyFill="1" applyBorder="1" applyAlignment="1">
      <alignment horizontal="center"/>
    </xf>
    <xf numFmtId="164" fontId="73" fillId="0" borderId="231" xfId="0" applyNumberFormat="1" applyFont="1" applyBorder="1" applyAlignment="1">
      <alignment horizontal="center"/>
    </xf>
    <xf numFmtId="166" fontId="36" fillId="0" borderId="167" xfId="0" applyNumberFormat="1" applyFont="1" applyBorder="1" applyAlignment="1">
      <alignment horizontal="center" vertical="center"/>
    </xf>
    <xf numFmtId="164" fontId="36" fillId="0" borderId="35" xfId="0" applyNumberFormat="1" applyFont="1" applyBorder="1" applyAlignment="1">
      <alignment horizontal="center" vertical="center"/>
    </xf>
    <xf numFmtId="14" fontId="16" fillId="0" borderId="0" xfId="0" applyNumberFormat="1" applyFont="1"/>
    <xf numFmtId="0" fontId="16" fillId="0" borderId="0" xfId="0" applyFont="1"/>
    <xf numFmtId="16" fontId="14" fillId="0" borderId="0" xfId="0" quotePrefix="1" applyNumberFormat="1" applyFont="1" applyAlignment="1">
      <alignment horizontal="right"/>
    </xf>
    <xf numFmtId="0" fontId="125" fillId="21" borderId="0" xfId="0" applyFont="1" applyFill="1"/>
    <xf numFmtId="0" fontId="0" fillId="0" borderId="3" xfId="0" applyBorder="1"/>
    <xf numFmtId="0" fontId="126" fillId="0" borderId="0" xfId="0" applyFont="1"/>
    <xf numFmtId="0" fontId="14" fillId="0" borderId="2" xfId="0" applyFont="1" applyBorder="1"/>
    <xf numFmtId="0" fontId="16" fillId="0" borderId="220" xfId="0" applyFont="1" applyBorder="1"/>
    <xf numFmtId="0" fontId="127" fillId="0" borderId="0" xfId="0" applyFont="1" applyAlignment="1">
      <alignment horizontal="center"/>
    </xf>
    <xf numFmtId="0" fontId="128" fillId="0" borderId="0" xfId="0" applyFont="1"/>
    <xf numFmtId="0" fontId="36" fillId="0" borderId="234" xfId="0" applyFont="1" applyBorder="1" applyAlignment="1">
      <alignment horizontal="center"/>
    </xf>
    <xf numFmtId="0" fontId="36" fillId="0" borderId="235" xfId="0" applyFont="1" applyBorder="1" applyAlignment="1">
      <alignment horizontal="center"/>
    </xf>
    <xf numFmtId="164" fontId="36" fillId="0" borderId="164" xfId="0" applyNumberFormat="1" applyFont="1" applyBorder="1" applyAlignment="1">
      <alignment horizontal="center"/>
    </xf>
    <xf numFmtId="166" fontId="36" fillId="0" borderId="167" xfId="0" applyNumberFormat="1" applyFont="1" applyBorder="1" applyAlignment="1">
      <alignment horizontal="center"/>
    </xf>
    <xf numFmtId="164" fontId="36" fillId="0" borderId="164" xfId="0" applyNumberFormat="1" applyFont="1" applyBorder="1" applyAlignment="1">
      <alignment horizontal="center" vertical="center"/>
    </xf>
    <xf numFmtId="164" fontId="0" fillId="0" borderId="0" xfId="0" applyNumberFormat="1"/>
    <xf numFmtId="166" fontId="36" fillId="0" borderId="168" xfId="0" applyNumberFormat="1" applyFont="1" applyBorder="1" applyAlignment="1">
      <alignment horizontal="center"/>
    </xf>
    <xf numFmtId="164" fontId="36" fillId="0" borderId="35" xfId="0" applyNumberFormat="1" applyFont="1" applyBorder="1" applyAlignment="1">
      <alignment horizontal="center"/>
    </xf>
    <xf numFmtId="164" fontId="36" fillId="0" borderId="39" xfId="0" applyNumberFormat="1" applyFont="1" applyBorder="1" applyAlignment="1">
      <alignment horizontal="center"/>
    </xf>
    <xf numFmtId="166" fontId="36" fillId="0" borderId="168" xfId="0" applyNumberFormat="1" applyFont="1" applyBorder="1" applyAlignment="1">
      <alignment horizontal="center" vertical="center"/>
    </xf>
    <xf numFmtId="0" fontId="0" fillId="0" borderId="167" xfId="0" applyBorder="1"/>
    <xf numFmtId="0" fontId="0" fillId="0" borderId="34" xfId="0" applyBorder="1"/>
    <xf numFmtId="0" fontId="0" fillId="0" borderId="133" xfId="0" applyBorder="1"/>
    <xf numFmtId="166" fontId="36" fillId="0" borderId="35" xfId="0" applyNumberFormat="1" applyFont="1" applyBorder="1" applyAlignment="1">
      <alignment horizontal="center"/>
    </xf>
    <xf numFmtId="0" fontId="0" fillId="0" borderId="132" xfId="0" applyBorder="1"/>
    <xf numFmtId="0" fontId="0" fillId="0" borderId="164" xfId="0" applyBorder="1"/>
    <xf numFmtId="0" fontId="39" fillId="4" borderId="194" xfId="0" applyFont="1" applyFill="1" applyBorder="1" applyAlignment="1">
      <alignment vertical="center"/>
    </xf>
    <xf numFmtId="0" fontId="39" fillId="4" borderId="36" xfId="0" applyFont="1" applyFill="1" applyBorder="1" applyAlignment="1">
      <alignment vertical="center"/>
    </xf>
    <xf numFmtId="0" fontId="39" fillId="4" borderId="195" xfId="0" applyFont="1" applyFill="1" applyBorder="1" applyAlignment="1">
      <alignment vertical="center"/>
    </xf>
    <xf numFmtId="0" fontId="36" fillId="0" borderId="236" xfId="0" applyFont="1" applyBorder="1" applyAlignment="1">
      <alignment horizontal="center"/>
    </xf>
    <xf numFmtId="0" fontId="36" fillId="0" borderId="237" xfId="0" applyFont="1" applyBorder="1" applyAlignment="1">
      <alignment horizontal="center"/>
    </xf>
    <xf numFmtId="0" fontId="36" fillId="0" borderId="238" xfId="0" applyFont="1" applyBorder="1" applyAlignment="1">
      <alignment horizontal="center"/>
    </xf>
    <xf numFmtId="0" fontId="0" fillId="0" borderId="168" xfId="0" applyBorder="1"/>
    <xf numFmtId="0" fontId="0" fillId="0" borderId="35" xfId="0" applyBorder="1"/>
    <xf numFmtId="0" fontId="0" fillId="0" borderId="39" xfId="0" applyBorder="1"/>
    <xf numFmtId="166" fontId="73" fillId="0" borderId="167" xfId="0" applyNumberFormat="1" applyFont="1" applyBorder="1" applyAlignment="1">
      <alignment horizontal="center"/>
    </xf>
    <xf numFmtId="166" fontId="73" fillId="0" borderId="0" xfId="0" applyNumberFormat="1" applyFont="1" applyAlignment="1">
      <alignment horizontal="center"/>
    </xf>
    <xf numFmtId="10" fontId="26" fillId="0" borderId="0" xfId="0" applyNumberFormat="1" applyFont="1"/>
    <xf numFmtId="0" fontId="36" fillId="0" borderId="220" xfId="0" applyFont="1" applyBorder="1"/>
    <xf numFmtId="0" fontId="0" fillId="0" borderId="31" xfId="0" applyBorder="1"/>
    <xf numFmtId="0" fontId="0" fillId="0" borderId="14" xfId="0" applyBorder="1"/>
    <xf numFmtId="168" fontId="73" fillId="0" borderId="24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168" fontId="10" fillId="0" borderId="0" xfId="0" applyNumberFormat="1" applyFont="1"/>
    <xf numFmtId="168" fontId="73" fillId="0" borderId="241" xfId="0" applyNumberFormat="1" applyFont="1" applyBorder="1" applyAlignment="1">
      <alignment horizontal="center"/>
    </xf>
    <xf numFmtId="0" fontId="47" fillId="0" borderId="242" xfId="0" applyFont="1" applyBorder="1" applyAlignment="1">
      <alignment horizontal="center"/>
    </xf>
    <xf numFmtId="0" fontId="47" fillId="0" borderId="243" xfId="0" applyFont="1" applyBorder="1" applyAlignment="1">
      <alignment horizontal="center"/>
    </xf>
    <xf numFmtId="168" fontId="47" fillId="0" borderId="240" xfId="0" applyNumberFormat="1" applyFont="1" applyBorder="1" applyAlignment="1">
      <alignment horizontal="center"/>
    </xf>
    <xf numFmtId="168" fontId="47" fillId="0" borderId="228" xfId="0" applyNumberFormat="1" applyFont="1" applyBorder="1" applyAlignment="1">
      <alignment horizontal="center"/>
    </xf>
    <xf numFmtId="168" fontId="47" fillId="0" borderId="225" xfId="0" applyNumberFormat="1" applyFont="1" applyBorder="1" applyAlignment="1">
      <alignment horizontal="center"/>
    </xf>
    <xf numFmtId="0" fontId="36" fillId="0" borderId="223" xfId="0" applyFont="1" applyBorder="1" applyAlignment="1">
      <alignment vertical="center"/>
    </xf>
    <xf numFmtId="165" fontId="36" fillId="0" borderId="222" xfId="0" applyNumberFormat="1" applyFont="1" applyBorder="1" applyAlignment="1">
      <alignment horizontal="center" vertical="center"/>
    </xf>
    <xf numFmtId="0" fontId="80" fillId="2" borderId="0" xfId="0" applyFont="1" applyFill="1" applyAlignment="1">
      <alignment horizontal="left"/>
    </xf>
    <xf numFmtId="0" fontId="10" fillId="2" borderId="0" xfId="0" applyFont="1" applyFill="1"/>
    <xf numFmtId="164" fontId="10" fillId="0" borderId="2" xfId="0" applyNumberFormat="1" applyFont="1" applyBorder="1"/>
    <xf numFmtId="164" fontId="58" fillId="0" borderId="0" xfId="0" applyNumberFormat="1" applyFont="1"/>
    <xf numFmtId="164" fontId="73" fillId="7" borderId="188" xfId="0" applyNumberFormat="1" applyFont="1" applyFill="1" applyBorder="1" applyAlignment="1">
      <alignment horizontal="center"/>
    </xf>
    <xf numFmtId="164" fontId="73" fillId="7" borderId="178" xfId="0" applyNumberFormat="1" applyFont="1" applyFill="1" applyBorder="1" applyAlignment="1">
      <alignment horizontal="center"/>
    </xf>
    <xf numFmtId="164" fontId="36" fillId="0" borderId="178" xfId="0" applyNumberFormat="1" applyFont="1" applyBorder="1" applyAlignment="1">
      <alignment horizontal="center" vertical="center"/>
    </xf>
    <xf numFmtId="167" fontId="73" fillId="0" borderId="178" xfId="0" applyNumberFormat="1" applyFont="1" applyBorder="1" applyAlignment="1">
      <alignment horizontal="center" vertical="center"/>
    </xf>
    <xf numFmtId="167" fontId="73" fillId="0" borderId="188" xfId="0" applyNumberFormat="1" applyFont="1" applyBorder="1" applyAlignment="1">
      <alignment horizontal="center" vertical="center"/>
    </xf>
    <xf numFmtId="166" fontId="73" fillId="0" borderId="178" xfId="0" applyNumberFormat="1" applyFont="1" applyBorder="1" applyAlignment="1">
      <alignment horizontal="center" vertical="center"/>
    </xf>
    <xf numFmtId="0" fontId="58" fillId="0" borderId="14" xfId="0" applyFont="1" applyBorder="1" applyAlignment="1">
      <alignment vertical="center"/>
    </xf>
    <xf numFmtId="0" fontId="26" fillId="0" borderId="0" xfId="0" applyFont="1" applyAlignment="1">
      <alignment vertical="center" wrapText="1"/>
    </xf>
    <xf numFmtId="0" fontId="26" fillId="0" borderId="14" xfId="0" applyFont="1" applyBorder="1" applyAlignment="1">
      <alignment vertical="center" wrapText="1"/>
    </xf>
    <xf numFmtId="166" fontId="39" fillId="0" borderId="23" xfId="0" applyNumberFormat="1" applyFont="1" applyBorder="1" applyAlignment="1">
      <alignment vertical="center"/>
    </xf>
    <xf numFmtId="166" fontId="39" fillId="0" borderId="13" xfId="0" applyNumberFormat="1" applyFont="1" applyBorder="1" applyAlignment="1">
      <alignment vertical="center"/>
    </xf>
    <xf numFmtId="166" fontId="39" fillId="0" borderId="24" xfId="0" applyNumberFormat="1" applyFont="1" applyBorder="1" applyAlignment="1">
      <alignment vertical="center"/>
    </xf>
    <xf numFmtId="0" fontId="58" fillId="9" borderId="244" xfId="0" applyFont="1" applyFill="1" applyBorder="1" applyAlignment="1">
      <alignment horizontal="center" vertical="center"/>
    </xf>
    <xf numFmtId="0" fontId="58" fillId="9" borderId="245" xfId="0" applyFont="1" applyFill="1" applyBorder="1" applyAlignment="1">
      <alignment horizontal="center" vertical="center"/>
    </xf>
    <xf numFmtId="0" fontId="58" fillId="9" borderId="246" xfId="0" applyFont="1" applyFill="1" applyBorder="1" applyAlignment="1">
      <alignment horizontal="center" vertical="center"/>
    </xf>
    <xf numFmtId="164" fontId="73" fillId="0" borderId="249" xfId="0" applyNumberFormat="1" applyFont="1" applyBorder="1" applyAlignment="1">
      <alignment horizontal="center"/>
    </xf>
    <xf numFmtId="164" fontId="73" fillId="0" borderId="250" xfId="0" applyNumberFormat="1" applyFont="1" applyBorder="1" applyAlignment="1">
      <alignment horizontal="center"/>
    </xf>
    <xf numFmtId="0" fontId="35" fillId="0" borderId="31" xfId="0" applyFont="1" applyBorder="1"/>
    <xf numFmtId="0" fontId="58" fillId="9" borderId="24" xfId="0" applyFont="1" applyFill="1" applyBorder="1" applyAlignment="1">
      <alignment horizontal="center" vertical="center"/>
    </xf>
    <xf numFmtId="166" fontId="36" fillId="0" borderId="144" xfId="0" applyNumberFormat="1" applyFont="1" applyBorder="1" applyAlignment="1">
      <alignment horizontal="center"/>
    </xf>
    <xf numFmtId="166" fontId="36" fillId="0" borderId="53" xfId="0" applyNumberFormat="1" applyFont="1" applyBorder="1" applyAlignment="1">
      <alignment horizontal="center"/>
    </xf>
    <xf numFmtId="164" fontId="36" fillId="0" borderId="144" xfId="0" applyNumberFormat="1" applyFont="1" applyBorder="1" applyAlignment="1">
      <alignment horizontal="center"/>
    </xf>
    <xf numFmtId="164" fontId="36" fillId="0" borderId="53" xfId="0" applyNumberFormat="1" applyFont="1" applyBorder="1" applyAlignment="1">
      <alignment horizontal="center"/>
    </xf>
    <xf numFmtId="164" fontId="36" fillId="0" borderId="50" xfId="0" applyNumberFormat="1" applyFont="1" applyBorder="1" applyAlignment="1">
      <alignment horizontal="center"/>
    </xf>
    <xf numFmtId="0" fontId="58" fillId="9" borderId="17" xfId="0" applyFont="1" applyFill="1" applyBorder="1" applyAlignment="1">
      <alignment horizontal="center" vertical="center"/>
    </xf>
    <xf numFmtId="0" fontId="58" fillId="9" borderId="171" xfId="0" applyFont="1" applyFill="1" applyBorder="1" applyAlignment="1">
      <alignment horizontal="center" vertical="center"/>
    </xf>
    <xf numFmtId="0" fontId="19" fillId="4" borderId="41" xfId="0" applyFont="1" applyFill="1" applyBorder="1"/>
    <xf numFmtId="0" fontId="19" fillId="4" borderId="25" xfId="0" applyFont="1" applyFill="1" applyBorder="1"/>
    <xf numFmtId="0" fontId="19" fillId="4" borderId="46" xfId="0" applyFont="1" applyFill="1" applyBorder="1"/>
    <xf numFmtId="0" fontId="10" fillId="0" borderId="251" xfId="0" applyFont="1" applyBorder="1"/>
    <xf numFmtId="164" fontId="36" fillId="0" borderId="252" xfId="0" applyNumberFormat="1" applyFont="1" applyBorder="1" applyAlignment="1">
      <alignment horizontal="center"/>
    </xf>
    <xf numFmtId="0" fontId="10" fillId="9" borderId="251" xfId="0" applyFont="1" applyFill="1" applyBorder="1"/>
    <xf numFmtId="164" fontId="36" fillId="9" borderId="252" xfId="0" applyNumberFormat="1" applyFont="1" applyFill="1" applyBorder="1" applyAlignment="1">
      <alignment horizontal="center"/>
    </xf>
    <xf numFmtId="0" fontId="37" fillId="0" borderId="251" xfId="0" applyFont="1" applyBorder="1"/>
    <xf numFmtId="0" fontId="37" fillId="9" borderId="251" xfId="0" applyFont="1" applyFill="1" applyBorder="1"/>
    <xf numFmtId="166" fontId="110" fillId="9" borderId="251" xfId="0" applyNumberFormat="1" applyFont="1" applyFill="1" applyBorder="1" applyAlignment="1">
      <alignment horizontal="center"/>
    </xf>
    <xf numFmtId="166" fontId="17" fillId="9" borderId="251" xfId="0" applyNumberFormat="1" applyFont="1" applyFill="1" applyBorder="1" applyAlignment="1">
      <alignment vertical="center"/>
    </xf>
    <xf numFmtId="164" fontId="73" fillId="9" borderId="252" xfId="0" applyNumberFormat="1" applyFont="1" applyFill="1" applyBorder="1" applyAlignment="1">
      <alignment horizontal="center"/>
    </xf>
    <xf numFmtId="166" fontId="110" fillId="0" borderId="251" xfId="0" applyNumberFormat="1" applyFont="1" applyBorder="1" applyAlignment="1">
      <alignment horizontal="center"/>
    </xf>
    <xf numFmtId="166" fontId="17" fillId="0" borderId="251" xfId="0" applyNumberFormat="1" applyFont="1" applyBorder="1" applyAlignment="1">
      <alignment vertical="center"/>
    </xf>
    <xf numFmtId="164" fontId="73" fillId="0" borderId="252" xfId="0" applyNumberFormat="1" applyFont="1" applyBorder="1" applyAlignment="1">
      <alignment horizontal="center"/>
    </xf>
    <xf numFmtId="0" fontId="73" fillId="0" borderId="253" xfId="0" applyFont="1" applyBorder="1" applyAlignment="1">
      <alignment horizontal="left"/>
    </xf>
    <xf numFmtId="0" fontId="10" fillId="3" borderId="254" xfId="0" applyFont="1" applyFill="1" applyBorder="1"/>
    <xf numFmtId="0" fontId="10" fillId="3" borderId="255" xfId="0" applyFont="1" applyFill="1" applyBorder="1"/>
    <xf numFmtId="0" fontId="10" fillId="3" borderId="256" xfId="0" applyFont="1" applyFill="1" applyBorder="1"/>
    <xf numFmtId="169" fontId="73" fillId="0" borderId="257" xfId="0" applyNumberFormat="1" applyFont="1" applyBorder="1" applyAlignment="1">
      <alignment horizontal="left"/>
    </xf>
    <xf numFmtId="0" fontId="36" fillId="0" borderId="257" xfId="0" applyFont="1" applyBorder="1" applyAlignment="1">
      <alignment vertical="center"/>
    </xf>
    <xf numFmtId="0" fontId="36" fillId="0" borderId="247" xfId="0" applyFont="1" applyBorder="1" applyAlignment="1">
      <alignment horizontal="left"/>
    </xf>
    <xf numFmtId="0" fontId="73" fillId="0" borderId="247" xfId="0" applyFont="1" applyBorder="1" applyAlignment="1">
      <alignment horizontal="left"/>
    </xf>
    <xf numFmtId="164" fontId="73" fillId="0" borderId="258" xfId="0" applyNumberFormat="1" applyFont="1" applyBorder="1" applyAlignment="1">
      <alignment horizontal="center"/>
    </xf>
    <xf numFmtId="164" fontId="73" fillId="0" borderId="259" xfId="0" applyNumberFormat="1" applyFont="1" applyBorder="1" applyAlignment="1">
      <alignment horizontal="center"/>
    </xf>
    <xf numFmtId="0" fontId="36" fillId="0" borderId="247" xfId="0" applyFont="1" applyBorder="1" applyAlignment="1">
      <alignment vertical="center"/>
    </xf>
    <xf numFmtId="166" fontId="36" fillId="0" borderId="249" xfId="0" applyNumberFormat="1" applyFont="1" applyBorder="1" applyAlignment="1">
      <alignment horizontal="center" vertical="center"/>
    </xf>
    <xf numFmtId="166" fontId="36" fillId="0" borderId="250" xfId="0" applyNumberFormat="1" applyFont="1" applyBorder="1" applyAlignment="1">
      <alignment horizontal="center" vertical="center"/>
    </xf>
    <xf numFmtId="169" fontId="73" fillId="0" borderId="247" xfId="0" applyNumberFormat="1" applyFont="1" applyBorder="1" applyAlignment="1">
      <alignment horizontal="left"/>
    </xf>
    <xf numFmtId="166" fontId="36" fillId="0" borderId="15" xfId="0" applyNumberFormat="1" applyFont="1" applyBorder="1" applyAlignment="1">
      <alignment horizontal="center"/>
    </xf>
    <xf numFmtId="0" fontId="36" fillId="0" borderId="251" xfId="0" applyFont="1" applyBorder="1" applyAlignment="1">
      <alignment horizontal="center"/>
    </xf>
    <xf numFmtId="0" fontId="36" fillId="0" borderId="260" xfId="0" applyFont="1" applyBorder="1" applyAlignment="1">
      <alignment horizontal="center"/>
    </xf>
    <xf numFmtId="0" fontId="36" fillId="0" borderId="252" xfId="0" applyFont="1" applyBorder="1" applyAlignment="1">
      <alignment horizontal="center"/>
    </xf>
    <xf numFmtId="0" fontId="26" fillId="0" borderId="17" xfId="0" applyFont="1" applyBorder="1"/>
    <xf numFmtId="164" fontId="36" fillId="0" borderId="249" xfId="0" applyNumberFormat="1" applyFont="1" applyBorder="1" applyAlignment="1">
      <alignment horizontal="center" vertical="center"/>
    </xf>
    <xf numFmtId="164" fontId="36" fillId="0" borderId="250" xfId="0" applyNumberFormat="1" applyFont="1" applyBorder="1" applyAlignment="1">
      <alignment horizontal="center" vertical="center"/>
    </xf>
    <xf numFmtId="164" fontId="36" fillId="0" borderId="261" xfId="0" applyNumberFormat="1" applyFont="1" applyBorder="1" applyAlignment="1">
      <alignment horizontal="center" vertical="center"/>
    </xf>
    <xf numFmtId="164" fontId="36" fillId="0" borderId="262" xfId="0" applyNumberFormat="1" applyFont="1" applyBorder="1" applyAlignment="1">
      <alignment horizontal="center" vertical="center"/>
    </xf>
    <xf numFmtId="0" fontId="26" fillId="0" borderId="128" xfId="0" applyFont="1" applyBorder="1"/>
    <xf numFmtId="166" fontId="36" fillId="0" borderId="137" xfId="0" applyNumberFormat="1" applyFont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164" fontId="36" fillId="0" borderId="31" xfId="0" applyNumberFormat="1" applyFont="1" applyBorder="1" applyAlignment="1">
      <alignment horizontal="center"/>
    </xf>
    <xf numFmtId="0" fontId="24" fillId="0" borderId="43" xfId="0" applyFont="1" applyBorder="1"/>
    <xf numFmtId="0" fontId="26" fillId="0" borderId="251" xfId="0" applyFont="1" applyBorder="1" applyAlignment="1">
      <alignment horizontal="center"/>
    </xf>
    <xf numFmtId="0" fontId="36" fillId="0" borderId="254" xfId="0" applyFont="1" applyBorder="1" applyAlignment="1">
      <alignment horizontal="center"/>
    </xf>
    <xf numFmtId="0" fontId="36" fillId="0" borderId="263" xfId="0" applyFont="1" applyBorder="1" applyAlignment="1">
      <alignment horizontal="center"/>
    </xf>
    <xf numFmtId="0" fontId="36" fillId="0" borderId="264" xfId="0" applyFont="1" applyBorder="1" applyAlignment="1">
      <alignment horizontal="center"/>
    </xf>
    <xf numFmtId="0" fontId="36" fillId="0" borderId="265" xfId="0" applyFont="1" applyBorder="1" applyAlignment="1">
      <alignment horizontal="center"/>
    </xf>
    <xf numFmtId="0" fontId="36" fillId="0" borderId="266" xfId="0" applyFont="1" applyBorder="1" applyAlignment="1">
      <alignment horizontal="center"/>
    </xf>
    <xf numFmtId="164" fontId="74" fillId="0" borderId="0" xfId="0" applyNumberFormat="1" applyFont="1" applyAlignment="1">
      <alignment horizontal="center"/>
    </xf>
    <xf numFmtId="164" fontId="74" fillId="0" borderId="16" xfId="0" applyNumberFormat="1" applyFont="1" applyBorder="1" applyAlignment="1">
      <alignment horizontal="center"/>
    </xf>
    <xf numFmtId="0" fontId="26" fillId="0" borderId="263" xfId="0" applyFont="1" applyBorder="1" applyAlignment="1">
      <alignment horizontal="center"/>
    </xf>
    <xf numFmtId="0" fontId="10" fillId="0" borderId="257" xfId="0" applyFont="1" applyBorder="1"/>
    <xf numFmtId="0" fontId="14" fillId="0" borderId="252" xfId="0" applyFont="1" applyBorder="1" applyAlignment="1">
      <alignment horizontal="center" vertical="center"/>
    </xf>
    <xf numFmtId="0" fontId="58" fillId="0" borderId="257" xfId="0" applyFont="1" applyBorder="1" applyAlignment="1">
      <alignment horizontal="center"/>
    </xf>
    <xf numFmtId="0" fontId="58" fillId="0" borderId="264" xfId="0" applyFont="1" applyBorder="1" applyAlignment="1">
      <alignment horizontal="center"/>
    </xf>
    <xf numFmtId="0" fontId="36" fillId="0" borderId="13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116" fillId="0" borderId="23" xfId="0" applyFont="1" applyBorder="1" applyAlignment="1">
      <alignment vertical="center"/>
    </xf>
    <xf numFmtId="0" fontId="122" fillId="0" borderId="13" xfId="0" applyFont="1" applyBorder="1" applyAlignment="1">
      <alignment vertical="center"/>
    </xf>
    <xf numFmtId="0" fontId="123" fillId="0" borderId="24" xfId="0" applyFont="1" applyBorder="1" applyAlignment="1">
      <alignment vertical="center"/>
    </xf>
    <xf numFmtId="0" fontId="124" fillId="0" borderId="0" xfId="0" applyFont="1"/>
    <xf numFmtId="0" fontId="124" fillId="0" borderId="14" xfId="0" applyFont="1" applyBorder="1"/>
    <xf numFmtId="0" fontId="10" fillId="0" borderId="0" xfId="0" applyFont="1" applyAlignment="1">
      <alignment horizontal="center" vertical="center"/>
    </xf>
    <xf numFmtId="164" fontId="26" fillId="0" borderId="14" xfId="0" applyNumberFormat="1" applyFont="1" applyBorder="1" applyAlignment="1">
      <alignment horizontal="center" vertical="center"/>
    </xf>
    <xf numFmtId="0" fontId="88" fillId="0" borderId="0" xfId="0" applyFont="1"/>
    <xf numFmtId="0" fontId="10" fillId="0" borderId="122" xfId="0" applyFont="1" applyBorder="1"/>
    <xf numFmtId="172" fontId="129" fillId="0" borderId="0" xfId="0" applyNumberFormat="1" applyFont="1" applyAlignment="1">
      <alignment horizontal="left"/>
    </xf>
    <xf numFmtId="168" fontId="58" fillId="0" borderId="42" xfId="0" quotePrefix="1" applyNumberFormat="1" applyFont="1" applyBorder="1" applyAlignment="1">
      <alignment horizontal="center"/>
    </xf>
    <xf numFmtId="168" fontId="73" fillId="0" borderId="224" xfId="0" applyNumberFormat="1" applyFont="1" applyBorder="1" applyAlignment="1">
      <alignment horizontal="center"/>
    </xf>
    <xf numFmtId="168" fontId="73" fillId="0" borderId="18" xfId="0" applyNumberFormat="1" applyFont="1" applyBorder="1" applyAlignment="1">
      <alignment horizontal="center"/>
    </xf>
    <xf numFmtId="168" fontId="73" fillId="0" borderId="43" xfId="0" applyNumberFormat="1" applyFont="1" applyBorder="1" applyAlignment="1">
      <alignment horizontal="center"/>
    </xf>
    <xf numFmtId="164" fontId="73" fillId="0" borderId="2" xfId="0" applyNumberFormat="1" applyFont="1" applyBorder="1" applyAlignment="1">
      <alignment horizontal="center"/>
    </xf>
    <xf numFmtId="164" fontId="73" fillId="0" borderId="137" xfId="0" applyNumberFormat="1" applyFont="1" applyBorder="1" applyAlignment="1">
      <alignment horizontal="center"/>
    </xf>
    <xf numFmtId="168" fontId="73" fillId="0" borderId="267" xfId="0" applyNumberFormat="1" applyFont="1" applyBorder="1" applyAlignment="1">
      <alignment horizontal="center"/>
    </xf>
    <xf numFmtId="0" fontId="10" fillId="27" borderId="0" xfId="0" applyFont="1" applyFill="1"/>
    <xf numFmtId="164" fontId="36" fillId="27" borderId="14" xfId="0" applyNumberFormat="1" applyFont="1" applyFill="1" applyBorder="1" applyAlignment="1">
      <alignment horizontal="center"/>
    </xf>
    <xf numFmtId="0" fontId="26" fillId="27" borderId="0" xfId="0" applyFont="1" applyFill="1" applyAlignment="1">
      <alignment horizontal="left"/>
    </xf>
    <xf numFmtId="0" fontId="11" fillId="27" borderId="0" xfId="0" applyFont="1" applyFill="1"/>
    <xf numFmtId="0" fontId="11" fillId="27" borderId="16" xfId="0" applyFont="1" applyFill="1" applyBorder="1"/>
    <xf numFmtId="164" fontId="26" fillId="27" borderId="14" xfId="0" applyNumberFormat="1" applyFont="1" applyFill="1" applyBorder="1" applyAlignment="1">
      <alignment horizontal="center"/>
    </xf>
    <xf numFmtId="0" fontId="88" fillId="0" borderId="0" xfId="0" applyFont="1" applyAlignment="1">
      <alignment horizontal="left" vertical="center"/>
    </xf>
    <xf numFmtId="0" fontId="81" fillId="4" borderId="46" xfId="0" applyFont="1" applyFill="1" applyBorder="1" applyAlignment="1">
      <alignment horizontal="center"/>
    </xf>
    <xf numFmtId="0" fontId="36" fillId="27" borderId="0" xfId="0" applyFont="1" applyFill="1"/>
    <xf numFmtId="164" fontId="73" fillId="0" borderId="268" xfId="0" applyNumberFormat="1" applyFont="1" applyBorder="1" applyAlignment="1">
      <alignment horizontal="center"/>
    </xf>
    <xf numFmtId="0" fontId="58" fillId="0" borderId="260" xfId="0" applyFont="1" applyBorder="1"/>
    <xf numFmtId="0" fontId="58" fillId="9" borderId="260" xfId="0" applyFont="1" applyFill="1" applyBorder="1"/>
    <xf numFmtId="166" fontId="58" fillId="9" borderId="260" xfId="0" applyNumberFormat="1" applyFont="1" applyFill="1" applyBorder="1" applyAlignment="1">
      <alignment horizontal="left"/>
    </xf>
    <xf numFmtId="166" fontId="58" fillId="0" borderId="260" xfId="0" applyNumberFormat="1" applyFont="1" applyBorder="1" applyAlignment="1">
      <alignment horizontal="left"/>
    </xf>
    <xf numFmtId="164" fontId="73" fillId="0" borderId="257" xfId="0" applyNumberFormat="1" applyFont="1" applyBorder="1" applyAlignment="1">
      <alignment horizontal="center"/>
    </xf>
    <xf numFmtId="164" fontId="26" fillId="0" borderId="14" xfId="0" applyNumberFormat="1" applyFont="1" applyBorder="1" applyAlignment="1">
      <alignment horizontal="center"/>
    </xf>
    <xf numFmtId="10" fontId="26" fillId="21" borderId="165" xfId="0" applyNumberFormat="1" applyFont="1" applyFill="1" applyBorder="1" applyAlignment="1">
      <alignment horizontal="center"/>
    </xf>
    <xf numFmtId="10" fontId="26" fillId="21" borderId="16" xfId="0" applyNumberFormat="1" applyFont="1" applyFill="1" applyBorder="1" applyAlignment="1">
      <alignment horizontal="center"/>
    </xf>
    <xf numFmtId="10" fontId="26" fillId="21" borderId="22" xfId="0" applyNumberFormat="1" applyFont="1" applyFill="1" applyBorder="1" applyAlignment="1">
      <alignment horizontal="center"/>
    </xf>
    <xf numFmtId="0" fontId="24" fillId="0" borderId="132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24" fillId="0" borderId="133" xfId="0" applyFont="1" applyBorder="1" applyAlignment="1">
      <alignment horizontal="center"/>
    </xf>
    <xf numFmtId="0" fontId="48" fillId="0" borderId="194" xfId="0" applyFont="1" applyBorder="1" applyAlignment="1">
      <alignment horizontal="center"/>
    </xf>
    <xf numFmtId="0" fontId="48" fillId="0" borderId="36" xfId="0" applyFont="1" applyBorder="1" applyAlignment="1">
      <alignment horizontal="center"/>
    </xf>
    <xf numFmtId="0" fontId="48" fillId="0" borderId="195" xfId="0" applyFont="1" applyBorder="1" applyAlignment="1">
      <alignment horizontal="center"/>
    </xf>
    <xf numFmtId="0" fontId="24" fillId="0" borderId="194" xfId="0" applyFont="1" applyBorder="1" applyAlignment="1">
      <alignment horizontal="center"/>
    </xf>
    <xf numFmtId="0" fontId="24" fillId="0" borderId="36" xfId="0" applyFont="1" applyBorder="1" applyAlignment="1">
      <alignment horizontal="center"/>
    </xf>
    <xf numFmtId="0" fontId="24" fillId="0" borderId="195" xfId="0" applyFont="1" applyBorder="1" applyAlignment="1">
      <alignment horizontal="center"/>
    </xf>
    <xf numFmtId="0" fontId="26" fillId="0" borderId="41" xfId="0" applyFont="1" applyBorder="1" applyAlignment="1">
      <alignment horizontal="center"/>
    </xf>
    <xf numFmtId="0" fontId="26" fillId="0" borderId="25" xfId="0" applyFont="1" applyBorder="1" applyAlignment="1">
      <alignment horizontal="center"/>
    </xf>
    <xf numFmtId="0" fontId="26" fillId="0" borderId="58" xfId="0" applyFont="1" applyBorder="1" applyAlignment="1">
      <alignment horizontal="center"/>
    </xf>
    <xf numFmtId="0" fontId="26" fillId="2" borderId="166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26" fillId="2" borderId="24" xfId="0" applyFont="1" applyFill="1" applyBorder="1" applyAlignment="1">
      <alignment horizontal="center" vertical="center"/>
    </xf>
    <xf numFmtId="10" fontId="26" fillId="2" borderId="165" xfId="0" applyNumberFormat="1" applyFont="1" applyFill="1" applyBorder="1" applyAlignment="1">
      <alignment horizontal="center"/>
    </xf>
    <xf numFmtId="10" fontId="26" fillId="2" borderId="16" xfId="0" applyNumberFormat="1" applyFont="1" applyFill="1" applyBorder="1" applyAlignment="1">
      <alignment horizontal="center"/>
    </xf>
    <xf numFmtId="10" fontId="26" fillId="2" borderId="22" xfId="0" applyNumberFormat="1" applyFont="1" applyFill="1" applyBorder="1" applyAlignment="1">
      <alignment horizontal="center"/>
    </xf>
    <xf numFmtId="0" fontId="26" fillId="21" borderId="166" xfId="0" applyFont="1" applyFill="1" applyBorder="1" applyAlignment="1">
      <alignment horizontal="center"/>
    </xf>
    <xf numFmtId="0" fontId="26" fillId="21" borderId="13" xfId="0" applyFont="1" applyFill="1" applyBorder="1" applyAlignment="1">
      <alignment horizontal="center"/>
    </xf>
    <xf numFmtId="0" fontId="26" fillId="21" borderId="24" xfId="0" applyFont="1" applyFill="1" applyBorder="1" applyAlignment="1">
      <alignment horizontal="center"/>
    </xf>
    <xf numFmtId="0" fontId="26" fillId="0" borderId="59" xfId="0" applyFont="1" applyBorder="1" applyAlignment="1">
      <alignment horizontal="center"/>
    </xf>
    <xf numFmtId="0" fontId="26" fillId="0" borderId="46" xfId="0" applyFont="1" applyBorder="1" applyAlignment="1">
      <alignment horizontal="center"/>
    </xf>
    <xf numFmtId="0" fontId="39" fillId="4" borderId="132" xfId="0" applyFont="1" applyFill="1" applyBorder="1" applyAlignment="1">
      <alignment horizontal="center" vertical="center"/>
    </xf>
    <xf numFmtId="0" fontId="39" fillId="4" borderId="34" xfId="0" applyFont="1" applyFill="1" applyBorder="1" applyAlignment="1">
      <alignment horizontal="center" vertical="center"/>
    </xf>
    <xf numFmtId="0" fontId="39" fillId="4" borderId="133" xfId="0" applyFont="1" applyFill="1" applyBorder="1" applyAlignment="1">
      <alignment horizontal="center" vertical="center"/>
    </xf>
    <xf numFmtId="0" fontId="24" fillId="12" borderId="166" xfId="0" applyFont="1" applyFill="1" applyBorder="1" applyAlignment="1">
      <alignment horizontal="center"/>
    </xf>
    <xf numFmtId="0" fontId="24" fillId="12" borderId="13" xfId="0" applyFont="1" applyFill="1" applyBorder="1" applyAlignment="1">
      <alignment horizontal="center"/>
    </xf>
    <xf numFmtId="0" fontId="24" fillId="12" borderId="131" xfId="0" applyFont="1" applyFill="1" applyBorder="1" applyAlignment="1">
      <alignment horizontal="center"/>
    </xf>
    <xf numFmtId="0" fontId="24" fillId="12" borderId="239" xfId="0" applyFont="1" applyFill="1" applyBorder="1" applyAlignment="1">
      <alignment horizontal="center"/>
    </xf>
    <xf numFmtId="0" fontId="24" fillId="12" borderId="37" xfId="0" applyFont="1" applyFill="1" applyBorder="1" applyAlignment="1">
      <alignment horizontal="center"/>
    </xf>
    <xf numFmtId="0" fontId="24" fillId="12" borderId="38" xfId="0" applyFont="1" applyFill="1" applyBorder="1" applyAlignment="1">
      <alignment horizontal="center"/>
    </xf>
    <xf numFmtId="0" fontId="24" fillId="12" borderId="0" xfId="0" applyFont="1" applyFill="1" applyAlignment="1">
      <alignment horizontal="center"/>
    </xf>
    <xf numFmtId="0" fontId="24" fillId="12" borderId="164" xfId="0" applyFont="1" applyFill="1" applyBorder="1" applyAlignment="1">
      <alignment horizontal="center"/>
    </xf>
    <xf numFmtId="0" fontId="26" fillId="0" borderId="232" xfId="0" applyFont="1" applyBorder="1" applyAlignment="1">
      <alignment horizontal="center"/>
    </xf>
    <xf numFmtId="0" fontId="26" fillId="0" borderId="57" xfId="0" applyFont="1" applyBorder="1" applyAlignment="1">
      <alignment horizontal="center"/>
    </xf>
    <xf numFmtId="0" fontId="26" fillId="0" borderId="233" xfId="0" applyFont="1" applyBorder="1" applyAlignment="1">
      <alignment horizontal="center"/>
    </xf>
    <xf numFmtId="0" fontId="24" fillId="12" borderId="167" xfId="0" applyFont="1" applyFill="1" applyBorder="1" applyAlignment="1">
      <alignment horizontal="center"/>
    </xf>
    <xf numFmtId="0" fontId="24" fillId="12" borderId="167" xfId="0" applyFont="1" applyFill="1" applyBorder="1" applyAlignment="1">
      <alignment horizontal="center" vertical="center"/>
    </xf>
    <xf numFmtId="0" fontId="24" fillId="12" borderId="0" xfId="0" applyFont="1" applyFill="1" applyAlignment="1">
      <alignment horizontal="center" vertical="center"/>
    </xf>
    <xf numFmtId="0" fontId="24" fillId="12" borderId="164" xfId="0" applyFont="1" applyFill="1" applyBorder="1" applyAlignment="1">
      <alignment horizontal="center" vertical="center"/>
    </xf>
    <xf numFmtId="0" fontId="39" fillId="4" borderId="194" xfId="0" applyFont="1" applyFill="1" applyBorder="1" applyAlignment="1">
      <alignment horizontal="center" vertical="center"/>
    </xf>
    <xf numFmtId="0" fontId="39" fillId="4" borderId="36" xfId="0" applyFont="1" applyFill="1" applyBorder="1" applyAlignment="1">
      <alignment horizontal="center" vertical="center"/>
    </xf>
    <xf numFmtId="0" fontId="39" fillId="4" borderId="195" xfId="0" applyFont="1" applyFill="1" applyBorder="1" applyAlignment="1">
      <alignment horizontal="center" vertical="center"/>
    </xf>
    <xf numFmtId="0" fontId="24" fillId="12" borderId="168" xfId="0" applyFont="1" applyFill="1" applyBorder="1" applyAlignment="1">
      <alignment horizontal="center"/>
    </xf>
    <xf numFmtId="0" fontId="24" fillId="12" borderId="35" xfId="0" applyFont="1" applyFill="1" applyBorder="1" applyAlignment="1">
      <alignment horizontal="center"/>
    </xf>
    <xf numFmtId="0" fontId="112" fillId="12" borderId="194" xfId="0" applyFont="1" applyFill="1" applyBorder="1" applyAlignment="1">
      <alignment horizontal="center"/>
    </xf>
    <xf numFmtId="0" fontId="112" fillId="12" borderId="36" xfId="0" applyFont="1" applyFill="1" applyBorder="1" applyAlignment="1">
      <alignment horizontal="center"/>
    </xf>
    <xf numFmtId="0" fontId="112" fillId="12" borderId="195" xfId="0" applyFont="1" applyFill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64" xfId="0" applyFont="1" applyBorder="1" applyAlignment="1">
      <alignment horizontal="center"/>
    </xf>
    <xf numFmtId="0" fontId="26" fillId="0" borderId="0" xfId="0" applyFont="1" applyAlignment="1">
      <alignment horizontal="right"/>
    </xf>
    <xf numFmtId="0" fontId="24" fillId="12" borderId="132" xfId="0" applyFont="1" applyFill="1" applyBorder="1" applyAlignment="1">
      <alignment horizontal="center"/>
    </xf>
    <xf numFmtId="0" fontId="24" fillId="12" borderId="34" xfId="0" applyFont="1" applyFill="1" applyBorder="1" applyAlignment="1">
      <alignment horizontal="center"/>
    </xf>
    <xf numFmtId="0" fontId="24" fillId="12" borderId="36" xfId="0" applyFont="1" applyFill="1" applyBorder="1" applyAlignment="1">
      <alignment horizontal="center"/>
    </xf>
    <xf numFmtId="0" fontId="24" fillId="12" borderId="195" xfId="0" applyFont="1" applyFill="1" applyBorder="1" applyAlignment="1">
      <alignment horizontal="center"/>
    </xf>
    <xf numFmtId="0" fontId="112" fillId="12" borderId="35" xfId="0" applyFont="1" applyFill="1" applyBorder="1" applyAlignment="1">
      <alignment horizontal="center"/>
    </xf>
    <xf numFmtId="0" fontId="112" fillId="12" borderId="39" xfId="0" applyFont="1" applyFill="1" applyBorder="1" applyAlignment="1">
      <alignment horizontal="center"/>
    </xf>
    <xf numFmtId="0" fontId="26" fillId="0" borderId="42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6" fillId="0" borderId="43" xfId="0" applyFont="1" applyBorder="1" applyAlignment="1">
      <alignment horizontal="center"/>
    </xf>
    <xf numFmtId="0" fontId="26" fillId="0" borderId="133" xfId="0" applyFont="1" applyBorder="1" applyAlignment="1">
      <alignment horizontal="center"/>
    </xf>
    <xf numFmtId="0" fontId="74" fillId="0" borderId="4" xfId="1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74" fillId="0" borderId="5" xfId="0" applyFont="1" applyBorder="1" applyAlignment="1">
      <alignment horizontal="center" vertical="center"/>
    </xf>
    <xf numFmtId="0" fontId="35" fillId="4" borderId="223" xfId="0" applyFont="1" applyFill="1" applyBorder="1" applyAlignment="1">
      <alignment horizontal="center" vertical="center"/>
    </xf>
    <xf numFmtId="0" fontId="35" fillId="4" borderId="220" xfId="0" applyFont="1" applyFill="1" applyBorder="1" applyAlignment="1">
      <alignment horizontal="center" vertical="center"/>
    </xf>
    <xf numFmtId="0" fontId="35" fillId="4" borderId="222" xfId="0" applyFont="1" applyFill="1" applyBorder="1" applyAlignment="1">
      <alignment horizontal="center" vertical="center"/>
    </xf>
    <xf numFmtId="0" fontId="73" fillId="0" borderId="2" xfId="0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3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73" fillId="0" borderId="98" xfId="2" applyFont="1" applyBorder="1" applyAlignment="1">
      <alignment horizontal="center"/>
    </xf>
    <xf numFmtId="0" fontId="73" fillId="0" borderId="8" xfId="2" applyFont="1" applyBorder="1" applyAlignment="1">
      <alignment horizontal="center"/>
    </xf>
    <xf numFmtId="0" fontId="73" fillId="0" borderId="217" xfId="2" applyFont="1" applyBorder="1" applyAlignment="1">
      <alignment horizontal="center"/>
    </xf>
    <xf numFmtId="0" fontId="73" fillId="0" borderId="218" xfId="2" applyFont="1" applyBorder="1" applyAlignment="1">
      <alignment horizontal="center"/>
    </xf>
    <xf numFmtId="0" fontId="73" fillId="0" borderId="99" xfId="2" applyFont="1" applyBorder="1" applyAlignment="1">
      <alignment horizontal="center"/>
    </xf>
    <xf numFmtId="0" fontId="73" fillId="0" borderId="219" xfId="2" applyFont="1" applyBorder="1" applyAlignment="1">
      <alignment horizontal="center"/>
    </xf>
    <xf numFmtId="0" fontId="58" fillId="0" borderId="15" xfId="0" applyFont="1" applyBorder="1" applyAlignment="1">
      <alignment horizontal="center"/>
    </xf>
    <xf numFmtId="0" fontId="58" fillId="0" borderId="16" xfId="0" applyFont="1" applyBorder="1" applyAlignment="1">
      <alignment horizontal="center"/>
    </xf>
    <xf numFmtId="0" fontId="58" fillId="0" borderId="22" xfId="0" applyFont="1" applyBorder="1" applyAlignment="1">
      <alignment horizontal="center"/>
    </xf>
    <xf numFmtId="0" fontId="33" fillId="3" borderId="41" xfId="0" applyFont="1" applyFill="1" applyBorder="1" applyAlignment="1">
      <alignment horizontal="center"/>
    </xf>
    <xf numFmtId="0" fontId="33" fillId="3" borderId="25" xfId="0" applyFont="1" applyFill="1" applyBorder="1" applyAlignment="1">
      <alignment horizontal="center"/>
    </xf>
    <xf numFmtId="0" fontId="33" fillId="3" borderId="46" xfId="0" applyFont="1" applyFill="1" applyBorder="1" applyAlignment="1">
      <alignment horizontal="center"/>
    </xf>
    <xf numFmtId="6" fontId="36" fillId="0" borderId="25" xfId="0" applyNumberFormat="1" applyFont="1" applyBorder="1" applyAlignment="1">
      <alignment horizontal="center"/>
    </xf>
    <xf numFmtId="6" fontId="36" fillId="0" borderId="46" xfId="0" applyNumberFormat="1" applyFont="1" applyBorder="1" applyAlignment="1">
      <alignment horizontal="center"/>
    </xf>
    <xf numFmtId="0" fontId="35" fillId="3" borderId="96" xfId="0" applyFont="1" applyFill="1" applyBorder="1" applyAlignment="1">
      <alignment horizontal="center" vertical="center"/>
    </xf>
    <xf numFmtId="0" fontId="35" fillId="3" borderId="27" xfId="0" applyFont="1" applyFill="1" applyBorder="1" applyAlignment="1">
      <alignment horizontal="center" vertical="center"/>
    </xf>
    <xf numFmtId="0" fontId="35" fillId="3" borderId="84" xfId="0" applyFont="1" applyFill="1" applyBorder="1" applyAlignment="1">
      <alignment horizontal="center" vertical="center"/>
    </xf>
    <xf numFmtId="0" fontId="35" fillId="3" borderId="23" xfId="0" quotePrefix="1" applyFont="1" applyFill="1" applyBorder="1" applyAlignment="1">
      <alignment horizontal="center"/>
    </xf>
    <xf numFmtId="0" fontId="35" fillId="3" borderId="13" xfId="0" quotePrefix="1" applyFont="1" applyFill="1" applyBorder="1" applyAlignment="1">
      <alignment horizontal="center"/>
    </xf>
    <xf numFmtId="0" fontId="35" fillId="3" borderId="24" xfId="0" quotePrefix="1" applyFont="1" applyFill="1" applyBorder="1" applyAlignment="1">
      <alignment horizontal="center"/>
    </xf>
    <xf numFmtId="0" fontId="98" fillId="0" borderId="15" xfId="1" applyFont="1" applyBorder="1" applyAlignment="1">
      <alignment horizontal="center"/>
    </xf>
    <xf numFmtId="0" fontId="98" fillId="0" borderId="16" xfId="1" applyFont="1" applyBorder="1" applyAlignment="1">
      <alignment horizontal="center"/>
    </xf>
    <xf numFmtId="0" fontId="98" fillId="0" borderId="22" xfId="1" applyFont="1" applyBorder="1" applyAlignment="1">
      <alignment horizontal="center"/>
    </xf>
    <xf numFmtId="0" fontId="35" fillId="3" borderId="98" xfId="0" applyFont="1" applyFill="1" applyBorder="1" applyAlignment="1">
      <alignment horizontal="center" vertical="center"/>
    </xf>
    <xf numFmtId="0" fontId="35" fillId="3" borderId="7" xfId="0" applyFont="1" applyFill="1" applyBorder="1" applyAlignment="1">
      <alignment horizontal="center" vertical="center"/>
    </xf>
    <xf numFmtId="0" fontId="35" fillId="3" borderId="55" xfId="0" applyFont="1" applyFill="1" applyBorder="1" applyAlignment="1">
      <alignment horizontal="center" vertical="center"/>
    </xf>
    <xf numFmtId="0" fontId="35" fillId="3" borderId="41" xfId="0" quotePrefix="1" applyFont="1" applyFill="1" applyBorder="1" applyAlignment="1">
      <alignment horizontal="center"/>
    </xf>
    <xf numFmtId="0" fontId="35" fillId="3" borderId="25" xfId="0" quotePrefix="1" applyFont="1" applyFill="1" applyBorder="1" applyAlignment="1">
      <alignment horizontal="center"/>
    </xf>
    <xf numFmtId="0" fontId="35" fillId="3" borderId="46" xfId="0" quotePrefix="1" applyFont="1" applyFill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36" fillId="0" borderId="14" xfId="0" applyFont="1" applyBorder="1" applyAlignment="1">
      <alignment horizontal="center"/>
    </xf>
    <xf numFmtId="9" fontId="36" fillId="0" borderId="31" xfId="0" applyNumberFormat="1" applyFont="1" applyBorder="1" applyAlignment="1">
      <alignment horizontal="center"/>
    </xf>
    <xf numFmtId="9" fontId="36" fillId="0" borderId="14" xfId="0" applyNumberFormat="1" applyFont="1" applyBorder="1" applyAlignment="1">
      <alignment horizontal="center"/>
    </xf>
    <xf numFmtId="9" fontId="36" fillId="0" borderId="15" xfId="0" applyNumberFormat="1" applyFont="1" applyBorder="1" applyAlignment="1">
      <alignment horizontal="center"/>
    </xf>
    <xf numFmtId="9" fontId="36" fillId="0" borderId="22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166" fontId="36" fillId="0" borderId="2" xfId="0" applyNumberFormat="1" applyFont="1" applyBorder="1" applyAlignment="1">
      <alignment horizontal="center"/>
    </xf>
    <xf numFmtId="166" fontId="36" fillId="0" borderId="14" xfId="0" applyNumberFormat="1" applyFont="1" applyBorder="1" applyAlignment="1">
      <alignment horizontal="center"/>
    </xf>
    <xf numFmtId="166" fontId="36" fillId="0" borderId="15" xfId="0" applyNumberFormat="1" applyFont="1" applyBorder="1" applyAlignment="1">
      <alignment horizontal="center"/>
    </xf>
    <xf numFmtId="166" fontId="36" fillId="0" borderId="16" xfId="0" applyNumberFormat="1" applyFont="1" applyBorder="1" applyAlignment="1">
      <alignment horizontal="center"/>
    </xf>
    <xf numFmtId="166" fontId="36" fillId="0" borderId="128" xfId="0" applyNumberFormat="1" applyFont="1" applyBorder="1" applyAlignment="1">
      <alignment horizontal="center"/>
    </xf>
    <xf numFmtId="166" fontId="36" fillId="0" borderId="137" xfId="0" applyNumberFormat="1" applyFont="1" applyBorder="1" applyAlignment="1">
      <alignment horizontal="center"/>
    </xf>
    <xf numFmtId="166" fontId="36" fillId="0" borderId="22" xfId="0" applyNumberFormat="1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3" fillId="3" borderId="94" xfId="0" applyFont="1" applyFill="1" applyBorder="1" applyAlignment="1">
      <alignment horizontal="center"/>
    </xf>
    <xf numFmtId="0" fontId="33" fillId="3" borderId="57" xfId="0" applyFont="1" applyFill="1" applyBorder="1" applyAlignment="1">
      <alignment horizontal="center"/>
    </xf>
    <xf numFmtId="0" fontId="33" fillId="3" borderId="82" xfId="0" applyFont="1" applyFill="1" applyBorder="1" applyAlignment="1">
      <alignment horizontal="center"/>
    </xf>
    <xf numFmtId="0" fontId="26" fillId="17" borderId="31" xfId="0" quotePrefix="1" applyFont="1" applyFill="1" applyBorder="1" applyAlignment="1">
      <alignment horizontal="center"/>
    </xf>
    <xf numFmtId="0" fontId="26" fillId="17" borderId="0" xfId="0" quotePrefix="1" applyFont="1" applyFill="1" applyAlignment="1">
      <alignment horizontal="center"/>
    </xf>
    <xf numFmtId="0" fontId="26" fillId="17" borderId="14" xfId="0" quotePrefix="1" applyFont="1" applyFill="1" applyBorder="1" applyAlignment="1">
      <alignment horizontal="center"/>
    </xf>
    <xf numFmtId="0" fontId="33" fillId="3" borderId="42" xfId="0" quotePrefix="1" applyFont="1" applyFill="1" applyBorder="1" applyAlignment="1">
      <alignment horizontal="center"/>
    </xf>
    <xf numFmtId="0" fontId="33" fillId="3" borderId="18" xfId="0" quotePrefix="1" applyFont="1" applyFill="1" applyBorder="1" applyAlignment="1">
      <alignment horizontal="center"/>
    </xf>
    <xf numFmtId="0" fontId="33" fillId="3" borderId="43" xfId="0" quotePrefix="1" applyFont="1" applyFill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26" fillId="17" borderId="31" xfId="0" applyFont="1" applyFill="1" applyBorder="1" applyAlignment="1">
      <alignment horizontal="center"/>
    </xf>
    <xf numFmtId="0" fontId="26" fillId="17" borderId="0" xfId="0" applyFont="1" applyFill="1" applyAlignment="1">
      <alignment horizontal="center"/>
    </xf>
    <xf numFmtId="0" fontId="26" fillId="17" borderId="14" xfId="0" applyFont="1" applyFill="1" applyBorder="1" applyAlignment="1">
      <alignment horizontal="center"/>
    </xf>
    <xf numFmtId="0" fontId="39" fillId="4" borderId="41" xfId="0" applyFont="1" applyFill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/>
    </xf>
    <xf numFmtId="0" fontId="39" fillId="4" borderId="46" xfId="0" applyFont="1" applyFill="1" applyBorder="1" applyAlignment="1">
      <alignment horizontal="center" vertical="center"/>
    </xf>
    <xf numFmtId="0" fontId="33" fillId="4" borderId="42" xfId="0" quotePrefix="1" applyFont="1" applyFill="1" applyBorder="1" applyAlignment="1">
      <alignment horizontal="center"/>
    </xf>
    <xf numFmtId="0" fontId="33" fillId="4" borderId="18" xfId="0" quotePrefix="1" applyFont="1" applyFill="1" applyBorder="1" applyAlignment="1">
      <alignment horizontal="center"/>
    </xf>
    <xf numFmtId="0" fontId="33" fillId="4" borderId="43" xfId="0" quotePrefix="1" applyFont="1" applyFill="1" applyBorder="1" applyAlignment="1">
      <alignment horizontal="center"/>
    </xf>
    <xf numFmtId="0" fontId="26" fillId="2" borderId="23" xfId="0" applyFont="1" applyFill="1" applyBorder="1" applyAlignment="1">
      <alignment horizontal="center"/>
    </xf>
    <xf numFmtId="0" fontId="26" fillId="2" borderId="13" xfId="0" applyFont="1" applyFill="1" applyBorder="1" applyAlignment="1">
      <alignment horizontal="center"/>
    </xf>
    <xf numFmtId="0" fontId="26" fillId="2" borderId="24" xfId="0" applyFont="1" applyFill="1" applyBorder="1" applyAlignment="1">
      <alignment horizontal="center"/>
    </xf>
    <xf numFmtId="0" fontId="55" fillId="0" borderId="31" xfId="0" applyFont="1" applyBorder="1" applyAlignment="1">
      <alignment horizontal="center"/>
    </xf>
    <xf numFmtId="0" fontId="55" fillId="0" borderId="0" xfId="0" applyFont="1" applyAlignment="1">
      <alignment horizontal="center"/>
    </xf>
    <xf numFmtId="0" fontId="55" fillId="0" borderId="14" xfId="0" applyFont="1" applyBorder="1" applyAlignment="1">
      <alignment horizontal="center"/>
    </xf>
    <xf numFmtId="0" fontId="33" fillId="4" borderId="42" xfId="0" applyFont="1" applyFill="1" applyBorder="1" applyAlignment="1">
      <alignment horizontal="center"/>
    </xf>
    <xf numFmtId="0" fontId="33" fillId="4" borderId="18" xfId="0" applyFont="1" applyFill="1" applyBorder="1" applyAlignment="1">
      <alignment horizontal="center"/>
    </xf>
    <xf numFmtId="0" fontId="33" fillId="4" borderId="43" xfId="0" applyFont="1" applyFill="1" applyBorder="1" applyAlignment="1">
      <alignment horizontal="center"/>
    </xf>
    <xf numFmtId="0" fontId="35" fillId="3" borderId="23" xfId="0" applyFont="1" applyFill="1" applyBorder="1" applyAlignment="1">
      <alignment horizontal="center" vertical="center"/>
    </xf>
    <xf numFmtId="0" fontId="35" fillId="3" borderId="13" xfId="0" applyFont="1" applyFill="1" applyBorder="1" applyAlignment="1">
      <alignment horizontal="center" vertical="center"/>
    </xf>
    <xf numFmtId="0" fontId="35" fillId="3" borderId="24" xfId="0" applyFont="1" applyFill="1" applyBorder="1" applyAlignment="1">
      <alignment horizontal="center" vertical="center"/>
    </xf>
    <xf numFmtId="0" fontId="33" fillId="3" borderId="42" xfId="0" applyFont="1" applyFill="1" applyBorder="1" applyAlignment="1">
      <alignment horizontal="center"/>
    </xf>
    <xf numFmtId="0" fontId="33" fillId="3" borderId="18" xfId="0" applyFont="1" applyFill="1" applyBorder="1" applyAlignment="1">
      <alignment horizontal="center"/>
    </xf>
    <xf numFmtId="0" fontId="33" fillId="3" borderId="43" xfId="0" applyFont="1" applyFill="1" applyBorder="1" applyAlignment="1">
      <alignment horizontal="center"/>
    </xf>
    <xf numFmtId="0" fontId="56" fillId="2" borderId="23" xfId="0" applyFont="1" applyFill="1" applyBorder="1" applyAlignment="1">
      <alignment horizontal="center" vertical="center" wrapText="1"/>
    </xf>
    <xf numFmtId="0" fontId="56" fillId="2" borderId="13" xfId="0" applyFont="1" applyFill="1" applyBorder="1" applyAlignment="1">
      <alignment horizontal="center" vertical="center" wrapText="1"/>
    </xf>
    <xf numFmtId="0" fontId="56" fillId="2" borderId="24" xfId="0" applyFont="1" applyFill="1" applyBorder="1" applyAlignment="1">
      <alignment horizontal="center" vertical="center" wrapText="1"/>
    </xf>
    <xf numFmtId="0" fontId="56" fillId="2" borderId="31" xfId="0" applyFont="1" applyFill="1" applyBorder="1" applyAlignment="1">
      <alignment horizontal="center" vertical="center" wrapText="1"/>
    </xf>
    <xf numFmtId="0" fontId="56" fillId="2" borderId="0" xfId="0" applyFont="1" applyFill="1" applyAlignment="1">
      <alignment horizontal="center" vertical="center" wrapText="1"/>
    </xf>
    <xf numFmtId="0" fontId="56" fillId="2" borderId="14" xfId="0" applyFont="1" applyFill="1" applyBorder="1" applyAlignment="1">
      <alignment horizontal="center" vertical="center" wrapText="1"/>
    </xf>
    <xf numFmtId="0" fontId="35" fillId="4" borderId="179" xfId="0" applyFont="1" applyFill="1" applyBorder="1" applyAlignment="1">
      <alignment horizontal="center" vertical="center"/>
    </xf>
    <xf numFmtId="0" fontId="35" fillId="4" borderId="180" xfId="0" applyFont="1" applyFill="1" applyBorder="1" applyAlignment="1">
      <alignment horizontal="center" vertical="center"/>
    </xf>
    <xf numFmtId="0" fontId="35" fillId="4" borderId="181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right"/>
    </xf>
    <xf numFmtId="14" fontId="26" fillId="0" borderId="16" xfId="0" applyNumberFormat="1" applyFont="1" applyBorder="1" applyAlignment="1">
      <alignment horizontal="center"/>
    </xf>
    <xf numFmtId="18" fontId="26" fillId="0" borderId="16" xfId="0" applyNumberFormat="1" applyFont="1" applyBorder="1" applyAlignment="1">
      <alignment horizontal="center"/>
    </xf>
    <xf numFmtId="0" fontId="39" fillId="4" borderId="23" xfId="0" applyFont="1" applyFill="1" applyBorder="1" applyAlignment="1">
      <alignment horizontal="center" vertical="top"/>
    </xf>
    <xf numFmtId="0" fontId="39" fillId="4" borderId="13" xfId="0" applyFont="1" applyFill="1" applyBorder="1" applyAlignment="1">
      <alignment horizontal="center" vertical="top"/>
    </xf>
    <xf numFmtId="0" fontId="39" fillId="4" borderId="24" xfId="0" applyFont="1" applyFill="1" applyBorder="1" applyAlignment="1">
      <alignment horizontal="center" vertical="top"/>
    </xf>
    <xf numFmtId="0" fontId="39" fillId="4" borderId="15" xfId="0" applyFont="1" applyFill="1" applyBorder="1" applyAlignment="1">
      <alignment horizontal="center" vertical="top"/>
    </xf>
    <xf numFmtId="0" fontId="39" fillId="4" borderId="16" xfId="0" applyFont="1" applyFill="1" applyBorder="1" applyAlignment="1">
      <alignment horizontal="center" vertical="top"/>
    </xf>
    <xf numFmtId="0" fontId="39" fillId="4" borderId="22" xfId="0" applyFont="1" applyFill="1" applyBorder="1" applyAlignment="1">
      <alignment horizontal="center" vertical="top"/>
    </xf>
    <xf numFmtId="0" fontId="57" fillId="2" borderId="23" xfId="0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center" vertical="center" wrapText="1"/>
    </xf>
    <xf numFmtId="0" fontId="57" fillId="2" borderId="24" xfId="0" applyFont="1" applyFill="1" applyBorder="1" applyAlignment="1">
      <alignment horizontal="center" vertical="center" wrapText="1"/>
    </xf>
    <xf numFmtId="0" fontId="57" fillId="2" borderId="31" xfId="0" applyFont="1" applyFill="1" applyBorder="1" applyAlignment="1">
      <alignment horizontal="center" vertical="center" wrapText="1"/>
    </xf>
    <xf numFmtId="0" fontId="57" fillId="2" borderId="0" xfId="0" applyFont="1" applyFill="1" applyAlignment="1">
      <alignment horizontal="center" vertical="center" wrapText="1"/>
    </xf>
    <xf numFmtId="0" fontId="57" fillId="2" borderId="14" xfId="0" applyFont="1" applyFill="1" applyBorder="1" applyAlignment="1">
      <alignment horizontal="center" vertical="center" wrapText="1"/>
    </xf>
    <xf numFmtId="0" fontId="33" fillId="26" borderId="23" xfId="0" quotePrefix="1" applyFont="1" applyFill="1" applyBorder="1" applyAlignment="1">
      <alignment horizontal="center"/>
    </xf>
    <xf numFmtId="0" fontId="33" fillId="26" borderId="13" xfId="0" quotePrefix="1" applyFont="1" applyFill="1" applyBorder="1" applyAlignment="1">
      <alignment horizontal="center"/>
    </xf>
    <xf numFmtId="0" fontId="33" fillId="26" borderId="24" xfId="0" quotePrefix="1" applyFont="1" applyFill="1" applyBorder="1" applyAlignment="1">
      <alignment horizontal="center"/>
    </xf>
    <xf numFmtId="0" fontId="58" fillId="0" borderId="31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58" fillId="0" borderId="14" xfId="0" applyFont="1" applyBorder="1" applyAlignment="1">
      <alignment horizontal="center"/>
    </xf>
    <xf numFmtId="0" fontId="35" fillId="3" borderId="101" xfId="0" applyFont="1" applyFill="1" applyBorder="1" applyAlignment="1">
      <alignment horizontal="center" vertical="center"/>
    </xf>
    <xf numFmtId="0" fontId="35" fillId="3" borderId="47" xfId="0" applyFont="1" applyFill="1" applyBorder="1" applyAlignment="1">
      <alignment horizontal="center" vertical="center"/>
    </xf>
    <xf numFmtId="0" fontId="35" fillId="3" borderId="87" xfId="0" applyFont="1" applyFill="1" applyBorder="1" applyAlignment="1">
      <alignment horizontal="center" vertical="center"/>
    </xf>
    <xf numFmtId="6" fontId="36" fillId="0" borderId="13" xfId="0" applyNumberFormat="1" applyFont="1" applyBorder="1" applyAlignment="1">
      <alignment horizontal="center"/>
    </xf>
    <xf numFmtId="6" fontId="36" fillId="0" borderId="0" xfId="0" applyNumberFormat="1" applyFont="1" applyAlignment="1">
      <alignment horizontal="center"/>
    </xf>
    <xf numFmtId="6" fontId="36" fillId="0" borderId="16" xfId="0" applyNumberFormat="1" applyFont="1" applyBorder="1" applyAlignment="1">
      <alignment horizontal="center"/>
    </xf>
    <xf numFmtId="0" fontId="20" fillId="2" borderId="23" xfId="0" applyFont="1" applyFill="1" applyBorder="1" applyAlignment="1">
      <alignment horizontal="center"/>
    </xf>
    <xf numFmtId="0" fontId="20" fillId="2" borderId="13" xfId="0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/>
    </xf>
    <xf numFmtId="0" fontId="26" fillId="17" borderId="23" xfId="0" applyFont="1" applyFill="1" applyBorder="1" applyAlignment="1">
      <alignment horizontal="center"/>
    </xf>
    <xf numFmtId="0" fontId="26" fillId="17" borderId="13" xfId="0" applyFont="1" applyFill="1" applyBorder="1" applyAlignment="1">
      <alignment horizontal="center"/>
    </xf>
    <xf numFmtId="0" fontId="26" fillId="17" borderId="24" xfId="0" applyFont="1" applyFill="1" applyBorder="1" applyAlignment="1">
      <alignment horizontal="center"/>
    </xf>
    <xf numFmtId="0" fontId="26" fillId="16" borderId="31" xfId="0" applyFont="1" applyFill="1" applyBorder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6" fillId="16" borderId="14" xfId="0" applyFont="1" applyFill="1" applyBorder="1" applyAlignment="1">
      <alignment horizontal="center" vertical="center"/>
    </xf>
    <xf numFmtId="0" fontId="26" fillId="16" borderId="15" xfId="0" applyFont="1" applyFill="1" applyBorder="1" applyAlignment="1">
      <alignment horizontal="center" vertical="center"/>
    </xf>
    <xf numFmtId="0" fontId="26" fillId="16" borderId="16" xfId="0" applyFont="1" applyFill="1" applyBorder="1" applyAlignment="1">
      <alignment horizontal="center" vertical="center"/>
    </xf>
    <xf numFmtId="0" fontId="26" fillId="16" borderId="22" xfId="0" applyFont="1" applyFill="1" applyBorder="1" applyAlignment="1">
      <alignment horizontal="center" vertical="center"/>
    </xf>
    <xf numFmtId="0" fontId="26" fillId="16" borderId="23" xfId="0" applyFont="1" applyFill="1" applyBorder="1" applyAlignment="1">
      <alignment horizontal="center" vertical="center"/>
    </xf>
    <xf numFmtId="0" fontId="26" fillId="16" borderId="13" xfId="0" applyFont="1" applyFill="1" applyBorder="1" applyAlignment="1">
      <alignment horizontal="center" vertical="center"/>
    </xf>
    <xf numFmtId="0" fontId="26" fillId="16" borderId="24" xfId="0" applyFont="1" applyFill="1" applyBorder="1" applyAlignment="1">
      <alignment horizontal="center" vertical="center"/>
    </xf>
    <xf numFmtId="0" fontId="26" fillId="20" borderId="31" xfId="0" applyFont="1" applyFill="1" applyBorder="1" applyAlignment="1">
      <alignment horizontal="center"/>
    </xf>
    <xf numFmtId="0" fontId="26" fillId="20" borderId="0" xfId="0" applyFont="1" applyFill="1" applyAlignment="1">
      <alignment horizontal="center"/>
    </xf>
    <xf numFmtId="0" fontId="26" fillId="20" borderId="14" xfId="0" applyFont="1" applyFill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66" fontId="36" fillId="0" borderId="16" xfId="0" applyNumberFormat="1" applyFont="1" applyBorder="1" applyAlignment="1">
      <alignment horizontal="center" vertical="center"/>
    </xf>
    <xf numFmtId="166" fontId="36" fillId="0" borderId="22" xfId="0" applyNumberFormat="1" applyFont="1" applyBorder="1" applyAlignment="1">
      <alignment horizontal="center" vertical="center"/>
    </xf>
    <xf numFmtId="10" fontId="26" fillId="14" borderId="31" xfId="0" applyNumberFormat="1" applyFont="1" applyFill="1" applyBorder="1" applyAlignment="1">
      <alignment horizontal="center"/>
    </xf>
    <xf numFmtId="10" fontId="26" fillId="14" borderId="0" xfId="0" applyNumberFormat="1" applyFont="1" applyFill="1" applyAlignment="1">
      <alignment horizontal="center"/>
    </xf>
    <xf numFmtId="10" fontId="26" fillId="14" borderId="14" xfId="0" applyNumberFormat="1" applyFont="1" applyFill="1" applyBorder="1" applyAlignment="1">
      <alignment horizontal="center"/>
    </xf>
    <xf numFmtId="166" fontId="26" fillId="20" borderId="31" xfId="0" applyNumberFormat="1" applyFont="1" applyFill="1" applyBorder="1" applyAlignment="1">
      <alignment horizontal="center"/>
    </xf>
    <xf numFmtId="166" fontId="26" fillId="20" borderId="0" xfId="0" applyNumberFormat="1" applyFont="1" applyFill="1" applyAlignment="1">
      <alignment horizontal="center"/>
    </xf>
    <xf numFmtId="166" fontId="26" fillId="20" borderId="14" xfId="0" applyNumberFormat="1" applyFont="1" applyFill="1" applyBorder="1" applyAlignment="1">
      <alignment horizontal="center"/>
    </xf>
    <xf numFmtId="0" fontId="26" fillId="14" borderId="31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26" fillId="14" borderId="14" xfId="0" applyFont="1" applyFill="1" applyBorder="1" applyAlignment="1">
      <alignment horizontal="center" vertical="center"/>
    </xf>
    <xf numFmtId="0" fontId="26" fillId="14" borderId="23" xfId="0" applyFont="1" applyFill="1" applyBorder="1" applyAlignment="1">
      <alignment horizontal="center"/>
    </xf>
    <xf numFmtId="0" fontId="26" fillId="14" borderId="13" xfId="0" applyFont="1" applyFill="1" applyBorder="1" applyAlignment="1">
      <alignment horizontal="center"/>
    </xf>
    <xf numFmtId="0" fontId="26" fillId="14" borderId="24" xfId="0" applyFont="1" applyFill="1" applyBorder="1" applyAlignment="1">
      <alignment horizontal="center"/>
    </xf>
    <xf numFmtId="10" fontId="26" fillId="14" borderId="15" xfId="0" applyNumberFormat="1" applyFont="1" applyFill="1" applyBorder="1" applyAlignment="1">
      <alignment horizontal="center"/>
    </xf>
    <xf numFmtId="10" fontId="26" fillId="14" borderId="16" xfId="0" applyNumberFormat="1" applyFont="1" applyFill="1" applyBorder="1" applyAlignment="1">
      <alignment horizontal="center"/>
    </xf>
    <xf numFmtId="10" fontId="26" fillId="14" borderId="22" xfId="0" applyNumberFormat="1" applyFont="1" applyFill="1" applyBorder="1" applyAlignment="1">
      <alignment horizontal="center"/>
    </xf>
    <xf numFmtId="0" fontId="33" fillId="3" borderId="23" xfId="0" quotePrefix="1" applyFont="1" applyFill="1" applyBorder="1" applyAlignment="1">
      <alignment horizontal="center"/>
    </xf>
    <xf numFmtId="0" fontId="33" fillId="3" borderId="13" xfId="0" quotePrefix="1" applyFont="1" applyFill="1" applyBorder="1" applyAlignment="1">
      <alignment horizontal="center"/>
    </xf>
    <xf numFmtId="0" fontId="33" fillId="3" borderId="24" xfId="0" quotePrefix="1" applyFont="1" applyFill="1" applyBorder="1" applyAlignment="1">
      <alignment horizontal="center"/>
    </xf>
    <xf numFmtId="0" fontId="36" fillId="0" borderId="15" xfId="0" applyFont="1" applyBorder="1" applyAlignment="1">
      <alignment horizontal="left"/>
    </xf>
    <xf numFmtId="0" fontId="36" fillId="0" borderId="16" xfId="0" applyFont="1" applyBorder="1" applyAlignment="1">
      <alignment horizontal="left"/>
    </xf>
    <xf numFmtId="0" fontId="33" fillId="4" borderId="23" xfId="0" applyFont="1" applyFill="1" applyBorder="1" applyAlignment="1">
      <alignment horizontal="center"/>
    </xf>
    <xf numFmtId="0" fontId="33" fillId="4" borderId="13" xfId="0" applyFont="1" applyFill="1" applyBorder="1" applyAlignment="1">
      <alignment horizontal="center"/>
    </xf>
    <xf numFmtId="0" fontId="36" fillId="0" borderId="31" xfId="0" applyFont="1" applyBorder="1" applyAlignment="1">
      <alignment horizontal="left"/>
    </xf>
    <xf numFmtId="0" fontId="36" fillId="0" borderId="0" xfId="0" applyFont="1" applyAlignment="1">
      <alignment horizontal="left"/>
    </xf>
    <xf numFmtId="166" fontId="36" fillId="0" borderId="31" xfId="0" applyNumberFormat="1" applyFont="1" applyBorder="1" applyAlignment="1">
      <alignment horizontal="left"/>
    </xf>
    <xf numFmtId="166" fontId="36" fillId="0" borderId="0" xfId="0" applyNumberFormat="1" applyFont="1" applyAlignment="1">
      <alignment horizontal="left"/>
    </xf>
    <xf numFmtId="0" fontId="33" fillId="3" borderId="140" xfId="0" quotePrefix="1" applyFont="1" applyFill="1" applyBorder="1" applyAlignment="1">
      <alignment horizontal="center"/>
    </xf>
    <xf numFmtId="0" fontId="33" fillId="3" borderId="141" xfId="0" quotePrefix="1" applyFont="1" applyFill="1" applyBorder="1" applyAlignment="1">
      <alignment horizontal="center"/>
    </xf>
    <xf numFmtId="0" fontId="33" fillId="3" borderId="142" xfId="0" quotePrefix="1" applyFont="1" applyFill="1" applyBorder="1" applyAlignment="1">
      <alignment horizontal="center"/>
    </xf>
    <xf numFmtId="0" fontId="36" fillId="0" borderId="128" xfId="0" applyFont="1" applyBorder="1" applyAlignment="1">
      <alignment horizontal="center"/>
    </xf>
    <xf numFmtId="0" fontId="36" fillId="0" borderId="32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5" xfId="0" applyFont="1" applyBorder="1" applyAlignment="1">
      <alignment horizontal="center"/>
    </xf>
    <xf numFmtId="166" fontId="36" fillId="0" borderId="31" xfId="0" applyNumberFormat="1" applyFont="1" applyBorder="1" applyAlignment="1">
      <alignment horizontal="center" vertical="center"/>
    </xf>
    <xf numFmtId="166" fontId="36" fillId="0" borderId="0" xfId="0" applyNumberFormat="1" applyFont="1" applyAlignment="1">
      <alignment horizontal="center" vertical="center"/>
    </xf>
    <xf numFmtId="166" fontId="36" fillId="0" borderId="3" xfId="0" applyNumberFormat="1" applyFont="1" applyBorder="1" applyAlignment="1">
      <alignment horizontal="center" vertical="center"/>
    </xf>
    <xf numFmtId="166" fontId="36" fillId="0" borderId="15" xfId="0" applyNumberFormat="1" applyFont="1" applyBorder="1" applyAlignment="1">
      <alignment horizontal="center" vertical="center"/>
    </xf>
    <xf numFmtId="166" fontId="36" fillId="0" borderId="128" xfId="0" applyNumberFormat="1" applyFont="1" applyBorder="1" applyAlignment="1">
      <alignment horizontal="center" vertical="center"/>
    </xf>
    <xf numFmtId="0" fontId="26" fillId="0" borderId="120" xfId="0" applyFont="1" applyBorder="1" applyAlignment="1">
      <alignment horizontal="center"/>
    </xf>
    <xf numFmtId="0" fontId="26" fillId="0" borderId="121" xfId="0" applyFont="1" applyBorder="1" applyAlignment="1">
      <alignment horizontal="center"/>
    </xf>
    <xf numFmtId="0" fontId="33" fillId="4" borderId="94" xfId="0" applyFont="1" applyFill="1" applyBorder="1" applyAlignment="1">
      <alignment horizontal="center"/>
    </xf>
    <xf numFmtId="0" fontId="33" fillId="4" borderId="57" xfId="0" applyFont="1" applyFill="1" applyBorder="1" applyAlignment="1">
      <alignment horizontal="center"/>
    </xf>
    <xf numFmtId="0" fontId="33" fillId="4" borderId="82" xfId="0" applyFont="1" applyFill="1" applyBorder="1" applyAlignment="1">
      <alignment horizontal="center"/>
    </xf>
    <xf numFmtId="0" fontId="26" fillId="0" borderId="124" xfId="0" applyFont="1" applyBorder="1" applyAlignment="1">
      <alignment horizontal="center"/>
    </xf>
    <xf numFmtId="0" fontId="26" fillId="0" borderId="116" xfId="0" applyFont="1" applyBorder="1" applyAlignment="1">
      <alignment horizontal="center"/>
    </xf>
    <xf numFmtId="0" fontId="26" fillId="0" borderId="123" xfId="0" applyFont="1" applyBorder="1" applyAlignment="1">
      <alignment horizontal="center"/>
    </xf>
    <xf numFmtId="0" fontId="26" fillId="0" borderId="117" xfId="0" applyFont="1" applyBorder="1" applyAlignment="1">
      <alignment horizontal="center"/>
    </xf>
    <xf numFmtId="0" fontId="87" fillId="20" borderId="23" xfId="0" applyFont="1" applyFill="1" applyBorder="1" applyAlignment="1">
      <alignment horizontal="center"/>
    </xf>
    <xf numFmtId="0" fontId="87" fillId="20" borderId="13" xfId="0" applyFont="1" applyFill="1" applyBorder="1" applyAlignment="1">
      <alignment horizontal="center"/>
    </xf>
    <xf numFmtId="0" fontId="87" fillId="20" borderId="24" xfId="0" applyFont="1" applyFill="1" applyBorder="1" applyAlignment="1">
      <alignment horizontal="center"/>
    </xf>
    <xf numFmtId="0" fontId="24" fillId="0" borderId="115" xfId="0" applyFont="1" applyBorder="1" applyAlignment="1">
      <alignment horizontal="center"/>
    </xf>
    <xf numFmtId="0" fontId="24" fillId="0" borderId="116" xfId="0" applyFont="1" applyBorder="1" applyAlignment="1">
      <alignment horizontal="center"/>
    </xf>
    <xf numFmtId="0" fontId="24" fillId="0" borderId="123" xfId="0" applyFont="1" applyBorder="1" applyAlignment="1">
      <alignment horizontal="center"/>
    </xf>
    <xf numFmtId="0" fontId="26" fillId="0" borderId="260" xfId="0" applyFont="1" applyBorder="1" applyAlignment="1">
      <alignment horizontal="center"/>
    </xf>
    <xf numFmtId="0" fontId="26" fillId="0" borderId="251" xfId="0" applyFont="1" applyBorder="1" applyAlignment="1">
      <alignment horizontal="center"/>
    </xf>
    <xf numFmtId="0" fontId="26" fillId="0" borderId="257" xfId="0" applyFont="1" applyBorder="1" applyAlignment="1">
      <alignment horizontal="center"/>
    </xf>
    <xf numFmtId="0" fontId="26" fillId="0" borderId="249" xfId="0" applyFont="1" applyBorder="1" applyAlignment="1">
      <alignment horizontal="center"/>
    </xf>
    <xf numFmtId="0" fontId="39" fillId="4" borderId="15" xfId="0" applyFont="1" applyFill="1" applyBorder="1" applyAlignment="1">
      <alignment horizontal="center"/>
    </xf>
    <xf numFmtId="0" fontId="39" fillId="4" borderId="16" xfId="0" applyFont="1" applyFill="1" applyBorder="1" applyAlignment="1">
      <alignment horizontal="center"/>
    </xf>
    <xf numFmtId="0" fontId="39" fillId="4" borderId="22" xfId="0" applyFont="1" applyFill="1" applyBorder="1" applyAlignment="1">
      <alignment horizontal="center"/>
    </xf>
    <xf numFmtId="0" fontId="24" fillId="0" borderId="42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0" borderId="144" xfId="0" applyFont="1" applyBorder="1" applyAlignment="1">
      <alignment horizontal="center"/>
    </xf>
    <xf numFmtId="0" fontId="24" fillId="0" borderId="22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6" fillId="0" borderId="248" xfId="0" applyFont="1" applyBorder="1" applyAlignment="1">
      <alignment horizontal="center"/>
    </xf>
    <xf numFmtId="0" fontId="26" fillId="0" borderId="252" xfId="0" applyFont="1" applyBorder="1" applyAlignment="1">
      <alignment horizontal="center"/>
    </xf>
    <xf numFmtId="0" fontId="39" fillId="4" borderId="41" xfId="0" applyFont="1" applyFill="1" applyBorder="1" applyAlignment="1">
      <alignment horizontal="center"/>
    </xf>
    <xf numFmtId="0" fontId="39" fillId="4" borderId="25" xfId="0" applyFont="1" applyFill="1" applyBorder="1" applyAlignment="1">
      <alignment horizontal="center"/>
    </xf>
    <xf numFmtId="0" fontId="39" fillId="4" borderId="46" xfId="0" applyFont="1" applyFill="1" applyBorder="1" applyAlignment="1">
      <alignment horizontal="center"/>
    </xf>
    <xf numFmtId="0" fontId="97" fillId="2" borderId="31" xfId="0" applyFont="1" applyFill="1" applyBorder="1" applyAlignment="1">
      <alignment horizontal="center" vertical="center"/>
    </xf>
    <xf numFmtId="0" fontId="97" fillId="2" borderId="0" xfId="0" applyFont="1" applyFill="1" applyAlignment="1">
      <alignment horizontal="center" vertical="center"/>
    </xf>
    <xf numFmtId="0" fontId="97" fillId="2" borderId="14" xfId="0" applyFont="1" applyFill="1" applyBorder="1" applyAlignment="1">
      <alignment horizontal="center" vertical="center"/>
    </xf>
    <xf numFmtId="0" fontId="97" fillId="2" borderId="32" xfId="0" applyFont="1" applyFill="1" applyBorder="1" applyAlignment="1">
      <alignment horizontal="center" vertical="center"/>
    </xf>
    <xf numFmtId="0" fontId="97" fillId="2" borderId="1" xfId="0" applyFont="1" applyFill="1" applyBorder="1" applyAlignment="1">
      <alignment horizontal="center" vertical="center"/>
    </xf>
    <xf numFmtId="0" fontId="97" fillId="2" borderId="33" xfId="0" applyFont="1" applyFill="1" applyBorder="1" applyAlignment="1">
      <alignment horizontal="center" vertical="center"/>
    </xf>
    <xf numFmtId="0" fontId="39" fillId="4" borderId="31" xfId="0" applyFont="1" applyFill="1" applyBorder="1" applyAlignment="1">
      <alignment horizontal="center" vertical="top"/>
    </xf>
    <xf numFmtId="0" fontId="39" fillId="4" borderId="0" xfId="0" applyFont="1" applyFill="1" applyAlignment="1">
      <alignment horizontal="center" vertical="top"/>
    </xf>
    <xf numFmtId="0" fontId="39" fillId="4" borderId="14" xfId="0" applyFont="1" applyFill="1" applyBorder="1" applyAlignment="1">
      <alignment horizontal="center" vertical="top"/>
    </xf>
    <xf numFmtId="0" fontId="35" fillId="4" borderId="105" xfId="0" applyFont="1" applyFill="1" applyBorder="1" applyAlignment="1">
      <alignment horizontal="center" vertical="center"/>
    </xf>
    <xf numFmtId="0" fontId="35" fillId="4" borderId="104" xfId="0" applyFont="1" applyFill="1" applyBorder="1" applyAlignment="1">
      <alignment horizontal="center" vertical="center"/>
    </xf>
    <xf numFmtId="0" fontId="35" fillId="4" borderId="106" xfId="0" applyFont="1" applyFill="1" applyBorder="1" applyAlignment="1">
      <alignment horizontal="center" vertical="center"/>
    </xf>
    <xf numFmtId="0" fontId="39" fillId="4" borderId="42" xfId="0" applyFont="1" applyFill="1" applyBorder="1" applyAlignment="1">
      <alignment horizontal="center" vertical="center"/>
    </xf>
    <xf numFmtId="0" fontId="39" fillId="4" borderId="18" xfId="0" applyFont="1" applyFill="1" applyBorder="1" applyAlignment="1">
      <alignment horizontal="center" vertical="center"/>
    </xf>
    <xf numFmtId="0" fontId="39" fillId="4" borderId="43" xfId="0" applyFont="1" applyFill="1" applyBorder="1" applyAlignment="1">
      <alignment horizontal="center" vertical="center"/>
    </xf>
    <xf numFmtId="0" fontId="26" fillId="0" borderId="180" xfId="0" applyFont="1" applyBorder="1" applyAlignment="1">
      <alignment horizontal="center" vertical="center"/>
    </xf>
    <xf numFmtId="0" fontId="26" fillId="0" borderId="184" xfId="0" applyFont="1" applyBorder="1" applyAlignment="1">
      <alignment horizontal="center" vertical="center"/>
    </xf>
    <xf numFmtId="0" fontId="87" fillId="20" borderId="31" xfId="0" applyFont="1" applyFill="1" applyBorder="1" applyAlignment="1">
      <alignment horizontal="center"/>
    </xf>
    <xf numFmtId="0" fontId="87" fillId="20" borderId="0" xfId="0" applyFont="1" applyFill="1" applyAlignment="1">
      <alignment horizontal="center"/>
    </xf>
    <xf numFmtId="0" fontId="87" fillId="20" borderId="14" xfId="0" applyFont="1" applyFill="1" applyBorder="1" applyAlignment="1">
      <alignment horizontal="center"/>
    </xf>
    <xf numFmtId="166" fontId="26" fillId="20" borderId="15" xfId="0" applyNumberFormat="1" applyFont="1" applyFill="1" applyBorder="1" applyAlignment="1">
      <alignment horizontal="center"/>
    </xf>
    <xf numFmtId="166" fontId="26" fillId="20" borderId="16" xfId="0" applyNumberFormat="1" applyFont="1" applyFill="1" applyBorder="1" applyAlignment="1">
      <alignment horizontal="center"/>
    </xf>
    <xf numFmtId="166" fontId="26" fillId="20" borderId="22" xfId="0" applyNumberFormat="1" applyFont="1" applyFill="1" applyBorder="1" applyAlignment="1">
      <alignment horizontal="center"/>
    </xf>
    <xf numFmtId="0" fontId="26" fillId="0" borderId="48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166" fontId="33" fillId="4" borderId="25" xfId="0" applyNumberFormat="1" applyFont="1" applyFill="1" applyBorder="1" applyAlignment="1">
      <alignment horizontal="center" vertical="center"/>
    </xf>
    <xf numFmtId="166" fontId="33" fillId="4" borderId="46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33" fillId="3" borderId="23" xfId="0" applyFont="1" applyFill="1" applyBorder="1" applyAlignment="1">
      <alignment horizontal="center" vertical="center"/>
    </xf>
    <xf numFmtId="0" fontId="33" fillId="3" borderId="13" xfId="0" applyFont="1" applyFill="1" applyBorder="1" applyAlignment="1">
      <alignment horizontal="center" vertical="center"/>
    </xf>
    <xf numFmtId="0" fontId="33" fillId="3" borderId="24" xfId="0" applyFont="1" applyFill="1" applyBorder="1" applyAlignment="1">
      <alignment horizontal="center" vertical="center"/>
    </xf>
    <xf numFmtId="164" fontId="46" fillId="0" borderId="15" xfId="0" applyNumberFormat="1" applyFont="1" applyBorder="1" applyAlignment="1">
      <alignment horizontal="center" vertical="center"/>
    </xf>
    <xf numFmtId="164" fontId="46" fillId="0" borderId="16" xfId="0" applyNumberFormat="1" applyFont="1" applyBorder="1" applyAlignment="1">
      <alignment horizontal="center" vertical="center"/>
    </xf>
    <xf numFmtId="164" fontId="46" fillId="0" borderId="22" xfId="0" applyNumberFormat="1" applyFont="1" applyBorder="1" applyAlignment="1">
      <alignment horizontal="center" vertical="center"/>
    </xf>
    <xf numFmtId="0" fontId="58" fillId="0" borderId="172" xfId="0" applyFont="1" applyBorder="1" applyAlignment="1">
      <alignment horizontal="center"/>
    </xf>
    <xf numFmtId="0" fontId="58" fillId="0" borderId="188" xfId="0" applyFont="1" applyBorder="1" applyAlignment="1">
      <alignment horizontal="center"/>
    </xf>
    <xf numFmtId="0" fontId="58" fillId="0" borderId="48" xfId="0" applyFont="1" applyBorder="1" applyAlignment="1">
      <alignment horizontal="center"/>
    </xf>
    <xf numFmtId="0" fontId="58" fillId="0" borderId="40" xfId="0" applyFont="1" applyBorder="1" applyAlignment="1">
      <alignment horizontal="center"/>
    </xf>
    <xf numFmtId="166" fontId="33" fillId="4" borderId="31" xfId="0" applyNumberFormat="1" applyFont="1" applyFill="1" applyBorder="1" applyAlignment="1">
      <alignment horizontal="center" vertical="center"/>
    </xf>
    <xf numFmtId="166" fontId="33" fillId="4" borderId="0" xfId="0" applyNumberFormat="1" applyFont="1" applyFill="1" applyAlignment="1">
      <alignment horizontal="center" vertical="center"/>
    </xf>
    <xf numFmtId="166" fontId="33" fillId="4" borderId="14" xfId="0" applyNumberFormat="1" applyFont="1" applyFill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166" fontId="33" fillId="4" borderId="42" xfId="0" applyNumberFormat="1" applyFont="1" applyFill="1" applyBorder="1" applyAlignment="1">
      <alignment horizontal="center" vertical="center"/>
    </xf>
    <xf numFmtId="166" fontId="33" fillId="4" borderId="18" xfId="0" applyNumberFormat="1" applyFont="1" applyFill="1" applyBorder="1" applyAlignment="1">
      <alignment horizontal="center" vertical="center"/>
    </xf>
    <xf numFmtId="166" fontId="33" fillId="4" borderId="43" xfId="0" applyNumberFormat="1" applyFont="1" applyFill="1" applyBorder="1" applyAlignment="1">
      <alignment horizontal="center" vertical="center"/>
    </xf>
    <xf numFmtId="0" fontId="58" fillId="0" borderId="42" xfId="0" applyFont="1" applyBorder="1" applyAlignment="1">
      <alignment horizontal="center"/>
    </xf>
    <xf numFmtId="0" fontId="58" fillId="0" borderId="144" xfId="0" applyFont="1" applyBorder="1" applyAlignment="1">
      <alignment horizontal="center"/>
    </xf>
    <xf numFmtId="0" fontId="26" fillId="5" borderId="41" xfId="0" applyFont="1" applyFill="1" applyBorder="1" applyAlignment="1">
      <alignment horizontal="center" vertical="center"/>
    </xf>
    <xf numFmtId="0" fontId="26" fillId="5" borderId="163" xfId="0" applyFont="1" applyFill="1" applyBorder="1" applyAlignment="1">
      <alignment horizontal="center" vertical="center"/>
    </xf>
    <xf numFmtId="0" fontId="58" fillId="0" borderId="115" xfId="0" applyFont="1" applyBorder="1" applyAlignment="1">
      <alignment horizontal="center"/>
    </xf>
    <xf numFmtId="0" fontId="58" fillId="0" borderId="186" xfId="0" applyFont="1" applyBorder="1" applyAlignment="1">
      <alignment horizontal="center"/>
    </xf>
    <xf numFmtId="0" fontId="58" fillId="0" borderId="44" xfId="0" applyFont="1" applyBorder="1" applyAlignment="1">
      <alignment horizontal="center"/>
    </xf>
    <xf numFmtId="0" fontId="58" fillId="0" borderId="30" xfId="0" applyFont="1" applyBorder="1" applyAlignment="1">
      <alignment horizontal="center"/>
    </xf>
    <xf numFmtId="166" fontId="33" fillId="4" borderId="23" xfId="0" applyNumberFormat="1" applyFont="1" applyFill="1" applyBorder="1" applyAlignment="1">
      <alignment horizontal="center" vertical="center"/>
    </xf>
    <xf numFmtId="166" fontId="33" fillId="4" borderId="13" xfId="0" applyNumberFormat="1" applyFont="1" applyFill="1" applyBorder="1" applyAlignment="1">
      <alignment horizontal="center" vertical="center"/>
    </xf>
    <xf numFmtId="166" fontId="33" fillId="4" borderId="24" xfId="0" applyNumberFormat="1" applyFont="1" applyFill="1" applyBorder="1" applyAlignment="1">
      <alignment horizontal="center" vertical="center"/>
    </xf>
    <xf numFmtId="0" fontId="58" fillId="0" borderId="52" xfId="0" applyFont="1" applyBorder="1" applyAlignment="1">
      <alignment horizontal="center"/>
    </xf>
    <xf numFmtId="0" fontId="58" fillId="0" borderId="53" xfId="0" applyFont="1" applyBorder="1" applyAlignment="1">
      <alignment horizontal="center"/>
    </xf>
    <xf numFmtId="0" fontId="26" fillId="11" borderId="23" xfId="0" applyFont="1" applyFill="1" applyBorder="1" applyAlignment="1">
      <alignment horizontal="center"/>
    </xf>
    <xf numFmtId="0" fontId="26" fillId="11" borderId="13" xfId="0" applyFont="1" applyFill="1" applyBorder="1" applyAlignment="1">
      <alignment horizontal="center"/>
    </xf>
    <xf numFmtId="0" fontId="26" fillId="11" borderId="24" xfId="0" applyFont="1" applyFill="1" applyBorder="1" applyAlignment="1">
      <alignment horizontal="center"/>
    </xf>
    <xf numFmtId="0" fontId="26" fillId="11" borderId="15" xfId="0" applyFont="1" applyFill="1" applyBorder="1" applyAlignment="1">
      <alignment horizontal="center"/>
    </xf>
    <xf numFmtId="0" fontId="26" fillId="11" borderId="16" xfId="0" applyFont="1" applyFill="1" applyBorder="1" applyAlignment="1">
      <alignment horizontal="center"/>
    </xf>
    <xf numFmtId="0" fontId="26" fillId="11" borderId="22" xfId="0" applyFont="1" applyFill="1" applyBorder="1" applyAlignment="1">
      <alignment horizontal="center"/>
    </xf>
    <xf numFmtId="0" fontId="94" fillId="19" borderId="135" xfId="1" applyFont="1" applyFill="1" applyBorder="1" applyAlignment="1">
      <alignment horizontal="center" vertical="center"/>
    </xf>
    <xf numFmtId="0" fontId="94" fillId="19" borderId="37" xfId="1" applyFont="1" applyFill="1" applyBorder="1" applyAlignment="1">
      <alignment horizontal="center" vertical="center"/>
    </xf>
    <xf numFmtId="0" fontId="94" fillId="19" borderId="38" xfId="1" applyFont="1" applyFill="1" applyBorder="1" applyAlignment="1">
      <alignment horizontal="center" vertical="center"/>
    </xf>
    <xf numFmtId="0" fontId="26" fillId="5" borderId="41" xfId="0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/>
    </xf>
    <xf numFmtId="0" fontId="26" fillId="5" borderId="46" xfId="0" applyFont="1" applyFill="1" applyBorder="1" applyAlignment="1">
      <alignment horizontal="center"/>
    </xf>
    <xf numFmtId="0" fontId="26" fillId="15" borderId="31" xfId="0" applyFont="1" applyFill="1" applyBorder="1" applyAlignment="1">
      <alignment horizontal="center" vertical="center"/>
    </xf>
    <xf numFmtId="0" fontId="26" fillId="15" borderId="0" xfId="0" applyFont="1" applyFill="1" applyAlignment="1">
      <alignment horizontal="center" vertical="center"/>
    </xf>
    <xf numFmtId="0" fontId="26" fillId="15" borderId="14" xfId="0" applyFont="1" applyFill="1" applyBorder="1" applyAlignment="1">
      <alignment horizontal="center" vertical="center"/>
    </xf>
    <xf numFmtId="0" fontId="26" fillId="11" borderId="31" xfId="0" applyFont="1" applyFill="1" applyBorder="1" applyAlignment="1">
      <alignment horizontal="center" vertical="center"/>
    </xf>
    <xf numFmtId="0" fontId="26" fillId="11" borderId="0" xfId="0" applyFont="1" applyFill="1" applyAlignment="1">
      <alignment horizontal="center" vertical="center"/>
    </xf>
    <xf numFmtId="0" fontId="26" fillId="11" borderId="14" xfId="0" applyFont="1" applyFill="1" applyBorder="1" applyAlignment="1">
      <alignment horizontal="center" vertical="center"/>
    </xf>
    <xf numFmtId="0" fontId="26" fillId="5" borderId="23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26" fillId="5" borderId="24" xfId="0" applyFont="1" applyFill="1" applyBorder="1" applyAlignment="1">
      <alignment horizontal="center" vertical="center"/>
    </xf>
    <xf numFmtId="0" fontId="26" fillId="5" borderId="15" xfId="0" applyFont="1" applyFill="1" applyBorder="1" applyAlignment="1">
      <alignment horizontal="center" vertical="center"/>
    </xf>
    <xf numFmtId="0" fontId="26" fillId="5" borderId="16" xfId="0" applyFont="1" applyFill="1" applyBorder="1" applyAlignment="1">
      <alignment horizontal="center" vertical="center"/>
    </xf>
    <xf numFmtId="0" fontId="26" fillId="5" borderId="22" xfId="0" applyFont="1" applyFill="1" applyBorder="1" applyAlignment="1">
      <alignment horizontal="center" vertical="center"/>
    </xf>
    <xf numFmtId="0" fontId="35" fillId="4" borderId="187" xfId="0" applyFont="1" applyFill="1" applyBorder="1" applyAlignment="1">
      <alignment horizontal="center" vertical="center"/>
    </xf>
    <xf numFmtId="0" fontId="35" fillId="4" borderId="182" xfId="0" applyFont="1" applyFill="1" applyBorder="1" applyAlignment="1">
      <alignment horizontal="center" vertical="center"/>
    </xf>
    <xf numFmtId="0" fontId="35" fillId="4" borderId="186" xfId="0" applyFont="1" applyFill="1" applyBorder="1" applyAlignment="1">
      <alignment horizontal="center" vertical="center"/>
    </xf>
    <xf numFmtId="0" fontId="39" fillId="4" borderId="23" xfId="0" applyFont="1" applyFill="1" applyBorder="1" applyAlignment="1">
      <alignment horizontal="center" vertical="center"/>
    </xf>
    <xf numFmtId="0" fontId="39" fillId="4" borderId="13" xfId="0" applyFont="1" applyFill="1" applyBorder="1" applyAlignment="1">
      <alignment horizontal="center" vertical="center"/>
    </xf>
    <xf numFmtId="0" fontId="39" fillId="4" borderId="24" xfId="0" applyFont="1" applyFill="1" applyBorder="1" applyAlignment="1">
      <alignment horizontal="center" vertical="center"/>
    </xf>
    <xf numFmtId="0" fontId="39" fillId="4" borderId="15" xfId="0" applyFont="1" applyFill="1" applyBorder="1" applyAlignment="1">
      <alignment horizontal="center" vertical="center"/>
    </xf>
    <xf numFmtId="0" fontId="39" fillId="4" borderId="16" xfId="0" applyFont="1" applyFill="1" applyBorder="1" applyAlignment="1">
      <alignment horizontal="center" vertical="center"/>
    </xf>
    <xf numFmtId="0" fontId="39" fillId="4" borderId="22" xfId="0" applyFont="1" applyFill="1" applyBorder="1" applyAlignment="1">
      <alignment horizontal="center" vertical="center"/>
    </xf>
    <xf numFmtId="0" fontId="74" fillId="0" borderId="1" xfId="1" applyFont="1" applyBorder="1" applyAlignment="1">
      <alignment horizontal="center" vertical="center"/>
    </xf>
    <xf numFmtId="0" fontId="74" fillId="0" borderId="5" xfId="1" applyFont="1" applyBorder="1" applyAlignment="1">
      <alignment horizontal="center" vertical="center"/>
    </xf>
    <xf numFmtId="0" fontId="33" fillId="4" borderId="36" xfId="0" applyFont="1" applyFill="1" applyBorder="1" applyAlignment="1">
      <alignment horizontal="center"/>
    </xf>
    <xf numFmtId="0" fontId="33" fillId="4" borderId="90" xfId="0" applyFont="1" applyFill="1" applyBorder="1" applyAlignment="1">
      <alignment horizontal="center"/>
    </xf>
    <xf numFmtId="0" fontId="33" fillId="4" borderId="25" xfId="0" applyFont="1" applyFill="1" applyBorder="1" applyAlignment="1">
      <alignment horizontal="center" vertical="center"/>
    </xf>
    <xf numFmtId="0" fontId="33" fillId="4" borderId="46" xfId="0" applyFont="1" applyFill="1" applyBorder="1" applyAlignment="1">
      <alignment horizontal="center" vertical="center"/>
    </xf>
    <xf numFmtId="0" fontId="26" fillId="15" borderId="23" xfId="0" applyFont="1" applyFill="1" applyBorder="1" applyAlignment="1">
      <alignment horizontal="center"/>
    </xf>
    <xf numFmtId="0" fontId="26" fillId="15" borderId="13" xfId="0" applyFont="1" applyFill="1" applyBorder="1" applyAlignment="1">
      <alignment horizontal="center"/>
    </xf>
    <xf numFmtId="0" fontId="26" fillId="15" borderId="24" xfId="0" applyFont="1" applyFill="1" applyBorder="1" applyAlignment="1">
      <alignment horizontal="center"/>
    </xf>
    <xf numFmtId="0" fontId="26" fillId="15" borderId="15" xfId="0" applyFont="1" applyFill="1" applyBorder="1" applyAlignment="1">
      <alignment horizontal="center"/>
    </xf>
    <xf numFmtId="0" fontId="26" fillId="15" borderId="16" xfId="0" applyFont="1" applyFill="1" applyBorder="1" applyAlignment="1">
      <alignment horizontal="center"/>
    </xf>
    <xf numFmtId="0" fontId="26" fillId="15" borderId="22" xfId="0" applyFont="1" applyFill="1" applyBorder="1" applyAlignment="1">
      <alignment horizontal="center"/>
    </xf>
    <xf numFmtId="0" fontId="26" fillId="15" borderId="31" xfId="0" applyFont="1" applyFill="1" applyBorder="1" applyAlignment="1">
      <alignment horizontal="center"/>
    </xf>
    <xf numFmtId="0" fontId="26" fillId="15" borderId="0" xfId="0" applyFont="1" applyFill="1" applyAlignment="1">
      <alignment horizontal="center"/>
    </xf>
    <xf numFmtId="0" fontId="26" fillId="15" borderId="14" xfId="0" applyFont="1" applyFill="1" applyBorder="1" applyAlignment="1">
      <alignment horizontal="center"/>
    </xf>
    <xf numFmtId="164" fontId="35" fillId="0" borderId="15" xfId="0" applyNumberFormat="1" applyFont="1" applyBorder="1" applyAlignment="1">
      <alignment horizontal="center" vertical="center"/>
    </xf>
    <xf numFmtId="164" fontId="35" fillId="0" borderId="16" xfId="0" applyNumberFormat="1" applyFont="1" applyBorder="1" applyAlignment="1">
      <alignment horizontal="center" vertical="center"/>
    </xf>
    <xf numFmtId="164" fontId="35" fillId="0" borderId="22" xfId="0" applyNumberFormat="1" applyFont="1" applyBorder="1" applyAlignment="1">
      <alignment horizontal="center" vertical="center"/>
    </xf>
    <xf numFmtId="0" fontId="33" fillId="4" borderId="41" xfId="0" applyFont="1" applyFill="1" applyBorder="1" applyAlignment="1">
      <alignment horizontal="center"/>
    </xf>
    <xf numFmtId="0" fontId="33" fillId="4" borderId="25" xfId="0" applyFont="1" applyFill="1" applyBorder="1" applyAlignment="1">
      <alignment horizontal="center"/>
    </xf>
    <xf numFmtId="0" fontId="33" fillId="4" borderId="46" xfId="0" applyFont="1" applyFill="1" applyBorder="1" applyAlignment="1">
      <alignment horizontal="center"/>
    </xf>
    <xf numFmtId="0" fontId="33" fillId="4" borderId="13" xfId="0" applyFont="1" applyFill="1" applyBorder="1" applyAlignment="1">
      <alignment horizontal="center" vertical="center"/>
    </xf>
    <xf numFmtId="0" fontId="33" fillId="4" borderId="24" xfId="0" applyFont="1" applyFill="1" applyBorder="1" applyAlignment="1">
      <alignment horizontal="center" vertical="center"/>
    </xf>
    <xf numFmtId="0" fontId="33" fillId="4" borderId="23" xfId="0" applyFont="1" applyFill="1" applyBorder="1" applyAlignment="1">
      <alignment horizontal="center" vertical="center"/>
    </xf>
    <xf numFmtId="166" fontId="30" fillId="4" borderId="41" xfId="0" applyNumberFormat="1" applyFont="1" applyFill="1" applyBorder="1" applyAlignment="1">
      <alignment horizontal="center" vertical="center"/>
    </xf>
    <xf numFmtId="166" fontId="30" fillId="4" borderId="25" xfId="0" applyNumberFormat="1" applyFont="1" applyFill="1" applyBorder="1" applyAlignment="1">
      <alignment horizontal="center" vertical="center"/>
    </xf>
    <xf numFmtId="166" fontId="30" fillId="4" borderId="58" xfId="0" applyNumberFormat="1" applyFont="1" applyFill="1" applyBorder="1" applyAlignment="1">
      <alignment horizontal="center" vertical="center"/>
    </xf>
    <xf numFmtId="0" fontId="26" fillId="20" borderId="13" xfId="0" applyFont="1" applyFill="1" applyBorder="1" applyAlignment="1">
      <alignment horizontal="center" vertical="top"/>
    </xf>
    <xf numFmtId="0" fontId="26" fillId="20" borderId="24" xfId="0" applyFont="1" applyFill="1" applyBorder="1" applyAlignment="1">
      <alignment horizontal="center" vertical="top"/>
    </xf>
    <xf numFmtId="0" fontId="26" fillId="20" borderId="0" xfId="0" applyFont="1" applyFill="1" applyAlignment="1">
      <alignment horizontal="center" vertical="top"/>
    </xf>
    <xf numFmtId="0" fontId="26" fillId="20" borderId="14" xfId="0" applyFont="1" applyFill="1" applyBorder="1" applyAlignment="1">
      <alignment horizontal="center" vertical="top"/>
    </xf>
    <xf numFmtId="0" fontId="35" fillId="10" borderId="23" xfId="0" applyFont="1" applyFill="1" applyBorder="1" applyAlignment="1">
      <alignment horizontal="center" vertical="center"/>
    </xf>
    <xf numFmtId="0" fontId="35" fillId="10" borderId="13" xfId="0" applyFont="1" applyFill="1" applyBorder="1" applyAlignment="1">
      <alignment horizontal="center" vertical="center"/>
    </xf>
    <xf numFmtId="0" fontId="35" fillId="10" borderId="24" xfId="0" applyFont="1" applyFill="1" applyBorder="1" applyAlignment="1">
      <alignment horizontal="center" vertical="center"/>
    </xf>
    <xf numFmtId="164" fontId="35" fillId="0" borderId="31" xfId="0" applyNumberFormat="1" applyFont="1" applyBorder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4" fontId="35" fillId="0" borderId="14" xfId="0" applyNumberFormat="1" applyFont="1" applyBorder="1" applyAlignment="1">
      <alignment horizontal="center" vertical="center"/>
    </xf>
    <xf numFmtId="164" fontId="58" fillId="0" borderId="31" xfId="0" applyNumberFormat="1" applyFont="1" applyBorder="1" applyAlignment="1">
      <alignment horizontal="center" vertical="center"/>
    </xf>
    <xf numFmtId="164" fontId="58" fillId="0" borderId="0" xfId="0" applyNumberFormat="1" applyFont="1" applyAlignment="1">
      <alignment horizontal="center" vertical="center"/>
    </xf>
    <xf numFmtId="164" fontId="58" fillId="0" borderId="14" xfId="0" applyNumberFormat="1" applyFont="1" applyBorder="1" applyAlignment="1">
      <alignment horizontal="center" vertical="center"/>
    </xf>
    <xf numFmtId="164" fontId="58" fillId="0" borderId="15" xfId="0" applyNumberFormat="1" applyFont="1" applyBorder="1" applyAlignment="1">
      <alignment horizontal="center" vertical="center"/>
    </xf>
    <xf numFmtId="164" fontId="58" fillId="0" borderId="16" xfId="0" applyNumberFormat="1" applyFont="1" applyBorder="1" applyAlignment="1">
      <alignment horizontal="center" vertical="center"/>
    </xf>
    <xf numFmtId="164" fontId="58" fillId="0" borderId="22" xfId="0" applyNumberFormat="1" applyFont="1" applyBorder="1" applyAlignment="1">
      <alignment horizontal="center" vertical="center"/>
    </xf>
    <xf numFmtId="0" fontId="33" fillId="3" borderId="23" xfId="0" applyFont="1" applyFill="1" applyBorder="1" applyAlignment="1">
      <alignment horizontal="center" vertical="top"/>
    </xf>
    <xf numFmtId="0" fontId="33" fillId="3" borderId="13" xfId="0" applyFont="1" applyFill="1" applyBorder="1" applyAlignment="1">
      <alignment horizontal="center" vertical="top"/>
    </xf>
    <xf numFmtId="0" fontId="33" fillId="3" borderId="24" xfId="0" applyFont="1" applyFill="1" applyBorder="1" applyAlignment="1">
      <alignment horizontal="center" vertical="top"/>
    </xf>
    <xf numFmtId="0" fontId="33" fillId="3" borderId="15" xfId="0" applyFont="1" applyFill="1" applyBorder="1" applyAlignment="1">
      <alignment horizontal="center" vertical="top"/>
    </xf>
    <xf numFmtId="0" fontId="33" fillId="3" borderId="16" xfId="0" applyFont="1" applyFill="1" applyBorder="1" applyAlignment="1">
      <alignment horizontal="center" vertical="top"/>
    </xf>
    <xf numFmtId="0" fontId="33" fillId="3" borderId="22" xfId="0" applyFont="1" applyFill="1" applyBorder="1" applyAlignment="1">
      <alignment horizontal="center" vertical="top"/>
    </xf>
    <xf numFmtId="0" fontId="58" fillId="0" borderId="178" xfId="0" applyFont="1" applyBorder="1" applyAlignment="1">
      <alignment horizontal="center"/>
    </xf>
    <xf numFmtId="0" fontId="87" fillId="18" borderId="23" xfId="0" applyFont="1" applyFill="1" applyBorder="1" applyAlignment="1">
      <alignment horizontal="center" vertical="top" wrapText="1"/>
    </xf>
    <xf numFmtId="0" fontId="87" fillId="18" borderId="13" xfId="0" applyFont="1" applyFill="1" applyBorder="1" applyAlignment="1">
      <alignment horizontal="center" vertical="top" wrapText="1"/>
    </xf>
    <xf numFmtId="0" fontId="87" fillId="18" borderId="24" xfId="0" applyFont="1" applyFill="1" applyBorder="1" applyAlignment="1">
      <alignment horizontal="center" vertical="top" wrapText="1"/>
    </xf>
    <xf numFmtId="0" fontId="87" fillId="18" borderId="31" xfId="0" applyFont="1" applyFill="1" applyBorder="1" applyAlignment="1">
      <alignment horizontal="center" vertical="top" wrapText="1"/>
    </xf>
    <xf numFmtId="0" fontId="87" fillId="18" borderId="0" xfId="0" applyFont="1" applyFill="1" applyAlignment="1">
      <alignment horizontal="center" vertical="top" wrapText="1"/>
    </xf>
    <xf numFmtId="0" fontId="87" fillId="18" borderId="14" xfId="0" applyFont="1" applyFill="1" applyBorder="1" applyAlignment="1">
      <alignment horizontal="center" vertical="top" wrapText="1"/>
    </xf>
    <xf numFmtId="0" fontId="58" fillId="0" borderId="43" xfId="0" applyFont="1" applyBorder="1" applyAlignment="1">
      <alignment horizontal="center"/>
    </xf>
    <xf numFmtId="0" fontId="26" fillId="0" borderId="49" xfId="0" applyFont="1" applyBorder="1" applyAlignment="1">
      <alignment horizontal="center" vertical="center"/>
    </xf>
    <xf numFmtId="0" fontId="26" fillId="20" borderId="23" xfId="0" applyFont="1" applyFill="1" applyBorder="1" applyAlignment="1">
      <alignment vertical="top"/>
    </xf>
    <xf numFmtId="0" fontId="26" fillId="20" borderId="13" xfId="0" applyFont="1" applyFill="1" applyBorder="1" applyAlignment="1">
      <alignment vertical="top"/>
    </xf>
    <xf numFmtId="0" fontId="26" fillId="20" borderId="31" xfId="0" applyFont="1" applyFill="1" applyBorder="1" applyAlignment="1">
      <alignment vertical="top"/>
    </xf>
    <xf numFmtId="0" fontId="26" fillId="20" borderId="0" xfId="0" applyFont="1" applyFill="1" applyAlignment="1">
      <alignment vertical="top"/>
    </xf>
    <xf numFmtId="0" fontId="33" fillId="3" borderId="41" xfId="0" applyFont="1" applyFill="1" applyBorder="1" applyAlignment="1">
      <alignment horizontal="center" vertical="center"/>
    </xf>
    <xf numFmtId="0" fontId="33" fillId="3" borderId="25" xfId="0" applyFont="1" applyFill="1" applyBorder="1" applyAlignment="1">
      <alignment horizontal="center" vertical="center"/>
    </xf>
    <xf numFmtId="0" fontId="33" fillId="3" borderId="46" xfId="0" applyFont="1" applyFill="1" applyBorder="1" applyAlignment="1">
      <alignment horizontal="center" vertical="center"/>
    </xf>
    <xf numFmtId="164" fontId="30" fillId="3" borderId="15" xfId="0" applyNumberFormat="1" applyFont="1" applyFill="1" applyBorder="1" applyAlignment="1">
      <alignment horizontal="center" vertical="center"/>
    </xf>
    <xf numFmtId="164" fontId="30" fillId="3" borderId="22" xfId="0" applyNumberFormat="1" applyFont="1" applyFill="1" applyBorder="1" applyAlignment="1">
      <alignment horizontal="center" vertical="center"/>
    </xf>
    <xf numFmtId="164" fontId="20" fillId="7" borderId="23" xfId="0" applyNumberFormat="1" applyFont="1" applyFill="1" applyBorder="1" applyAlignment="1">
      <alignment horizontal="center" vertical="center"/>
    </xf>
    <xf numFmtId="164" fontId="20" fillId="7" borderId="24" xfId="0" applyNumberFormat="1" applyFont="1" applyFill="1" applyBorder="1" applyAlignment="1">
      <alignment horizontal="center" vertical="center"/>
    </xf>
    <xf numFmtId="0" fontId="100" fillId="19" borderId="41" xfId="1" applyFont="1" applyFill="1" applyBorder="1" applyAlignment="1">
      <alignment horizontal="center" vertical="center"/>
    </xf>
    <xf numFmtId="0" fontId="100" fillId="19" borderId="25" xfId="1" applyFont="1" applyFill="1" applyBorder="1" applyAlignment="1">
      <alignment horizontal="center" vertical="center"/>
    </xf>
    <xf numFmtId="0" fontId="100" fillId="19" borderId="13" xfId="1" applyFont="1" applyFill="1" applyBorder="1" applyAlignment="1">
      <alignment horizontal="center" vertical="center"/>
    </xf>
    <xf numFmtId="0" fontId="100" fillId="19" borderId="24" xfId="1" applyFont="1" applyFill="1" applyBorder="1" applyAlignment="1">
      <alignment horizontal="center" vertical="center"/>
    </xf>
    <xf numFmtId="0" fontId="26" fillId="5" borderId="46" xfId="0" applyFont="1" applyFill="1" applyBorder="1" applyAlignment="1">
      <alignment horizontal="center" vertical="center"/>
    </xf>
    <xf numFmtId="0" fontId="58" fillId="0" borderId="50" xfId="0" applyFont="1" applyBorder="1" applyAlignment="1">
      <alignment horizontal="center"/>
    </xf>
    <xf numFmtId="0" fontId="58" fillId="0" borderId="161" xfId="0" applyFont="1" applyBorder="1" applyAlignment="1">
      <alignment horizontal="center"/>
    </xf>
    <xf numFmtId="0" fontId="100" fillId="19" borderId="46" xfId="1" applyFont="1" applyFill="1" applyBorder="1" applyAlignment="1">
      <alignment horizontal="center" vertical="center"/>
    </xf>
    <xf numFmtId="166" fontId="85" fillId="10" borderId="23" xfId="0" applyNumberFormat="1" applyFont="1" applyFill="1" applyBorder="1" applyAlignment="1">
      <alignment horizontal="center" vertical="center"/>
    </xf>
    <xf numFmtId="166" fontId="85" fillId="10" borderId="24" xfId="0" applyNumberFormat="1" applyFont="1" applyFill="1" applyBorder="1" applyAlignment="1">
      <alignment horizontal="center" vertical="center"/>
    </xf>
    <xf numFmtId="166" fontId="85" fillId="10" borderId="31" xfId="0" applyNumberFormat="1" applyFont="1" applyFill="1" applyBorder="1" applyAlignment="1">
      <alignment horizontal="center" vertical="center"/>
    </xf>
    <xf numFmtId="166" fontId="85" fillId="10" borderId="14" xfId="0" applyNumberFormat="1" applyFont="1" applyFill="1" applyBorder="1" applyAlignment="1">
      <alignment horizontal="center" vertical="center"/>
    </xf>
    <xf numFmtId="0" fontId="58" fillId="0" borderId="268" xfId="0" applyFont="1" applyBorder="1" applyAlignment="1">
      <alignment horizontal="center"/>
    </xf>
    <xf numFmtId="0" fontId="58" fillId="0" borderId="250" xfId="0" applyFont="1" applyBorder="1" applyAlignment="1">
      <alignment horizontal="center"/>
    </xf>
    <xf numFmtId="0" fontId="33" fillId="3" borderId="15" xfId="0" applyFont="1" applyFill="1" applyBorder="1" applyAlignment="1">
      <alignment horizontal="center" vertical="center"/>
    </xf>
    <xf numFmtId="0" fontId="33" fillId="3" borderId="16" xfId="0" applyFont="1" applyFill="1" applyBorder="1" applyAlignment="1">
      <alignment horizontal="center" vertical="center"/>
    </xf>
    <xf numFmtId="0" fontId="33" fillId="3" borderId="22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top"/>
    </xf>
    <xf numFmtId="0" fontId="33" fillId="3" borderId="25" xfId="0" applyFont="1" applyFill="1" applyBorder="1" applyAlignment="1">
      <alignment horizontal="center" vertical="top"/>
    </xf>
    <xf numFmtId="0" fontId="33" fillId="3" borderId="46" xfId="0" applyFont="1" applyFill="1" applyBorder="1" applyAlignment="1">
      <alignment horizontal="center" vertical="top"/>
    </xf>
    <xf numFmtId="0" fontId="33" fillId="3" borderId="31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58" fillId="7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46" fillId="7" borderId="0" xfId="0" applyFont="1" applyFill="1" applyAlignment="1">
      <alignment horizontal="center"/>
    </xf>
    <xf numFmtId="0" fontId="58" fillId="0" borderId="49" xfId="0" applyFont="1" applyBorder="1" applyAlignment="1">
      <alignment horizontal="center"/>
    </xf>
    <xf numFmtId="0" fontId="26" fillId="14" borderId="15" xfId="0" applyFont="1" applyFill="1" applyBorder="1" applyAlignment="1">
      <alignment horizontal="center" vertical="center"/>
    </xf>
    <xf numFmtId="0" fontId="26" fillId="14" borderId="16" xfId="0" applyFont="1" applyFill="1" applyBorder="1" applyAlignment="1">
      <alignment horizontal="center" vertical="center"/>
    </xf>
    <xf numFmtId="0" fontId="26" fillId="14" borderId="23" xfId="0" applyFont="1" applyFill="1" applyBorder="1" applyAlignment="1">
      <alignment horizontal="center" vertical="center"/>
    </xf>
    <xf numFmtId="0" fontId="26" fillId="14" borderId="13" xfId="0" applyFont="1" applyFill="1" applyBorder="1" applyAlignment="1">
      <alignment horizontal="center" vertical="center"/>
    </xf>
    <xf numFmtId="166" fontId="83" fillId="0" borderId="23" xfId="0" applyNumberFormat="1" applyFont="1" applyBorder="1" applyAlignment="1">
      <alignment horizontal="center" vertical="center"/>
    </xf>
    <xf numFmtId="166" fontId="83" fillId="0" borderId="13" xfId="0" applyNumberFormat="1" applyFont="1" applyBorder="1" applyAlignment="1">
      <alignment horizontal="center" vertical="center"/>
    </xf>
    <xf numFmtId="166" fontId="83" fillId="0" borderId="24" xfId="0" applyNumberFormat="1" applyFont="1" applyBorder="1" applyAlignment="1">
      <alignment horizontal="center" vertical="center"/>
    </xf>
    <xf numFmtId="166" fontId="83" fillId="0" borderId="15" xfId="0" applyNumberFormat="1" applyFont="1" applyBorder="1" applyAlignment="1">
      <alignment horizontal="center" vertical="center"/>
    </xf>
    <xf numFmtId="166" fontId="83" fillId="0" borderId="16" xfId="0" applyNumberFormat="1" applyFont="1" applyBorder="1" applyAlignment="1">
      <alignment horizontal="center" vertical="center"/>
    </xf>
    <xf numFmtId="166" fontId="83" fillId="0" borderId="22" xfId="0" applyNumberFormat="1" applyFont="1" applyBorder="1" applyAlignment="1">
      <alignment horizontal="center" vertical="center"/>
    </xf>
    <xf numFmtId="0" fontId="36" fillId="7" borderId="0" xfId="0" applyFont="1" applyFill="1" applyAlignment="1">
      <alignment horizontal="center"/>
    </xf>
    <xf numFmtId="0" fontId="36" fillId="7" borderId="14" xfId="0" applyFont="1" applyFill="1" applyBorder="1" applyAlignment="1">
      <alignment horizontal="center"/>
    </xf>
    <xf numFmtId="166" fontId="33" fillId="3" borderId="23" xfId="0" applyNumberFormat="1" applyFont="1" applyFill="1" applyBorder="1" applyAlignment="1">
      <alignment horizontal="center" vertical="center"/>
    </xf>
    <xf numFmtId="166" fontId="33" fillId="3" borderId="13" xfId="0" applyNumberFormat="1" applyFont="1" applyFill="1" applyBorder="1" applyAlignment="1">
      <alignment horizontal="center" vertical="center"/>
    </xf>
    <xf numFmtId="166" fontId="33" fillId="3" borderId="24" xfId="0" applyNumberFormat="1" applyFont="1" applyFill="1" applyBorder="1" applyAlignment="1">
      <alignment horizontal="center" vertical="center"/>
    </xf>
    <xf numFmtId="166" fontId="33" fillId="3" borderId="31" xfId="0" applyNumberFormat="1" applyFont="1" applyFill="1" applyBorder="1" applyAlignment="1">
      <alignment horizontal="center" vertical="center"/>
    </xf>
    <xf numFmtId="166" fontId="33" fillId="3" borderId="0" xfId="0" applyNumberFormat="1" applyFont="1" applyFill="1" applyAlignment="1">
      <alignment horizontal="center" vertical="center"/>
    </xf>
    <xf numFmtId="166" fontId="33" fillId="3" borderId="14" xfId="0" applyNumberFormat="1" applyFont="1" applyFill="1" applyBorder="1" applyAlignment="1">
      <alignment horizontal="center" vertical="center"/>
    </xf>
    <xf numFmtId="166" fontId="87" fillId="17" borderId="23" xfId="0" applyNumberFormat="1" applyFont="1" applyFill="1" applyBorder="1" applyAlignment="1">
      <alignment horizontal="center" vertical="top"/>
    </xf>
    <xf numFmtId="166" fontId="87" fillId="17" borderId="13" xfId="0" applyNumberFormat="1" applyFont="1" applyFill="1" applyBorder="1" applyAlignment="1">
      <alignment horizontal="center" vertical="top"/>
    </xf>
    <xf numFmtId="166" fontId="87" fillId="17" borderId="24" xfId="0" applyNumberFormat="1" applyFont="1" applyFill="1" applyBorder="1" applyAlignment="1">
      <alignment horizontal="center" vertical="top"/>
    </xf>
    <xf numFmtId="166" fontId="87" fillId="17" borderId="31" xfId="0" applyNumberFormat="1" applyFont="1" applyFill="1" applyBorder="1" applyAlignment="1">
      <alignment horizontal="center" vertical="top"/>
    </xf>
    <xf numFmtId="166" fontId="87" fillId="17" borderId="0" xfId="0" applyNumberFormat="1" applyFont="1" applyFill="1" applyAlignment="1">
      <alignment horizontal="center" vertical="top"/>
    </xf>
    <xf numFmtId="166" fontId="87" fillId="17" borderId="14" xfId="0" applyNumberFormat="1" applyFont="1" applyFill="1" applyBorder="1" applyAlignment="1">
      <alignment horizontal="center" vertical="top"/>
    </xf>
    <xf numFmtId="0" fontId="11" fillId="7" borderId="0" xfId="0" applyFont="1" applyFill="1" applyAlignment="1">
      <alignment horizontal="center"/>
    </xf>
    <xf numFmtId="0" fontId="46" fillId="7" borderId="0" xfId="0" applyFont="1" applyFill="1" applyAlignment="1">
      <alignment horizontal="center" vertical="center"/>
    </xf>
    <xf numFmtId="0" fontId="36" fillId="7" borderId="0" xfId="0" applyFont="1" applyFill="1" applyAlignment="1">
      <alignment horizontal="right" vertical="center"/>
    </xf>
    <xf numFmtId="169" fontId="73" fillId="7" borderId="0" xfId="0" applyNumberFormat="1" applyFont="1" applyFill="1" applyAlignment="1">
      <alignment horizontal="center"/>
    </xf>
    <xf numFmtId="169" fontId="73" fillId="7" borderId="16" xfId="0" applyNumberFormat="1" applyFont="1" applyFill="1" applyBorder="1" applyAlignment="1">
      <alignment horizontal="center"/>
    </xf>
    <xf numFmtId="0" fontId="26" fillId="17" borderId="15" xfId="0" applyFont="1" applyFill="1" applyBorder="1" applyAlignment="1">
      <alignment horizontal="center"/>
    </xf>
    <xf numFmtId="0" fontId="26" fillId="17" borderId="16" xfId="0" applyFont="1" applyFill="1" applyBorder="1" applyAlignment="1">
      <alignment horizontal="center"/>
    </xf>
    <xf numFmtId="0" fontId="26" fillId="17" borderId="22" xfId="0" applyFont="1" applyFill="1" applyBorder="1" applyAlignment="1">
      <alignment horizontal="center"/>
    </xf>
    <xf numFmtId="0" fontId="75" fillId="22" borderId="15" xfId="0" applyFont="1" applyFill="1" applyBorder="1" applyAlignment="1">
      <alignment horizontal="center" vertical="center"/>
    </xf>
    <xf numFmtId="0" fontId="75" fillId="22" borderId="16" xfId="0" applyFont="1" applyFill="1" applyBorder="1" applyAlignment="1">
      <alignment horizontal="center" vertical="center"/>
    </xf>
    <xf numFmtId="0" fontId="75" fillId="22" borderId="22" xfId="0" applyFont="1" applyFill="1" applyBorder="1" applyAlignment="1">
      <alignment horizontal="center" vertical="center"/>
    </xf>
    <xf numFmtId="0" fontId="58" fillId="22" borderId="134" xfId="0" applyFont="1" applyFill="1" applyBorder="1" applyAlignment="1">
      <alignment horizontal="center" vertical="center" wrapText="1"/>
    </xf>
    <xf numFmtId="0" fontId="58" fillId="22" borderId="34" xfId="0" applyFont="1" applyFill="1" applyBorder="1" applyAlignment="1">
      <alignment horizontal="center" vertical="center" wrapText="1"/>
    </xf>
    <xf numFmtId="0" fontId="58" fillId="22" borderId="130" xfId="0" applyFont="1" applyFill="1" applyBorder="1" applyAlignment="1">
      <alignment horizontal="center" vertical="center" wrapText="1"/>
    </xf>
    <xf numFmtId="0" fontId="58" fillId="22" borderId="103" xfId="0" applyFont="1" applyFill="1" applyBorder="1" applyAlignment="1">
      <alignment horizontal="center" vertical="center" wrapText="1"/>
    </xf>
    <xf numFmtId="0" fontId="58" fillId="22" borderId="35" xfId="0" applyFont="1" applyFill="1" applyBorder="1" applyAlignment="1">
      <alignment horizontal="center" vertical="center" wrapText="1"/>
    </xf>
    <xf numFmtId="0" fontId="58" fillId="22" borderId="122" xfId="0" applyFont="1" applyFill="1" applyBorder="1" applyAlignment="1">
      <alignment horizontal="center" vertical="center" wrapText="1"/>
    </xf>
    <xf numFmtId="0" fontId="58" fillId="16" borderId="34" xfId="0" applyFont="1" applyFill="1" applyBorder="1" applyAlignment="1">
      <alignment horizontal="center" vertical="center" wrapText="1"/>
    </xf>
    <xf numFmtId="0" fontId="58" fillId="16" borderId="130" xfId="0" applyFont="1" applyFill="1" applyBorder="1" applyAlignment="1">
      <alignment horizontal="center" vertical="center" wrapText="1"/>
    </xf>
    <xf numFmtId="0" fontId="58" fillId="16" borderId="35" xfId="0" applyFont="1" applyFill="1" applyBorder="1" applyAlignment="1">
      <alignment horizontal="center" vertical="center" wrapText="1"/>
    </xf>
    <xf numFmtId="0" fontId="58" fillId="16" borderId="122" xfId="0" applyFont="1" applyFill="1" applyBorder="1" applyAlignment="1">
      <alignment horizontal="center" vertical="center" wrapText="1"/>
    </xf>
    <xf numFmtId="0" fontId="75" fillId="16" borderId="0" xfId="0" applyFont="1" applyFill="1" applyAlignment="1">
      <alignment horizontal="center" vertical="center"/>
    </xf>
    <xf numFmtId="0" fontId="75" fillId="16" borderId="14" xfId="0" applyFont="1" applyFill="1" applyBorder="1" applyAlignment="1">
      <alignment horizontal="center" vertical="center"/>
    </xf>
    <xf numFmtId="164" fontId="36" fillId="25" borderId="34" xfId="0" applyNumberFormat="1" applyFont="1" applyFill="1" applyBorder="1" applyAlignment="1">
      <alignment horizontal="center"/>
    </xf>
    <xf numFmtId="164" fontId="36" fillId="25" borderId="133" xfId="0" applyNumberFormat="1" applyFont="1" applyFill="1" applyBorder="1" applyAlignment="1">
      <alignment horizontal="center"/>
    </xf>
    <xf numFmtId="0" fontId="75" fillId="16" borderId="31" xfId="0" applyFont="1" applyFill="1" applyBorder="1" applyAlignment="1">
      <alignment horizontal="center" vertical="center"/>
    </xf>
    <xf numFmtId="0" fontId="120" fillId="17" borderId="31" xfId="0" applyFont="1" applyFill="1" applyBorder="1" applyAlignment="1">
      <alignment horizontal="center"/>
    </xf>
    <xf numFmtId="0" fontId="120" fillId="17" borderId="0" xfId="0" applyFont="1" applyFill="1" applyAlignment="1">
      <alignment horizontal="center"/>
    </xf>
    <xf numFmtId="0" fontId="120" fillId="17" borderId="14" xfId="0" applyFont="1" applyFill="1" applyBorder="1" applyAlignment="1">
      <alignment horizontal="center"/>
    </xf>
    <xf numFmtId="167" fontId="120" fillId="17" borderId="31" xfId="0" applyNumberFormat="1" applyFont="1" applyFill="1" applyBorder="1" applyAlignment="1">
      <alignment horizontal="center" vertical="center"/>
    </xf>
    <xf numFmtId="167" fontId="120" fillId="17" borderId="0" xfId="0" applyNumberFormat="1" applyFont="1" applyFill="1" applyAlignment="1">
      <alignment horizontal="center" vertical="center"/>
    </xf>
    <xf numFmtId="167" fontId="120" fillId="17" borderId="14" xfId="0" applyNumberFormat="1" applyFont="1" applyFill="1" applyBorder="1" applyAlignment="1">
      <alignment horizontal="center" vertical="center"/>
    </xf>
    <xf numFmtId="0" fontId="66" fillId="24" borderId="167" xfId="0" applyFont="1" applyFill="1" applyBorder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66" fillId="24" borderId="164" xfId="0" applyFont="1" applyFill="1" applyBorder="1" applyAlignment="1">
      <alignment horizontal="center" vertical="center"/>
    </xf>
    <xf numFmtId="0" fontId="26" fillId="16" borderId="0" xfId="0" applyFont="1" applyFill="1" applyAlignment="1">
      <alignment horizontal="center"/>
    </xf>
    <xf numFmtId="0" fontId="26" fillId="16" borderId="14" xfId="0" applyFont="1" applyFill="1" applyBorder="1" applyAlignment="1">
      <alignment horizontal="center"/>
    </xf>
    <xf numFmtId="0" fontId="66" fillId="24" borderId="167" xfId="0" applyFont="1" applyFill="1" applyBorder="1" applyAlignment="1">
      <alignment horizontal="center" vertical="center" wrapText="1"/>
    </xf>
    <xf numFmtId="0" fontId="66" fillId="24" borderId="0" xfId="0" applyFont="1" applyFill="1" applyAlignment="1">
      <alignment horizontal="center" vertical="center" wrapText="1"/>
    </xf>
    <xf numFmtId="0" fontId="66" fillId="24" borderId="164" xfId="0" applyFont="1" applyFill="1" applyBorder="1" applyAlignment="1">
      <alignment horizontal="center" vertical="center" wrapText="1"/>
    </xf>
    <xf numFmtId="0" fontId="29" fillId="24" borderId="166" xfId="0" applyFont="1" applyFill="1" applyBorder="1" applyAlignment="1">
      <alignment horizontal="center" vertical="center"/>
    </xf>
    <xf numFmtId="0" fontId="29" fillId="24" borderId="13" xfId="0" applyFont="1" applyFill="1" applyBorder="1" applyAlignment="1">
      <alignment horizontal="center" vertical="center"/>
    </xf>
    <xf numFmtId="0" fontId="29" fillId="24" borderId="131" xfId="0" applyFont="1" applyFill="1" applyBorder="1" applyAlignment="1">
      <alignment horizontal="center" vertical="center"/>
    </xf>
    <xf numFmtId="0" fontId="29" fillId="24" borderId="165" xfId="0" applyFont="1" applyFill="1" applyBorder="1" applyAlignment="1">
      <alignment horizontal="center" vertical="center"/>
    </xf>
    <xf numFmtId="0" fontId="29" fillId="24" borderId="16" xfId="0" applyFont="1" applyFill="1" applyBorder="1" applyAlignment="1">
      <alignment horizontal="center" vertical="center"/>
    </xf>
    <xf numFmtId="0" fontId="29" fillId="24" borderId="169" xfId="0" applyFont="1" applyFill="1" applyBorder="1" applyAlignment="1">
      <alignment horizontal="center" vertical="center"/>
    </xf>
    <xf numFmtId="0" fontId="29" fillId="24" borderId="59" xfId="0" applyFont="1" applyFill="1" applyBorder="1" applyAlignment="1">
      <alignment horizontal="center" vertical="center"/>
    </xf>
    <xf numFmtId="0" fontId="29" fillId="24" borderId="25" xfId="0" applyFont="1" applyFill="1" applyBorder="1" applyAlignment="1">
      <alignment horizontal="center" vertical="center"/>
    </xf>
    <xf numFmtId="0" fontId="29" fillId="24" borderId="58" xfId="0" applyFont="1" applyFill="1" applyBorder="1" applyAlignment="1">
      <alignment horizontal="center" vertical="center"/>
    </xf>
    <xf numFmtId="0" fontId="95" fillId="13" borderId="194" xfId="1" applyFont="1" applyFill="1" applyBorder="1" applyAlignment="1">
      <alignment horizontal="center" vertical="center"/>
    </xf>
    <xf numFmtId="0" fontId="95" fillId="13" borderId="36" xfId="1" applyFont="1" applyFill="1" applyBorder="1" applyAlignment="1">
      <alignment horizontal="center" vertical="center"/>
    </xf>
    <xf numFmtId="0" fontId="95" fillId="13" borderId="195" xfId="1" applyFont="1" applyFill="1" applyBorder="1" applyAlignment="1">
      <alignment horizontal="center" vertical="center"/>
    </xf>
    <xf numFmtId="0" fontId="26" fillId="24" borderId="166" xfId="0" applyFont="1" applyFill="1" applyBorder="1" applyAlignment="1">
      <alignment horizontal="center" vertical="center"/>
    </xf>
    <xf numFmtId="0" fontId="26" fillId="24" borderId="13" xfId="0" applyFont="1" applyFill="1" applyBorder="1" applyAlignment="1">
      <alignment horizontal="center" vertical="center"/>
    </xf>
    <xf numFmtId="0" fontId="26" fillId="24" borderId="131" xfId="0" applyFont="1" applyFill="1" applyBorder="1" applyAlignment="1">
      <alignment horizontal="center" vertical="center"/>
    </xf>
    <xf numFmtId="0" fontId="66" fillId="24" borderId="168" xfId="0" applyFont="1" applyFill="1" applyBorder="1" applyAlignment="1">
      <alignment horizontal="center" vertical="center"/>
    </xf>
    <xf numFmtId="0" fontId="66" fillId="24" borderId="35" xfId="0" applyFont="1" applyFill="1" applyBorder="1" applyAlignment="1">
      <alignment horizontal="center" vertical="center"/>
    </xf>
    <xf numFmtId="0" fontId="66" fillId="24" borderId="39" xfId="0" applyFont="1" applyFill="1" applyBorder="1" applyAlignment="1">
      <alignment horizontal="center" vertical="center"/>
    </xf>
    <xf numFmtId="164" fontId="36" fillId="0" borderId="167" xfId="0" applyNumberFormat="1" applyFont="1" applyBorder="1" applyAlignment="1">
      <alignment horizontal="center"/>
    </xf>
    <xf numFmtId="164" fontId="36" fillId="0" borderId="0" xfId="0" applyNumberFormat="1" applyFont="1" applyAlignment="1">
      <alignment horizontal="center"/>
    </xf>
    <xf numFmtId="0" fontId="95" fillId="13" borderId="59" xfId="1" applyFont="1" applyFill="1" applyBorder="1" applyAlignment="1">
      <alignment horizontal="center" vertical="center"/>
    </xf>
    <xf numFmtId="0" fontId="95" fillId="13" borderId="25" xfId="1" applyFont="1" applyFill="1" applyBorder="1" applyAlignment="1">
      <alignment horizontal="center" vertical="center"/>
    </xf>
    <xf numFmtId="0" fontId="95" fillId="13" borderId="58" xfId="1" applyFont="1" applyFill="1" applyBorder="1" applyAlignment="1">
      <alignment horizontal="center" vertical="center"/>
    </xf>
    <xf numFmtId="0" fontId="29" fillId="22" borderId="167" xfId="0" applyFont="1" applyFill="1" applyBorder="1" applyAlignment="1">
      <alignment horizontal="center" vertical="center"/>
    </xf>
    <xf numFmtId="0" fontId="29" fillId="22" borderId="164" xfId="0" applyFont="1" applyFill="1" applyBorder="1" applyAlignment="1">
      <alignment horizontal="center" vertical="center"/>
    </xf>
    <xf numFmtId="0" fontId="39" fillId="4" borderId="31" xfId="0" applyFont="1" applyFill="1" applyBorder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39" fillId="4" borderId="14" xfId="0" applyFont="1" applyFill="1" applyBorder="1" applyAlignment="1">
      <alignment horizontal="center" vertical="center"/>
    </xf>
    <xf numFmtId="0" fontId="39" fillId="3" borderId="41" xfId="0" applyFont="1" applyFill="1" applyBorder="1" applyAlignment="1">
      <alignment horizontal="center" vertical="center"/>
    </xf>
    <xf numFmtId="0" fontId="39" fillId="3" borderId="25" xfId="0" applyFont="1" applyFill="1" applyBorder="1" applyAlignment="1">
      <alignment horizontal="center" vertical="center"/>
    </xf>
    <xf numFmtId="0" fontId="39" fillId="3" borderId="46" xfId="0" applyFont="1" applyFill="1" applyBorder="1" applyAlignment="1">
      <alignment horizontal="center" vertical="center"/>
    </xf>
    <xf numFmtId="0" fontId="26" fillId="15" borderId="166" xfId="1" applyFont="1" applyFill="1" applyBorder="1" applyAlignment="1">
      <alignment horizontal="center" vertical="center"/>
    </xf>
    <xf numFmtId="0" fontId="26" fillId="15" borderId="13" xfId="1" applyFont="1" applyFill="1" applyBorder="1" applyAlignment="1">
      <alignment horizontal="center" vertical="center"/>
    </xf>
    <xf numFmtId="0" fontId="26" fillId="15" borderId="24" xfId="1" applyFont="1" applyFill="1" applyBorder="1" applyAlignment="1">
      <alignment horizontal="center" vertical="center"/>
    </xf>
    <xf numFmtId="0" fontId="26" fillId="15" borderId="168" xfId="1" applyFont="1" applyFill="1" applyBorder="1" applyAlignment="1">
      <alignment horizontal="center" vertical="center"/>
    </xf>
    <xf numFmtId="0" fontId="26" fillId="15" borderId="35" xfId="1" applyFont="1" applyFill="1" applyBorder="1" applyAlignment="1">
      <alignment horizontal="center" vertical="center"/>
    </xf>
    <xf numFmtId="0" fontId="26" fillId="15" borderId="122" xfId="1" applyFont="1" applyFill="1" applyBorder="1" applyAlignment="1">
      <alignment horizontal="center" vertical="center"/>
    </xf>
    <xf numFmtId="0" fontId="29" fillId="12" borderId="31" xfId="0" applyFont="1" applyFill="1" applyBorder="1" applyAlignment="1">
      <alignment horizontal="center" vertical="center"/>
    </xf>
    <xf numFmtId="0" fontId="29" fillId="12" borderId="164" xfId="0" applyFont="1" applyFill="1" applyBorder="1" applyAlignment="1">
      <alignment horizontal="center" vertical="center"/>
    </xf>
    <xf numFmtId="0" fontId="29" fillId="22" borderId="166" xfId="0" applyFont="1" applyFill="1" applyBorder="1" applyAlignment="1">
      <alignment horizontal="center" vertical="center"/>
    </xf>
    <xf numFmtId="0" fontId="29" fillId="22" borderId="131" xfId="0" applyFont="1" applyFill="1" applyBorder="1" applyAlignment="1">
      <alignment horizontal="center" vertical="center"/>
    </xf>
    <xf numFmtId="0" fontId="29" fillId="16" borderId="15" xfId="0" applyFont="1" applyFill="1" applyBorder="1" applyAlignment="1">
      <alignment horizontal="center" vertical="center"/>
    </xf>
    <xf numFmtId="0" fontId="29" fillId="16" borderId="169" xfId="0" applyFont="1" applyFill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131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69" xfId="0" applyFont="1" applyBorder="1" applyAlignment="1">
      <alignment horizontal="center" vertical="center"/>
    </xf>
    <xf numFmtId="0" fontId="29" fillId="12" borderId="23" xfId="0" applyFont="1" applyFill="1" applyBorder="1" applyAlignment="1">
      <alignment horizontal="center" vertical="center"/>
    </xf>
    <xf numFmtId="0" fontId="29" fillId="12" borderId="131" xfId="0" applyFont="1" applyFill="1" applyBorder="1" applyAlignment="1">
      <alignment horizontal="center" vertical="center"/>
    </xf>
    <xf numFmtId="0" fontId="29" fillId="16" borderId="23" xfId="0" applyFont="1" applyFill="1" applyBorder="1" applyAlignment="1">
      <alignment horizontal="center" vertical="center"/>
    </xf>
    <xf numFmtId="0" fontId="29" fillId="16" borderId="131" xfId="0" applyFont="1" applyFill="1" applyBorder="1" applyAlignment="1">
      <alignment horizontal="center" vertical="center"/>
    </xf>
    <xf numFmtId="0" fontId="26" fillId="0" borderId="182" xfId="0" applyFont="1" applyBorder="1" applyAlignment="1">
      <alignment horizontal="center" vertical="center"/>
    </xf>
    <xf numFmtId="0" fontId="26" fillId="0" borderId="183" xfId="0" applyFont="1" applyBorder="1" applyAlignment="1">
      <alignment horizontal="center" vertical="center"/>
    </xf>
    <xf numFmtId="0" fontId="43" fillId="0" borderId="189" xfId="0" applyFont="1" applyBorder="1" applyAlignment="1">
      <alignment horizontal="center"/>
    </xf>
    <xf numFmtId="0" fontId="43" fillId="0" borderId="220" xfId="0" applyFont="1" applyBorder="1" applyAlignment="1">
      <alignment horizontal="center"/>
    </xf>
    <xf numFmtId="0" fontId="43" fillId="0" borderId="221" xfId="0" applyFont="1" applyBorder="1" applyAlignment="1">
      <alignment horizontal="center"/>
    </xf>
    <xf numFmtId="0" fontId="29" fillId="20" borderId="165" xfId="0" applyFont="1" applyFill="1" applyBorder="1" applyAlignment="1">
      <alignment horizontal="center" vertical="center"/>
    </xf>
    <xf numFmtId="0" fontId="29" fillId="20" borderId="169" xfId="0" applyFont="1" applyFill="1" applyBorder="1" applyAlignment="1">
      <alignment horizontal="center" vertical="center"/>
    </xf>
    <xf numFmtId="0" fontId="115" fillId="2" borderId="31" xfId="0" applyFont="1" applyFill="1" applyBorder="1" applyAlignment="1">
      <alignment horizontal="center" vertical="center"/>
    </xf>
    <xf numFmtId="0" fontId="115" fillId="2" borderId="0" xfId="0" applyFont="1" applyFill="1" applyAlignment="1">
      <alignment horizontal="center" vertical="center"/>
    </xf>
    <xf numFmtId="0" fontId="115" fillId="2" borderId="14" xfId="0" applyFont="1" applyFill="1" applyBorder="1" applyAlignment="1">
      <alignment horizontal="center" vertical="center"/>
    </xf>
    <xf numFmtId="0" fontId="115" fillId="2" borderId="32" xfId="0" applyFont="1" applyFill="1" applyBorder="1" applyAlignment="1">
      <alignment horizontal="center" vertical="center"/>
    </xf>
    <xf numFmtId="0" fontId="115" fillId="2" borderId="1" xfId="0" applyFont="1" applyFill="1" applyBorder="1" applyAlignment="1">
      <alignment horizontal="center" vertical="center"/>
    </xf>
    <xf numFmtId="0" fontId="115" fillId="2" borderId="33" xfId="0" applyFont="1" applyFill="1" applyBorder="1" applyAlignment="1">
      <alignment horizontal="center" vertical="center"/>
    </xf>
    <xf numFmtId="0" fontId="58" fillId="0" borderId="182" xfId="0" applyFont="1" applyBorder="1" applyAlignment="1">
      <alignment horizontal="center" vertical="center"/>
    </xf>
    <xf numFmtId="0" fontId="26" fillId="15" borderId="132" xfId="0" applyFont="1" applyFill="1" applyBorder="1" applyAlignment="1">
      <alignment horizontal="center"/>
    </xf>
    <xf numFmtId="0" fontId="26" fillId="15" borderId="34" xfId="0" applyFont="1" applyFill="1" applyBorder="1" applyAlignment="1">
      <alignment horizontal="center"/>
    </xf>
    <xf numFmtId="0" fontId="26" fillId="15" borderId="130" xfId="0" applyFont="1" applyFill="1" applyBorder="1" applyAlignment="1">
      <alignment horizontal="center"/>
    </xf>
    <xf numFmtId="0" fontId="26" fillId="0" borderId="31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58" fillId="0" borderId="31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36" fillId="5" borderId="143" xfId="0" applyFont="1" applyFill="1" applyBorder="1" applyAlignment="1">
      <alignment horizontal="center" vertical="center"/>
    </xf>
    <xf numFmtId="0" fontId="36" fillId="5" borderId="36" xfId="0" applyFont="1" applyFill="1" applyBorder="1" applyAlignment="1">
      <alignment horizontal="center" vertical="center"/>
    </xf>
    <xf numFmtId="0" fontId="58" fillId="0" borderId="34" xfId="0" applyFont="1" applyBorder="1" applyAlignment="1">
      <alignment horizontal="center" vertical="center"/>
    </xf>
    <xf numFmtId="0" fontId="75" fillId="22" borderId="31" xfId="0" applyFont="1" applyFill="1" applyBorder="1" applyAlignment="1">
      <alignment horizontal="center" vertical="center"/>
    </xf>
    <xf numFmtId="0" fontId="75" fillId="22" borderId="0" xfId="0" applyFont="1" applyFill="1" applyAlignment="1">
      <alignment horizontal="center" vertical="center"/>
    </xf>
    <xf numFmtId="0" fontId="75" fillId="22" borderId="14" xfId="0" applyFont="1" applyFill="1" applyBorder="1" applyAlignment="1">
      <alignment horizontal="center" vertical="center"/>
    </xf>
    <xf numFmtId="0" fontId="26" fillId="13" borderId="31" xfId="0" applyFont="1" applyFill="1" applyBorder="1" applyAlignment="1">
      <alignment horizontal="center"/>
    </xf>
    <xf numFmtId="0" fontId="26" fillId="13" borderId="0" xfId="0" applyFont="1" applyFill="1" applyAlignment="1">
      <alignment horizontal="center"/>
    </xf>
    <xf numFmtId="0" fontId="26" fillId="13" borderId="14" xfId="0" applyFont="1" applyFill="1" applyBorder="1" applyAlignment="1">
      <alignment horizontal="center"/>
    </xf>
    <xf numFmtId="166" fontId="26" fillId="13" borderId="31" xfId="0" applyNumberFormat="1" applyFont="1" applyFill="1" applyBorder="1" applyAlignment="1">
      <alignment horizontal="center"/>
    </xf>
    <xf numFmtId="166" fontId="26" fillId="13" borderId="0" xfId="0" applyNumberFormat="1" applyFont="1" applyFill="1" applyAlignment="1">
      <alignment horizontal="center"/>
    </xf>
    <xf numFmtId="166" fontId="26" fillId="13" borderId="14" xfId="0" applyNumberFormat="1" applyFont="1" applyFill="1" applyBorder="1" applyAlignment="1">
      <alignment horizontal="center"/>
    </xf>
    <xf numFmtId="0" fontId="26" fillId="13" borderId="31" xfId="0" applyFont="1" applyFill="1" applyBorder="1" applyAlignment="1">
      <alignment horizontal="center" vertical="center"/>
    </xf>
    <xf numFmtId="0" fontId="26" fillId="13" borderId="0" xfId="0" applyFont="1" applyFill="1" applyAlignment="1">
      <alignment horizontal="center" vertical="center"/>
    </xf>
    <xf numFmtId="0" fontId="26" fillId="13" borderId="14" xfId="0" applyFont="1" applyFill="1" applyBorder="1" applyAlignment="1">
      <alignment horizontal="center" vertical="center"/>
    </xf>
    <xf numFmtId="164" fontId="46" fillId="0" borderId="0" xfId="0" applyNumberFormat="1" applyFont="1" applyAlignment="1">
      <alignment horizontal="center" vertical="center"/>
    </xf>
    <xf numFmtId="164" fontId="36" fillId="25" borderId="16" xfId="0" applyNumberFormat="1" applyFont="1" applyFill="1" applyBorder="1" applyAlignment="1">
      <alignment horizontal="center"/>
    </xf>
    <xf numFmtId="164" fontId="36" fillId="25" borderId="169" xfId="0" applyNumberFormat="1" applyFont="1" applyFill="1" applyBorder="1" applyAlignment="1">
      <alignment horizontal="center"/>
    </xf>
    <xf numFmtId="164" fontId="36" fillId="25" borderId="13" xfId="0" applyNumberFormat="1" applyFont="1" applyFill="1" applyBorder="1" applyAlignment="1">
      <alignment horizontal="center" vertical="center"/>
    </xf>
    <xf numFmtId="164" fontId="36" fillId="25" borderId="131" xfId="0" applyNumberFormat="1" applyFont="1" applyFill="1" applyBorder="1" applyAlignment="1">
      <alignment horizontal="center" vertical="center"/>
    </xf>
    <xf numFmtId="166" fontId="62" fillId="4" borderId="132" xfId="0" applyNumberFormat="1" applyFont="1" applyFill="1" applyBorder="1" applyAlignment="1">
      <alignment horizontal="center" vertical="center"/>
    </xf>
    <xf numFmtId="166" fontId="62" fillId="4" borderId="34" xfId="0" applyNumberFormat="1" applyFont="1" applyFill="1" applyBorder="1" applyAlignment="1">
      <alignment horizontal="center" vertical="center"/>
    </xf>
    <xf numFmtId="166" fontId="36" fillId="0" borderId="167" xfId="0" applyNumberFormat="1" applyFont="1" applyBorder="1" applyAlignment="1">
      <alignment horizontal="center" vertical="center"/>
    </xf>
    <xf numFmtId="166" fontId="36" fillId="0" borderId="164" xfId="0" applyNumberFormat="1" applyFont="1" applyBorder="1" applyAlignment="1">
      <alignment horizontal="center" vertical="center"/>
    </xf>
    <xf numFmtId="164" fontId="36" fillId="0" borderId="167" xfId="0" applyNumberFormat="1" applyFont="1" applyBorder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36" fillId="0" borderId="167" xfId="0" applyFont="1" applyBorder="1" applyAlignment="1">
      <alignment horizontal="center"/>
    </xf>
    <xf numFmtId="0" fontId="36" fillId="0" borderId="164" xfId="0" applyFont="1" applyBorder="1" applyAlignment="1">
      <alignment horizontal="center"/>
    </xf>
    <xf numFmtId="164" fontId="36" fillId="25" borderId="0" xfId="0" applyNumberFormat="1" applyFont="1" applyFill="1" applyAlignment="1">
      <alignment horizontal="center"/>
    </xf>
    <xf numFmtId="164" fontId="36" fillId="25" borderId="164" xfId="0" applyNumberFormat="1" applyFont="1" applyFill="1" applyBorder="1" applyAlignment="1">
      <alignment horizontal="center"/>
    </xf>
    <xf numFmtId="0" fontId="26" fillId="13" borderId="132" xfId="0" applyFont="1" applyFill="1" applyBorder="1" applyAlignment="1">
      <alignment horizontal="center" vertical="center"/>
    </xf>
    <xf numFmtId="0" fontId="26" fillId="13" borderId="34" xfId="0" applyFont="1" applyFill="1" applyBorder="1" applyAlignment="1">
      <alignment horizontal="center" vertical="center"/>
    </xf>
    <xf numFmtId="0" fontId="26" fillId="13" borderId="130" xfId="0" applyFont="1" applyFill="1" applyBorder="1" applyAlignment="1">
      <alignment horizontal="center" vertical="center"/>
    </xf>
    <xf numFmtId="0" fontId="26" fillId="13" borderId="168" xfId="0" applyFont="1" applyFill="1" applyBorder="1" applyAlignment="1">
      <alignment horizontal="center" vertical="center"/>
    </xf>
    <xf numFmtId="0" fontId="26" fillId="13" borderId="35" xfId="0" applyFont="1" applyFill="1" applyBorder="1" applyAlignment="1">
      <alignment horizontal="center" vertical="center"/>
    </xf>
    <xf numFmtId="0" fontId="26" fillId="13" borderId="122" xfId="0" applyFont="1" applyFill="1" applyBorder="1" applyAlignment="1">
      <alignment horizontal="center" vertical="center"/>
    </xf>
    <xf numFmtId="0" fontId="26" fillId="16" borderId="31" xfId="0" applyFont="1" applyFill="1" applyBorder="1" applyAlignment="1">
      <alignment horizontal="center"/>
    </xf>
    <xf numFmtId="164" fontId="36" fillId="0" borderId="23" xfId="0" applyNumberFormat="1" applyFont="1" applyBorder="1" applyAlignment="1">
      <alignment horizontal="center" vertical="center"/>
    </xf>
    <xf numFmtId="164" fontId="36" fillId="0" borderId="13" xfId="0" applyNumberFormat="1" applyFont="1" applyBorder="1" applyAlignment="1">
      <alignment horizontal="center" vertical="center"/>
    </xf>
    <xf numFmtId="164" fontId="36" fillId="0" borderId="131" xfId="0" applyNumberFormat="1" applyFont="1" applyBorder="1" applyAlignment="1">
      <alignment horizontal="center" vertical="center"/>
    </xf>
    <xf numFmtId="164" fontId="36" fillId="0" borderId="103" xfId="0" applyNumberFormat="1" applyFont="1" applyBorder="1" applyAlignment="1">
      <alignment horizontal="center" vertical="center"/>
    </xf>
    <xf numFmtId="164" fontId="36" fillId="0" borderId="35" xfId="0" applyNumberFormat="1" applyFont="1" applyBorder="1" applyAlignment="1">
      <alignment horizontal="center" vertical="center"/>
    </xf>
    <xf numFmtId="164" fontId="36" fillId="0" borderId="39" xfId="0" applyNumberFormat="1" applyFont="1" applyBorder="1" applyAlignment="1">
      <alignment horizontal="center" vertical="center"/>
    </xf>
    <xf numFmtId="164" fontId="36" fillId="0" borderId="31" xfId="0" applyNumberFormat="1" applyFont="1" applyBorder="1" applyAlignment="1">
      <alignment horizontal="center" vertical="center"/>
    </xf>
    <xf numFmtId="164" fontId="36" fillId="0" borderId="14" xfId="0" applyNumberFormat="1" applyFont="1" applyBorder="1" applyAlignment="1">
      <alignment horizontal="center" vertical="center"/>
    </xf>
    <xf numFmtId="164" fontId="36" fillId="0" borderId="15" xfId="0" applyNumberFormat="1" applyFont="1" applyBorder="1" applyAlignment="1">
      <alignment horizontal="center" vertical="center"/>
    </xf>
    <xf numFmtId="164" fontId="36" fillId="0" borderId="22" xfId="0" applyNumberFormat="1" applyFont="1" applyBorder="1" applyAlignment="1">
      <alignment horizontal="center" vertical="center"/>
    </xf>
    <xf numFmtId="164" fontId="36" fillId="0" borderId="24" xfId="0" applyNumberFormat="1" applyFont="1" applyBorder="1" applyAlignment="1">
      <alignment horizontal="center" vertical="center"/>
    </xf>
    <xf numFmtId="0" fontId="26" fillId="0" borderId="132" xfId="0" applyFont="1" applyBorder="1" applyAlignment="1">
      <alignment horizontal="center" vertical="center" wrapText="1"/>
    </xf>
    <xf numFmtId="0" fontId="26" fillId="0" borderId="133" xfId="0" applyFont="1" applyBorder="1" applyAlignment="1">
      <alignment horizontal="center" vertical="center" wrapText="1"/>
    </xf>
    <xf numFmtId="0" fontId="26" fillId="0" borderId="167" xfId="0" applyFont="1" applyBorder="1" applyAlignment="1">
      <alignment horizontal="center" vertical="center" wrapText="1"/>
    </xf>
    <xf numFmtId="0" fontId="26" fillId="0" borderId="164" xfId="0" applyFont="1" applyBorder="1" applyAlignment="1">
      <alignment horizontal="center" vertical="center" wrapText="1"/>
    </xf>
    <xf numFmtId="0" fontId="26" fillId="0" borderId="165" xfId="0" applyFont="1" applyBorder="1" applyAlignment="1">
      <alignment horizontal="center" vertical="center" wrapText="1"/>
    </xf>
    <xf numFmtId="0" fontId="26" fillId="0" borderId="169" xfId="0" applyFont="1" applyBorder="1" applyAlignment="1">
      <alignment horizontal="center" vertical="center" wrapText="1"/>
    </xf>
    <xf numFmtId="166" fontId="36" fillId="25" borderId="166" xfId="0" applyNumberFormat="1" applyFont="1" applyFill="1" applyBorder="1" applyAlignment="1">
      <alignment horizontal="center" vertical="center"/>
    </xf>
    <xf numFmtId="166" fontId="36" fillId="25" borderId="168" xfId="0" applyNumberFormat="1" applyFont="1" applyFill="1" applyBorder="1" applyAlignment="1">
      <alignment horizontal="center" vertical="center"/>
    </xf>
    <xf numFmtId="164" fontId="46" fillId="4" borderId="134" xfId="0" applyNumberFormat="1" applyFont="1" applyFill="1" applyBorder="1" applyAlignment="1">
      <alignment horizontal="center" vertical="center"/>
    </xf>
    <xf numFmtId="164" fontId="46" fillId="4" borderId="34" xfId="0" applyNumberFormat="1" applyFont="1" applyFill="1" applyBorder="1" applyAlignment="1">
      <alignment horizontal="center" vertical="center"/>
    </xf>
    <xf numFmtId="164" fontId="46" fillId="4" borderId="133" xfId="0" applyNumberFormat="1" applyFont="1" applyFill="1" applyBorder="1" applyAlignment="1">
      <alignment horizontal="center" vertical="center"/>
    </xf>
    <xf numFmtId="10" fontId="36" fillId="0" borderId="31" xfId="0" applyNumberFormat="1" applyFont="1" applyBorder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36" fillId="0" borderId="164" xfId="0" applyNumberFormat="1" applyFont="1" applyBorder="1" applyAlignment="1">
      <alignment horizontal="center" vertical="center"/>
    </xf>
    <xf numFmtId="10" fontId="36" fillId="0" borderId="15" xfId="0" applyNumberFormat="1" applyFont="1" applyBorder="1" applyAlignment="1">
      <alignment horizontal="center" vertical="center"/>
    </xf>
    <xf numFmtId="10" fontId="36" fillId="0" borderId="16" xfId="0" applyNumberFormat="1" applyFont="1" applyBorder="1" applyAlignment="1">
      <alignment horizontal="center" vertical="center"/>
    </xf>
    <xf numFmtId="10" fontId="36" fillId="0" borderId="169" xfId="0" applyNumberFormat="1" applyFont="1" applyBorder="1" applyAlignment="1">
      <alignment horizontal="center" vertical="center"/>
    </xf>
    <xf numFmtId="166" fontId="26" fillId="0" borderId="166" xfId="0" applyNumberFormat="1" applyFont="1" applyBorder="1" applyAlignment="1">
      <alignment horizontal="center" vertical="center" wrapText="1"/>
    </xf>
    <xf numFmtId="166" fontId="26" fillId="0" borderId="131" xfId="0" applyNumberFormat="1" applyFont="1" applyBorder="1" applyAlignment="1">
      <alignment horizontal="center" vertical="center" wrapText="1"/>
    </xf>
    <xf numFmtId="166" fontId="26" fillId="0" borderId="168" xfId="0" applyNumberFormat="1" applyFont="1" applyBorder="1" applyAlignment="1">
      <alignment horizontal="center" vertical="center" wrapText="1"/>
    </xf>
    <xf numFmtId="166" fontId="26" fillId="0" borderId="39" xfId="0" applyNumberFormat="1" applyFont="1" applyBorder="1" applyAlignment="1">
      <alignment horizontal="center" vertical="center" wrapText="1"/>
    </xf>
    <xf numFmtId="170" fontId="36" fillId="0" borderId="23" xfId="0" applyNumberFormat="1" applyFont="1" applyBorder="1" applyAlignment="1">
      <alignment horizontal="center" vertical="center"/>
    </xf>
    <xf numFmtId="170" fontId="36" fillId="0" borderId="13" xfId="0" applyNumberFormat="1" applyFont="1" applyBorder="1" applyAlignment="1">
      <alignment horizontal="center" vertical="center"/>
    </xf>
    <xf numFmtId="170" fontId="36" fillId="0" borderId="131" xfId="0" applyNumberFormat="1" applyFont="1" applyBorder="1" applyAlignment="1">
      <alignment horizontal="center" vertical="center"/>
    </xf>
    <xf numFmtId="170" fontId="36" fillId="0" borderId="15" xfId="0" applyNumberFormat="1" applyFont="1" applyBorder="1" applyAlignment="1">
      <alignment horizontal="center" vertical="center"/>
    </xf>
    <xf numFmtId="170" fontId="36" fillId="0" borderId="16" xfId="0" applyNumberFormat="1" applyFont="1" applyBorder="1" applyAlignment="1">
      <alignment horizontal="center" vertical="center"/>
    </xf>
    <xf numFmtId="170" fontId="36" fillId="0" borderId="169" xfId="0" applyNumberFormat="1" applyFont="1" applyBorder="1" applyAlignment="1">
      <alignment horizontal="center" vertical="center"/>
    </xf>
    <xf numFmtId="14" fontId="36" fillId="0" borderId="23" xfId="0" quotePrefix="1" applyNumberFormat="1" applyFont="1" applyBorder="1" applyAlignment="1">
      <alignment horizontal="center" vertical="center"/>
    </xf>
    <xf numFmtId="14" fontId="36" fillId="0" borderId="13" xfId="0" quotePrefix="1" applyNumberFormat="1" applyFont="1" applyBorder="1" applyAlignment="1">
      <alignment horizontal="center" vertical="center"/>
    </xf>
    <xf numFmtId="14" fontId="36" fillId="0" borderId="131" xfId="0" quotePrefix="1" applyNumberFormat="1" applyFont="1" applyBorder="1" applyAlignment="1">
      <alignment horizontal="center" vertical="center"/>
    </xf>
    <xf numFmtId="14" fontId="36" fillId="0" borderId="15" xfId="0" quotePrefix="1" applyNumberFormat="1" applyFont="1" applyBorder="1" applyAlignment="1">
      <alignment horizontal="center" vertical="center"/>
    </xf>
    <xf numFmtId="14" fontId="36" fillId="0" borderId="16" xfId="0" quotePrefix="1" applyNumberFormat="1" applyFont="1" applyBorder="1" applyAlignment="1">
      <alignment horizontal="center" vertical="center"/>
    </xf>
    <xf numFmtId="14" fontId="36" fillId="0" borderId="169" xfId="0" quotePrefix="1" applyNumberFormat="1" applyFont="1" applyBorder="1" applyAlignment="1">
      <alignment horizontal="center" vertical="center"/>
    </xf>
    <xf numFmtId="167" fontId="121" fillId="17" borderId="31" xfId="0" applyNumberFormat="1" applyFont="1" applyFill="1" applyBorder="1" applyAlignment="1">
      <alignment horizontal="center" vertical="center"/>
    </xf>
    <xf numFmtId="167" fontId="121" fillId="17" borderId="0" xfId="0" applyNumberFormat="1" applyFont="1" applyFill="1" applyAlignment="1">
      <alignment horizontal="center" vertical="center"/>
    </xf>
    <xf numFmtId="167" fontId="121" fillId="17" borderId="14" xfId="0" applyNumberFormat="1" applyFont="1" applyFill="1" applyBorder="1" applyAlignment="1">
      <alignment horizontal="center" vertical="center"/>
    </xf>
    <xf numFmtId="0" fontId="121" fillId="17" borderId="31" xfId="0" applyFont="1" applyFill="1" applyBorder="1" applyAlignment="1">
      <alignment horizontal="center"/>
    </xf>
    <xf numFmtId="0" fontId="121" fillId="17" borderId="0" xfId="0" applyFont="1" applyFill="1" applyAlignment="1">
      <alignment horizontal="center"/>
    </xf>
    <xf numFmtId="0" fontId="121" fillId="17" borderId="14" xfId="0" applyFont="1" applyFill="1" applyBorder="1" applyAlignment="1">
      <alignment horizontal="center"/>
    </xf>
    <xf numFmtId="164" fontId="55" fillId="10" borderId="31" xfId="8" applyNumberFormat="1" applyFont="1" applyFill="1" applyBorder="1" applyAlignment="1">
      <alignment horizontal="center" vertical="center"/>
    </xf>
    <xf numFmtId="164" fontId="55" fillId="10" borderId="0" xfId="8" applyNumberFormat="1" applyFont="1" applyFill="1" applyBorder="1" applyAlignment="1">
      <alignment horizontal="center" vertical="center"/>
    </xf>
    <xf numFmtId="164" fontId="55" fillId="10" borderId="14" xfId="8" applyNumberFormat="1" applyFont="1" applyFill="1" applyBorder="1" applyAlignment="1">
      <alignment horizontal="center" vertical="center"/>
    </xf>
    <xf numFmtId="0" fontId="46" fillId="4" borderId="23" xfId="0" applyFont="1" applyFill="1" applyBorder="1" applyAlignment="1">
      <alignment horizontal="center" vertical="center"/>
    </xf>
    <xf numFmtId="0" fontId="46" fillId="4" borderId="13" xfId="0" applyFont="1" applyFill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36" fillId="0" borderId="31" xfId="0" applyFont="1" applyBorder="1" applyAlignment="1">
      <alignment horizontal="right"/>
    </xf>
    <xf numFmtId="0" fontId="36" fillId="0" borderId="0" xfId="0" applyFont="1" applyAlignment="1">
      <alignment horizontal="right"/>
    </xf>
    <xf numFmtId="167" fontId="121" fillId="0" borderId="31" xfId="0" applyNumberFormat="1" applyFont="1" applyBorder="1" applyAlignment="1">
      <alignment horizontal="center" vertical="center"/>
    </xf>
    <xf numFmtId="167" fontId="121" fillId="0" borderId="0" xfId="0" applyNumberFormat="1" applyFont="1" applyAlignment="1">
      <alignment horizontal="center" vertical="center"/>
    </xf>
    <xf numFmtId="167" fontId="121" fillId="0" borderId="14" xfId="0" applyNumberFormat="1" applyFont="1" applyBorder="1" applyAlignment="1">
      <alignment horizontal="center" vertical="center"/>
    </xf>
    <xf numFmtId="0" fontId="121" fillId="0" borderId="31" xfId="0" applyFont="1" applyBorder="1" applyAlignment="1">
      <alignment horizontal="center"/>
    </xf>
    <xf numFmtId="0" fontId="121" fillId="0" borderId="0" xfId="0" applyFont="1" applyAlignment="1">
      <alignment horizontal="center"/>
    </xf>
    <xf numFmtId="0" fontId="121" fillId="0" borderId="14" xfId="0" applyFont="1" applyBorder="1" applyAlignment="1">
      <alignment horizontal="center"/>
    </xf>
    <xf numFmtId="16" fontId="24" fillId="0" borderId="13" xfId="0" quotePrefix="1" applyNumberFormat="1" applyFont="1" applyBorder="1" applyAlignment="1">
      <alignment horizontal="center" vertical="center" wrapText="1"/>
    </xf>
    <xf numFmtId="16" fontId="24" fillId="0" borderId="0" xfId="0" quotePrefix="1" applyNumberFormat="1" applyFont="1" applyAlignment="1">
      <alignment horizontal="center" vertical="center" wrapText="1"/>
    </xf>
    <xf numFmtId="16" fontId="24" fillId="0" borderId="16" xfId="0" quotePrefix="1" applyNumberFormat="1" applyFont="1" applyBorder="1" applyAlignment="1">
      <alignment horizontal="center" vertical="center" wrapText="1"/>
    </xf>
    <xf numFmtId="16" fontId="29" fillId="0" borderId="13" xfId="0" quotePrefix="1" applyNumberFormat="1" applyFont="1" applyBorder="1" applyAlignment="1">
      <alignment horizontal="center" vertical="center" wrapText="1"/>
    </xf>
    <xf numFmtId="16" fontId="29" fillId="0" borderId="0" xfId="0" quotePrefix="1" applyNumberFormat="1" applyFont="1" applyAlignment="1">
      <alignment horizontal="center" vertical="center" wrapText="1"/>
    </xf>
    <xf numFmtId="16" fontId="29" fillId="0" borderId="16" xfId="0" quotePrefix="1" applyNumberFormat="1" applyFont="1" applyBorder="1" applyAlignment="1">
      <alignment horizontal="center" vertical="center" wrapText="1"/>
    </xf>
    <xf numFmtId="0" fontId="46" fillId="4" borderId="25" xfId="0" applyFont="1" applyFill="1" applyBorder="1" applyAlignment="1">
      <alignment horizontal="center" vertical="top"/>
    </xf>
    <xf numFmtId="0" fontId="46" fillId="4" borderId="46" xfId="0" applyFont="1" applyFill="1" applyBorder="1" applyAlignment="1">
      <alignment horizontal="center" vertical="top"/>
    </xf>
    <xf numFmtId="0" fontId="26" fillId="25" borderId="31" xfId="0" applyFont="1" applyFill="1" applyBorder="1" applyAlignment="1">
      <alignment horizontal="center"/>
    </xf>
    <xf numFmtId="0" fontId="26" fillId="25" borderId="0" xfId="0" applyFont="1" applyFill="1" applyAlignment="1">
      <alignment horizontal="center"/>
    </xf>
    <xf numFmtId="0" fontId="95" fillId="13" borderId="23" xfId="1" applyFont="1" applyFill="1" applyBorder="1" applyAlignment="1">
      <alignment horizontal="center" vertical="center"/>
    </xf>
    <xf numFmtId="0" fontId="95" fillId="13" borderId="13" xfId="1" applyFont="1" applyFill="1" applyBorder="1" applyAlignment="1">
      <alignment horizontal="center" vertical="center"/>
    </xf>
    <xf numFmtId="0" fontId="95" fillId="13" borderId="24" xfId="1" applyFont="1" applyFill="1" applyBorder="1" applyAlignment="1">
      <alignment horizontal="center" vertical="center"/>
    </xf>
    <xf numFmtId="0" fontId="119" fillId="0" borderId="25" xfId="0" applyFont="1" applyBorder="1" applyAlignment="1">
      <alignment horizontal="center" vertical="center"/>
    </xf>
    <xf numFmtId="0" fontId="119" fillId="0" borderId="46" xfId="0" applyFont="1" applyBorder="1" applyAlignment="1">
      <alignment horizontal="center" vertical="center"/>
    </xf>
    <xf numFmtId="0" fontId="95" fillId="13" borderId="135" xfId="1" applyFont="1" applyFill="1" applyBorder="1" applyAlignment="1">
      <alignment horizontal="center" vertical="center"/>
    </xf>
    <xf numFmtId="0" fontId="95" fillId="13" borderId="37" xfId="1" applyFont="1" applyFill="1" applyBorder="1" applyAlignment="1">
      <alignment horizontal="center" vertical="center"/>
    </xf>
    <xf numFmtId="0" fontId="95" fillId="13" borderId="136" xfId="1" applyFont="1" applyFill="1" applyBorder="1" applyAlignment="1">
      <alignment horizontal="center" vertical="center"/>
    </xf>
    <xf numFmtId="0" fontId="26" fillId="2" borderId="134" xfId="0" applyFont="1" applyFill="1" applyBorder="1" applyAlignment="1">
      <alignment horizontal="center"/>
    </xf>
    <xf numFmtId="0" fontId="26" fillId="2" borderId="34" xfId="0" applyFont="1" applyFill="1" applyBorder="1" applyAlignment="1">
      <alignment horizontal="center"/>
    </xf>
    <xf numFmtId="0" fontId="26" fillId="2" borderId="130" xfId="0" applyFont="1" applyFill="1" applyBorder="1" applyAlignment="1">
      <alignment horizontal="center"/>
    </xf>
    <xf numFmtId="16" fontId="36" fillId="0" borderId="31" xfId="0" quotePrefix="1" applyNumberFormat="1" applyFont="1" applyBorder="1" applyAlignment="1">
      <alignment horizontal="center"/>
    </xf>
    <xf numFmtId="16" fontId="36" fillId="0" borderId="0" xfId="0" quotePrefix="1" applyNumberFormat="1" applyFont="1" applyAlignment="1">
      <alignment horizontal="center"/>
    </xf>
    <xf numFmtId="16" fontId="36" fillId="0" borderId="14" xfId="0" quotePrefix="1" applyNumberFormat="1" applyFont="1" applyBorder="1" applyAlignment="1">
      <alignment horizontal="center"/>
    </xf>
    <xf numFmtId="0" fontId="36" fillId="0" borderId="15" xfId="0" quotePrefix="1" applyFont="1" applyBorder="1" applyAlignment="1">
      <alignment horizontal="center"/>
    </xf>
    <xf numFmtId="0" fontId="36" fillId="0" borderId="16" xfId="0" quotePrefix="1" applyFont="1" applyBorder="1" applyAlignment="1">
      <alignment horizontal="center"/>
    </xf>
    <xf numFmtId="0" fontId="36" fillId="0" borderId="22" xfId="0" quotePrefix="1" applyFont="1" applyBorder="1" applyAlignment="1">
      <alignment horizontal="center"/>
    </xf>
    <xf numFmtId="0" fontId="36" fillId="0" borderId="31" xfId="0" quotePrefix="1" applyFont="1" applyBorder="1" applyAlignment="1">
      <alignment horizontal="center"/>
    </xf>
    <xf numFmtId="0" fontId="36" fillId="0" borderId="0" xfId="0" quotePrefix="1" applyFont="1" applyAlignment="1">
      <alignment horizontal="center"/>
    </xf>
    <xf numFmtId="0" fontId="36" fillId="0" borderId="14" xfId="0" quotePrefix="1" applyFont="1" applyBorder="1" applyAlignment="1">
      <alignment horizontal="center"/>
    </xf>
    <xf numFmtId="0" fontId="46" fillId="4" borderId="23" xfId="0" applyFont="1" applyFill="1" applyBorder="1" applyAlignment="1">
      <alignment horizontal="center"/>
    </xf>
    <xf numFmtId="0" fontId="46" fillId="4" borderId="13" xfId="0" applyFont="1" applyFill="1" applyBorder="1" applyAlignment="1">
      <alignment horizontal="center"/>
    </xf>
    <xf numFmtId="0" fontId="46" fillId="4" borderId="24" xfId="0" applyFont="1" applyFill="1" applyBorder="1" applyAlignment="1">
      <alignment horizontal="center"/>
    </xf>
    <xf numFmtId="0" fontId="62" fillId="4" borderId="135" xfId="0" applyFont="1" applyFill="1" applyBorder="1" applyAlignment="1">
      <alignment horizontal="center" vertical="center"/>
    </xf>
    <xf numFmtId="0" fontId="62" fillId="4" borderId="37" xfId="0" applyFont="1" applyFill="1" applyBorder="1" applyAlignment="1">
      <alignment horizontal="center" vertical="center"/>
    </xf>
    <xf numFmtId="0" fontId="62" fillId="4" borderId="136" xfId="0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35" fillId="4" borderId="3" xfId="0" applyFont="1" applyFill="1" applyBorder="1" applyAlignment="1">
      <alignment horizontal="center" vertical="center"/>
    </xf>
    <xf numFmtId="0" fontId="39" fillId="3" borderId="42" xfId="0" applyFont="1" applyFill="1" applyBorder="1" applyAlignment="1">
      <alignment horizontal="center" vertical="center"/>
    </xf>
    <xf numFmtId="0" fontId="39" fillId="3" borderId="18" xfId="0" applyFont="1" applyFill="1" applyBorder="1" applyAlignment="1">
      <alignment horizontal="center" vertical="center"/>
    </xf>
    <xf numFmtId="0" fontId="39" fillId="3" borderId="43" xfId="0" applyFont="1" applyFill="1" applyBorder="1" applyAlignment="1">
      <alignment horizontal="center" vertical="center"/>
    </xf>
    <xf numFmtId="0" fontId="26" fillId="0" borderId="41" xfId="0" applyFont="1" applyBorder="1" applyAlignment="1">
      <alignment horizontal="left" vertical="center" indent="1"/>
    </xf>
    <xf numFmtId="0" fontId="26" fillId="0" borderId="25" xfId="0" applyFont="1" applyBorder="1" applyAlignment="1">
      <alignment horizontal="left" vertical="center" indent="1"/>
    </xf>
    <xf numFmtId="0" fontId="56" fillId="2" borderId="31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6" fillId="2" borderId="14" xfId="0" applyFont="1" applyFill="1" applyBorder="1" applyAlignment="1">
      <alignment horizontal="center" vertical="center"/>
    </xf>
    <xf numFmtId="0" fontId="35" fillId="4" borderId="113" xfId="0" applyFont="1" applyFill="1" applyBorder="1" applyAlignment="1">
      <alignment horizontal="center" vertical="center"/>
    </xf>
    <xf numFmtId="0" fontId="35" fillId="4" borderId="111" xfId="0" applyFont="1" applyFill="1" applyBorder="1" applyAlignment="1">
      <alignment horizontal="center" vertical="center"/>
    </xf>
    <xf numFmtId="0" fontId="35" fillId="4" borderId="114" xfId="0" applyFont="1" applyFill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46" fillId="4" borderId="24" xfId="0" applyFont="1" applyFill="1" applyBorder="1" applyAlignment="1">
      <alignment horizontal="center" vertical="center"/>
    </xf>
    <xf numFmtId="166" fontId="26" fillId="10" borderId="23" xfId="0" applyNumberFormat="1" applyFont="1" applyFill="1" applyBorder="1" applyAlignment="1">
      <alignment horizontal="center" vertical="center"/>
    </xf>
    <xf numFmtId="166" fontId="26" fillId="10" borderId="13" xfId="0" applyNumberFormat="1" applyFont="1" applyFill="1" applyBorder="1" applyAlignment="1">
      <alignment horizontal="center" vertical="center"/>
    </xf>
    <xf numFmtId="166" fontId="26" fillId="10" borderId="24" xfId="0" applyNumberFormat="1" applyFont="1" applyFill="1" applyBorder="1" applyAlignment="1">
      <alignment horizontal="center" vertical="center"/>
    </xf>
    <xf numFmtId="0" fontId="29" fillId="11" borderId="134" xfId="0" applyFont="1" applyFill="1" applyBorder="1" applyAlignment="1">
      <alignment horizontal="center" vertical="center"/>
    </xf>
    <xf numFmtId="0" fontId="29" fillId="11" borderId="34" xfId="0" applyFont="1" applyFill="1" applyBorder="1" applyAlignment="1">
      <alignment horizontal="center" vertical="center"/>
    </xf>
    <xf numFmtId="0" fontId="29" fillId="11" borderId="130" xfId="0" applyFont="1" applyFill="1" applyBorder="1" applyAlignment="1">
      <alignment horizontal="center" vertical="center"/>
    </xf>
    <xf numFmtId="0" fontId="29" fillId="11" borderId="15" xfId="0" applyFont="1" applyFill="1" applyBorder="1" applyAlignment="1">
      <alignment horizontal="center" vertical="center"/>
    </xf>
    <xf numFmtId="0" fontId="29" fillId="11" borderId="16" xfId="0" applyFont="1" applyFill="1" applyBorder="1" applyAlignment="1">
      <alignment horizontal="center" vertical="center"/>
    </xf>
    <xf numFmtId="0" fontId="29" fillId="11" borderId="22" xfId="0" applyFont="1" applyFill="1" applyBorder="1" applyAlignment="1">
      <alignment horizontal="center" vertical="center"/>
    </xf>
    <xf numFmtId="0" fontId="36" fillId="0" borderId="15" xfId="0" applyFont="1" applyBorder="1" applyAlignment="1">
      <alignment horizontal="right"/>
    </xf>
    <xf numFmtId="0" fontId="36" fillId="0" borderId="16" xfId="0" applyFont="1" applyBorder="1" applyAlignment="1">
      <alignment horizontal="right"/>
    </xf>
    <xf numFmtId="0" fontId="62" fillId="4" borderId="134" xfId="0" applyFont="1" applyFill="1" applyBorder="1" applyAlignment="1">
      <alignment horizontal="center" vertical="center"/>
    </xf>
    <xf numFmtId="0" fontId="62" fillId="4" borderId="34" xfId="0" applyFont="1" applyFill="1" applyBorder="1" applyAlignment="1">
      <alignment horizontal="center" vertical="center"/>
    </xf>
    <xf numFmtId="0" fontId="62" fillId="4" borderId="130" xfId="0" applyFont="1" applyFill="1" applyBorder="1" applyAlignment="1">
      <alignment horizontal="center" vertical="center"/>
    </xf>
    <xf numFmtId="16" fontId="29" fillId="0" borderId="24" xfId="0" quotePrefix="1" applyNumberFormat="1" applyFont="1" applyBorder="1" applyAlignment="1">
      <alignment horizontal="center" vertical="center" wrapText="1"/>
    </xf>
    <xf numFmtId="16" fontId="29" fillId="0" borderId="14" xfId="0" quotePrefix="1" applyNumberFormat="1" applyFont="1" applyBorder="1" applyAlignment="1">
      <alignment horizontal="center" vertical="center" wrapText="1"/>
    </xf>
    <xf numFmtId="16" fontId="29" fillId="0" borderId="22" xfId="0" quotePrefix="1" applyNumberFormat="1" applyFont="1" applyBorder="1" applyAlignment="1">
      <alignment horizontal="center" vertical="center" wrapText="1"/>
    </xf>
    <xf numFmtId="0" fontId="60" fillId="0" borderId="23" xfId="0" applyFont="1" applyBorder="1" applyAlignment="1">
      <alignment horizontal="center" vertical="center"/>
    </xf>
    <xf numFmtId="0" fontId="60" fillId="0" borderId="13" xfId="0" applyFont="1" applyBorder="1" applyAlignment="1">
      <alignment horizontal="center" vertical="center"/>
    </xf>
    <xf numFmtId="0" fontId="60" fillId="0" borderId="24" xfId="0" applyFont="1" applyBorder="1" applyAlignment="1">
      <alignment horizontal="center" vertical="center"/>
    </xf>
    <xf numFmtId="0" fontId="60" fillId="0" borderId="15" xfId="0" applyFont="1" applyBorder="1" applyAlignment="1">
      <alignment horizontal="center" vertical="center"/>
    </xf>
    <xf numFmtId="0" fontId="60" fillId="0" borderId="16" xfId="0" applyFont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0" fontId="26" fillId="25" borderId="14" xfId="0" applyFont="1" applyFill="1" applyBorder="1" applyAlignment="1">
      <alignment horizontal="center"/>
    </xf>
    <xf numFmtId="164" fontId="55" fillId="0" borderId="0" xfId="8" applyNumberFormat="1" applyFont="1" applyFill="1" applyBorder="1" applyAlignment="1">
      <alignment horizontal="center" vertical="center"/>
    </xf>
    <xf numFmtId="0" fontId="117" fillId="4" borderId="23" xfId="0" applyFont="1" applyFill="1" applyBorder="1" applyAlignment="1">
      <alignment horizontal="center" vertical="center"/>
    </xf>
    <xf numFmtId="0" fontId="117" fillId="4" borderId="13" xfId="0" applyFont="1" applyFill="1" applyBorder="1" applyAlignment="1">
      <alignment horizontal="center" vertical="center"/>
    </xf>
    <xf numFmtId="0" fontId="117" fillId="4" borderId="24" xfId="0" applyFont="1" applyFill="1" applyBorder="1" applyAlignment="1">
      <alignment horizontal="center" vertical="center"/>
    </xf>
    <xf numFmtId="0" fontId="117" fillId="4" borderId="31" xfId="0" applyFont="1" applyFill="1" applyBorder="1" applyAlignment="1">
      <alignment horizontal="center" vertical="center"/>
    </xf>
    <xf numFmtId="0" fontId="117" fillId="4" borderId="0" xfId="0" applyFont="1" applyFill="1" applyAlignment="1">
      <alignment horizontal="center" vertical="center"/>
    </xf>
    <xf numFmtId="0" fontId="117" fillId="4" borderId="14" xfId="0" applyFont="1" applyFill="1" applyBorder="1" applyAlignment="1">
      <alignment horizontal="center" vertical="center"/>
    </xf>
    <xf numFmtId="0" fontId="118" fillId="0" borderId="41" xfId="0" applyFont="1" applyBorder="1" applyAlignment="1">
      <alignment horizontal="center" vertical="center"/>
    </xf>
    <xf numFmtId="0" fontId="118" fillId="0" borderId="25" xfId="0" applyFont="1" applyBorder="1" applyAlignment="1">
      <alignment horizontal="center" vertical="center"/>
    </xf>
    <xf numFmtId="0" fontId="118" fillId="0" borderId="46" xfId="0" applyFont="1" applyBorder="1" applyAlignment="1">
      <alignment horizontal="center" vertical="center"/>
    </xf>
    <xf numFmtId="0" fontId="39" fillId="3" borderId="23" xfId="0" applyFont="1" applyFill="1" applyBorder="1" applyAlignment="1">
      <alignment horizontal="center" vertical="center"/>
    </xf>
    <xf numFmtId="0" fontId="39" fillId="3" borderId="13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31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0" fontId="39" fillId="3" borderId="14" xfId="0" applyFont="1" applyFill="1" applyBorder="1" applyAlignment="1">
      <alignment horizontal="center" vertical="center"/>
    </xf>
    <xf numFmtId="167" fontId="120" fillId="0" borderId="31" xfId="0" applyNumberFormat="1" applyFont="1" applyBorder="1" applyAlignment="1">
      <alignment horizontal="center" vertical="center"/>
    </xf>
    <xf numFmtId="167" fontId="120" fillId="0" borderId="0" xfId="0" applyNumberFormat="1" applyFont="1" applyAlignment="1">
      <alignment horizontal="center" vertical="center"/>
    </xf>
    <xf numFmtId="167" fontId="120" fillId="0" borderId="14" xfId="0" applyNumberFormat="1" applyFont="1" applyBorder="1" applyAlignment="1">
      <alignment horizontal="center" vertical="center"/>
    </xf>
    <xf numFmtId="0" fontId="120" fillId="0" borderId="31" xfId="0" applyFont="1" applyBorder="1" applyAlignment="1">
      <alignment horizontal="center"/>
    </xf>
    <xf numFmtId="0" fontId="120" fillId="0" borderId="0" xfId="0" applyFont="1" applyAlignment="1">
      <alignment horizontal="center"/>
    </xf>
    <xf numFmtId="0" fontId="120" fillId="0" borderId="14" xfId="0" applyFont="1" applyBorder="1" applyAlignment="1">
      <alignment horizontal="center"/>
    </xf>
    <xf numFmtId="0" fontId="36" fillId="0" borderId="23" xfId="0" applyFont="1" applyBorder="1" applyAlignment="1">
      <alignment horizontal="right"/>
    </xf>
    <xf numFmtId="0" fontId="36" fillId="0" borderId="13" xfId="0" applyFont="1" applyBorder="1" applyAlignment="1">
      <alignment horizontal="right"/>
    </xf>
    <xf numFmtId="10" fontId="36" fillId="0" borderId="13" xfId="0" applyNumberFormat="1" applyFont="1" applyBorder="1" applyAlignment="1">
      <alignment horizontal="left"/>
    </xf>
    <xf numFmtId="10" fontId="36" fillId="0" borderId="24" xfId="0" applyNumberFormat="1" applyFont="1" applyBorder="1" applyAlignment="1">
      <alignment horizontal="left"/>
    </xf>
    <xf numFmtId="0" fontId="29" fillId="0" borderId="22" xfId="0" applyFont="1" applyBorder="1" applyAlignment="1">
      <alignment horizontal="center" vertical="center"/>
    </xf>
    <xf numFmtId="0" fontId="39" fillId="3" borderId="15" xfId="0" applyFont="1" applyFill="1" applyBorder="1" applyAlignment="1">
      <alignment horizontal="center" vertical="center"/>
    </xf>
    <xf numFmtId="0" fontId="39" fillId="3" borderId="16" xfId="0" applyFont="1" applyFill="1" applyBorder="1" applyAlignment="1">
      <alignment horizontal="center" vertical="center"/>
    </xf>
    <xf numFmtId="0" fontId="39" fillId="3" borderId="22" xfId="0" applyFont="1" applyFill="1" applyBorder="1" applyAlignment="1">
      <alignment horizontal="center" vertical="center"/>
    </xf>
    <xf numFmtId="170" fontId="36" fillId="0" borderId="0" xfId="0" applyNumberFormat="1" applyFont="1" applyAlignment="1">
      <alignment horizontal="left"/>
    </xf>
    <xf numFmtId="170" fontId="36" fillId="0" borderId="14" xfId="0" applyNumberFormat="1" applyFont="1" applyBorder="1" applyAlignment="1">
      <alignment horizontal="left"/>
    </xf>
    <xf numFmtId="0" fontId="26" fillId="9" borderId="23" xfId="0" applyFont="1" applyFill="1" applyBorder="1" applyAlignment="1">
      <alignment horizontal="center" vertical="center"/>
    </xf>
    <xf numFmtId="0" fontId="26" fillId="9" borderId="13" xfId="0" applyFont="1" applyFill="1" applyBorder="1" applyAlignment="1">
      <alignment horizontal="center" vertical="center"/>
    </xf>
    <xf numFmtId="0" fontId="26" fillId="9" borderId="15" xfId="0" applyFont="1" applyFill="1" applyBorder="1" applyAlignment="1">
      <alignment horizontal="center" vertical="center"/>
    </xf>
    <xf numFmtId="0" fontId="26" fillId="9" borderId="16" xfId="0" applyFont="1" applyFill="1" applyBorder="1" applyAlignment="1">
      <alignment horizontal="center" vertical="center"/>
    </xf>
    <xf numFmtId="164" fontId="58" fillId="0" borderId="52" xfId="0" applyNumberFormat="1" applyFont="1" applyBorder="1" applyAlignment="1">
      <alignment horizontal="center"/>
    </xf>
    <xf numFmtId="164" fontId="58" fillId="0" borderId="50" xfId="0" applyNumberFormat="1" applyFont="1" applyBorder="1" applyAlignment="1">
      <alignment horizontal="center"/>
    </xf>
    <xf numFmtId="164" fontId="58" fillId="9" borderId="48" xfId="0" applyNumberFormat="1" applyFont="1" applyFill="1" applyBorder="1" applyAlignment="1">
      <alignment horizontal="center"/>
    </xf>
    <xf numFmtId="164" fontId="58" fillId="9" borderId="49" xfId="0" applyNumberFormat="1" applyFont="1" applyFill="1" applyBorder="1" applyAlignment="1">
      <alignment horizontal="center"/>
    </xf>
    <xf numFmtId="0" fontId="26" fillId="9" borderId="41" xfId="0" applyFont="1" applyFill="1" applyBorder="1" applyAlignment="1">
      <alignment horizontal="center"/>
    </xf>
    <xf numFmtId="0" fontId="26" fillId="9" borderId="46" xfId="0" applyFont="1" applyFill="1" applyBorder="1" applyAlignment="1">
      <alignment horizontal="center"/>
    </xf>
    <xf numFmtId="0" fontId="26" fillId="9" borderId="23" xfId="0" applyFont="1" applyFill="1" applyBorder="1" applyAlignment="1">
      <alignment horizontal="center"/>
    </xf>
    <xf numFmtId="0" fontId="26" fillId="9" borderId="17" xfId="0" applyFont="1" applyFill="1" applyBorder="1" applyAlignment="1">
      <alignment horizontal="center"/>
    </xf>
    <xf numFmtId="0" fontId="112" fillId="0" borderId="23" xfId="0" applyFont="1" applyBorder="1" applyAlignment="1">
      <alignment horizontal="center" vertical="center"/>
    </xf>
    <xf numFmtId="0" fontId="112" fillId="0" borderId="13" xfId="0" applyFont="1" applyBorder="1" applyAlignment="1">
      <alignment horizontal="center" vertical="center"/>
    </xf>
    <xf numFmtId="0" fontId="112" fillId="0" borderId="24" xfId="0" applyFont="1" applyBorder="1" applyAlignment="1">
      <alignment horizontal="center" vertical="center"/>
    </xf>
    <xf numFmtId="0" fontId="112" fillId="0" borderId="15" xfId="0" applyFont="1" applyBorder="1" applyAlignment="1">
      <alignment horizontal="center" vertical="center"/>
    </xf>
    <xf numFmtId="0" fontId="112" fillId="0" borderId="16" xfId="0" applyFont="1" applyBorder="1" applyAlignment="1">
      <alignment horizontal="center" vertical="center"/>
    </xf>
    <xf numFmtId="0" fontId="112" fillId="0" borderId="22" xfId="0" applyFont="1" applyBorder="1" applyAlignment="1">
      <alignment horizontal="center" vertical="center"/>
    </xf>
    <xf numFmtId="0" fontId="26" fillId="9" borderId="24" xfId="0" applyFont="1" applyFill="1" applyBorder="1" applyAlignment="1">
      <alignment horizontal="center" vertical="center"/>
    </xf>
    <xf numFmtId="0" fontId="26" fillId="9" borderId="22" xfId="0" applyFont="1" applyFill="1" applyBorder="1" applyAlignment="1">
      <alignment horizontal="center" vertical="center"/>
    </xf>
    <xf numFmtId="164" fontId="58" fillId="0" borderId="42" xfId="0" applyNumberFormat="1" applyFont="1" applyBorder="1" applyAlignment="1">
      <alignment horizontal="center"/>
    </xf>
    <xf numFmtId="164" fontId="58" fillId="0" borderId="43" xfId="0" applyNumberFormat="1" applyFont="1" applyBorder="1" applyAlignment="1">
      <alignment horizontal="center"/>
    </xf>
    <xf numFmtId="164" fontId="58" fillId="9" borderId="44" xfId="0" applyNumberFormat="1" applyFont="1" applyFill="1" applyBorder="1" applyAlignment="1">
      <alignment horizontal="center"/>
    </xf>
    <xf numFmtId="164" fontId="58" fillId="9" borderId="45" xfId="0" applyNumberFormat="1" applyFont="1" applyFill="1" applyBorder="1" applyAlignment="1">
      <alignment horizontal="center"/>
    </xf>
    <xf numFmtId="0" fontId="19" fillId="4" borderId="41" xfId="0" applyFont="1" applyFill="1" applyBorder="1" applyAlignment="1">
      <alignment horizontal="center"/>
    </xf>
    <xf numFmtId="0" fontId="19" fillId="4" borderId="25" xfId="0" applyFont="1" applyFill="1" applyBorder="1" applyAlignment="1">
      <alignment horizontal="center"/>
    </xf>
    <xf numFmtId="0" fontId="19" fillId="4" borderId="13" xfId="0" applyFont="1" applyFill="1" applyBorder="1" applyAlignment="1">
      <alignment horizontal="center"/>
    </xf>
    <xf numFmtId="0" fontId="19" fillId="4" borderId="24" xfId="0" applyFont="1" applyFill="1" applyBorder="1" applyAlignment="1">
      <alignment horizontal="center"/>
    </xf>
    <xf numFmtId="0" fontId="26" fillId="9" borderId="25" xfId="0" applyFont="1" applyFill="1" applyBorder="1" applyAlignment="1">
      <alignment horizontal="center"/>
    </xf>
    <xf numFmtId="0" fontId="26" fillId="9" borderId="244" xfId="0" applyFont="1" applyFill="1" applyBorder="1" applyAlignment="1">
      <alignment horizontal="center"/>
    </xf>
    <xf numFmtId="0" fontId="26" fillId="9" borderId="245" xfId="0" applyFont="1" applyFill="1" applyBorder="1" applyAlignment="1">
      <alignment horizontal="center"/>
    </xf>
    <xf numFmtId="0" fontId="19" fillId="4" borderId="46" xfId="0" applyFont="1" applyFill="1" applyBorder="1" applyAlignment="1">
      <alignment horizontal="center"/>
    </xf>
    <xf numFmtId="0" fontId="26" fillId="9" borderId="24" xfId="0" applyFont="1" applyFill="1" applyBorder="1" applyAlignment="1">
      <alignment horizontal="center"/>
    </xf>
    <xf numFmtId="0" fontId="26" fillId="9" borderId="13" xfId="0" applyFont="1" applyFill="1" applyBorder="1" applyAlignment="1">
      <alignment horizontal="center"/>
    </xf>
    <xf numFmtId="0" fontId="26" fillId="9" borderId="31" xfId="0" applyFont="1" applyFill="1" applyBorder="1" applyAlignment="1">
      <alignment horizontal="center" vertical="center"/>
    </xf>
    <xf numFmtId="0" fontId="26" fillId="9" borderId="14" xfId="0" applyFont="1" applyFill="1" applyBorder="1" applyAlignment="1">
      <alignment horizontal="center" vertical="center"/>
    </xf>
    <xf numFmtId="0" fontId="26" fillId="9" borderId="48" xfId="0" applyFont="1" applyFill="1" applyBorder="1" applyAlignment="1">
      <alignment horizontal="center"/>
    </xf>
    <xf numFmtId="0" fontId="26" fillId="9" borderId="28" xfId="0" applyFont="1" applyFill="1" applyBorder="1" applyAlignment="1">
      <alignment horizontal="center"/>
    </xf>
    <xf numFmtId="0" fontId="26" fillId="9" borderId="268" xfId="0" applyFont="1" applyFill="1" applyBorder="1" applyAlignment="1">
      <alignment horizontal="center"/>
    </xf>
    <xf numFmtId="0" fontId="26" fillId="9" borderId="248" xfId="0" applyFont="1" applyFill="1" applyBorder="1" applyAlignment="1">
      <alignment horizontal="center"/>
    </xf>
    <xf numFmtId="0" fontId="26" fillId="0" borderId="268" xfId="0" applyFont="1" applyBorder="1" applyAlignment="1">
      <alignment horizontal="center"/>
    </xf>
    <xf numFmtId="0" fontId="39" fillId="3" borderId="42" xfId="0" applyFont="1" applyFill="1" applyBorder="1" applyAlignment="1">
      <alignment horizontal="center"/>
    </xf>
    <xf numFmtId="0" fontId="39" fillId="3" borderId="18" xfId="0" applyFont="1" applyFill="1" applyBorder="1" applyAlignment="1">
      <alignment horizontal="center"/>
    </xf>
    <xf numFmtId="0" fontId="39" fillId="3" borderId="43" xfId="0" applyFont="1" applyFill="1" applyBorder="1" applyAlignment="1">
      <alignment horizontal="center"/>
    </xf>
    <xf numFmtId="0" fontId="20" fillId="0" borderId="162" xfId="0" applyFont="1" applyBorder="1" applyAlignment="1">
      <alignment horizontal="center"/>
    </xf>
    <xf numFmtId="0" fontId="20" fillId="0" borderId="159" xfId="0" applyFont="1" applyBorder="1" applyAlignment="1">
      <alignment horizontal="center"/>
    </xf>
    <xf numFmtId="0" fontId="20" fillId="0" borderId="140" xfId="0" applyFont="1" applyBorder="1" applyAlignment="1">
      <alignment horizontal="center"/>
    </xf>
    <xf numFmtId="0" fontId="20" fillId="0" borderId="158" xfId="0" applyFont="1" applyBorder="1" applyAlignment="1">
      <alignment horizontal="center"/>
    </xf>
    <xf numFmtId="0" fontId="19" fillId="23" borderId="41" xfId="0" applyFont="1" applyFill="1" applyBorder="1" applyAlignment="1">
      <alignment horizontal="center"/>
    </xf>
    <xf numFmtId="0" fontId="19" fillId="23" borderId="25" xfId="0" applyFont="1" applyFill="1" applyBorder="1" applyAlignment="1">
      <alignment horizontal="center"/>
    </xf>
    <xf numFmtId="0" fontId="19" fillId="23" borderId="46" xfId="0" applyFont="1" applyFill="1" applyBorder="1" applyAlignment="1">
      <alignment horizontal="center"/>
    </xf>
    <xf numFmtId="0" fontId="66" fillId="0" borderId="25" xfId="0" applyFont="1" applyBorder="1" applyAlignment="1">
      <alignment horizontal="center"/>
    </xf>
    <xf numFmtId="0" fontId="66" fillId="0" borderId="46" xfId="0" applyFont="1" applyBorder="1" applyAlignment="1">
      <alignment horizontal="center"/>
    </xf>
    <xf numFmtId="0" fontId="33" fillId="4" borderId="31" xfId="0" applyFont="1" applyFill="1" applyBorder="1" applyAlignment="1">
      <alignment horizontal="center" vertical="center" wrapText="1"/>
    </xf>
    <xf numFmtId="0" fontId="33" fillId="4" borderId="0" xfId="0" applyFont="1" applyFill="1" applyAlignment="1">
      <alignment horizontal="center" vertical="center" wrapText="1"/>
    </xf>
    <xf numFmtId="0" fontId="33" fillId="4" borderId="14" xfId="0" applyFont="1" applyFill="1" applyBorder="1" applyAlignment="1">
      <alignment horizontal="center" vertical="center" wrapText="1"/>
    </xf>
    <xf numFmtId="0" fontId="113" fillId="2" borderId="185" xfId="0" applyFont="1" applyFill="1" applyBorder="1" applyAlignment="1">
      <alignment horizontal="center" vertical="center"/>
    </xf>
    <xf numFmtId="0" fontId="113" fillId="2" borderId="182" xfId="0" applyFont="1" applyFill="1" applyBorder="1" applyAlignment="1">
      <alignment horizontal="center" vertical="center"/>
    </xf>
    <xf numFmtId="0" fontId="113" fillId="2" borderId="183" xfId="0" applyFont="1" applyFill="1" applyBorder="1" applyAlignment="1">
      <alignment horizontal="center" vertical="center"/>
    </xf>
    <xf numFmtId="0" fontId="94" fillId="13" borderId="41" xfId="1" applyFont="1" applyFill="1" applyBorder="1" applyAlignment="1">
      <alignment horizontal="center" vertical="center"/>
    </xf>
    <xf numFmtId="0" fontId="94" fillId="13" borderId="25" xfId="1" applyFont="1" applyFill="1" applyBorder="1" applyAlignment="1">
      <alignment horizontal="center" vertical="center"/>
    </xf>
    <xf numFmtId="0" fontId="94" fillId="13" borderId="46" xfId="1" applyFont="1" applyFill="1" applyBorder="1" applyAlignment="1">
      <alignment horizontal="center" vertical="center"/>
    </xf>
    <xf numFmtId="0" fontId="105" fillId="0" borderId="4" xfId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0" fontId="105" fillId="0" borderId="5" xfId="0" applyFont="1" applyBorder="1" applyAlignment="1">
      <alignment horizontal="center" vertical="center"/>
    </xf>
    <xf numFmtId="0" fontId="17" fillId="4" borderId="179" xfId="0" applyFont="1" applyFill="1" applyBorder="1" applyAlignment="1">
      <alignment horizontal="center" vertical="center"/>
    </xf>
    <xf numFmtId="0" fontId="17" fillId="4" borderId="180" xfId="0" applyFont="1" applyFill="1" applyBorder="1" applyAlignment="1">
      <alignment horizontal="center" vertical="center"/>
    </xf>
    <xf numFmtId="0" fontId="17" fillId="4" borderId="181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19" fillId="4" borderId="41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19" fillId="4" borderId="46" xfId="0" applyFont="1" applyFill="1" applyBorder="1" applyAlignment="1">
      <alignment horizontal="center" vertical="center"/>
    </xf>
    <xf numFmtId="0" fontId="58" fillId="9" borderId="44" xfId="0" applyFont="1" applyFill="1" applyBorder="1" applyAlignment="1">
      <alignment horizontal="center"/>
    </xf>
    <xf numFmtId="0" fontId="58" fillId="9" borderId="45" xfId="0" applyFont="1" applyFill="1" applyBorder="1" applyAlignment="1">
      <alignment horizontal="center"/>
    </xf>
    <xf numFmtId="10" fontId="26" fillId="15" borderId="31" xfId="0" applyNumberFormat="1" applyFont="1" applyFill="1" applyBorder="1" applyAlignment="1">
      <alignment horizontal="center"/>
    </xf>
    <xf numFmtId="10" fontId="26" fillId="15" borderId="0" xfId="0" applyNumberFormat="1" applyFont="1" applyFill="1" applyAlignment="1">
      <alignment horizontal="center"/>
    </xf>
    <xf numFmtId="10" fontId="26" fillId="15" borderId="14" xfId="0" applyNumberFormat="1" applyFont="1" applyFill="1" applyBorder="1" applyAlignment="1">
      <alignment horizontal="center"/>
    </xf>
    <xf numFmtId="0" fontId="29" fillId="14" borderId="23" xfId="0" applyFont="1" applyFill="1" applyBorder="1" applyAlignment="1">
      <alignment horizontal="center"/>
    </xf>
    <xf numFmtId="0" fontId="29" fillId="14" borderId="13" xfId="0" applyFont="1" applyFill="1" applyBorder="1" applyAlignment="1">
      <alignment horizontal="center"/>
    </xf>
    <xf numFmtId="0" fontId="29" fillId="14" borderId="24" xfId="0" applyFont="1" applyFill="1" applyBorder="1" applyAlignment="1">
      <alignment horizontal="center"/>
    </xf>
    <xf numFmtId="0" fontId="26" fillId="14" borderId="31" xfId="0" applyFont="1" applyFill="1" applyBorder="1" applyAlignment="1">
      <alignment horizontal="center"/>
    </xf>
    <xf numFmtId="0" fontId="26" fillId="14" borderId="0" xfId="0" applyFont="1" applyFill="1" applyAlignment="1">
      <alignment horizontal="center"/>
    </xf>
    <xf numFmtId="0" fontId="26" fillId="14" borderId="14" xfId="0" applyFont="1" applyFill="1" applyBorder="1" applyAlignment="1">
      <alignment horizontal="center"/>
    </xf>
    <xf numFmtId="0" fontId="26" fillId="0" borderId="21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33" fillId="4" borderId="42" xfId="0" applyFont="1" applyFill="1" applyBorder="1" applyAlignment="1">
      <alignment horizontal="center" vertical="center"/>
    </xf>
    <xf numFmtId="0" fontId="33" fillId="4" borderId="18" xfId="0" applyFont="1" applyFill="1" applyBorder="1" applyAlignment="1">
      <alignment horizontal="center" vertical="center"/>
    </xf>
    <xf numFmtId="0" fontId="33" fillId="4" borderId="43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39" fillId="4" borderId="31" xfId="0" applyFont="1" applyFill="1" applyBorder="1" applyAlignment="1">
      <alignment horizontal="center"/>
    </xf>
    <xf numFmtId="0" fontId="39" fillId="4" borderId="0" xfId="0" applyFont="1" applyFill="1" applyAlignment="1">
      <alignment horizontal="center"/>
    </xf>
    <xf numFmtId="0" fontId="39" fillId="4" borderId="14" xfId="0" applyFont="1" applyFill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30" fillId="4" borderId="23" xfId="0" applyFont="1" applyFill="1" applyBorder="1" applyAlignment="1">
      <alignment horizontal="center" vertical="center"/>
    </xf>
    <xf numFmtId="0" fontId="30" fillId="4" borderId="13" xfId="0" applyFont="1" applyFill="1" applyBorder="1" applyAlignment="1">
      <alignment horizontal="center" vertical="center"/>
    </xf>
    <xf numFmtId="0" fontId="30" fillId="4" borderId="24" xfId="0" applyFont="1" applyFill="1" applyBorder="1" applyAlignment="1">
      <alignment horizontal="center" vertical="center"/>
    </xf>
    <xf numFmtId="0" fontId="29" fillId="15" borderId="23" xfId="0" applyFont="1" applyFill="1" applyBorder="1" applyAlignment="1">
      <alignment horizontal="center" vertical="center"/>
    </xf>
    <xf numFmtId="0" fontId="29" fillId="15" borderId="13" xfId="0" applyFont="1" applyFill="1" applyBorder="1" applyAlignment="1">
      <alignment horizontal="center" vertical="center"/>
    </xf>
    <xf numFmtId="0" fontId="29" fillId="15" borderId="24" xfId="0" applyFont="1" applyFill="1" applyBorder="1" applyAlignment="1">
      <alignment horizontal="center" vertical="center"/>
    </xf>
    <xf numFmtId="0" fontId="29" fillId="15" borderId="31" xfId="0" applyFont="1" applyFill="1" applyBorder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0" fontId="29" fillId="15" borderId="14" xfId="0" applyFont="1" applyFill="1" applyBorder="1" applyAlignment="1">
      <alignment horizontal="center" vertical="center"/>
    </xf>
    <xf numFmtId="0" fontId="29" fillId="16" borderId="31" xfId="0" applyFont="1" applyFill="1" applyBorder="1" applyAlignment="1">
      <alignment horizontal="center"/>
    </xf>
    <xf numFmtId="0" fontId="29" fillId="16" borderId="0" xfId="0" applyFont="1" applyFill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6" borderId="23" xfId="0" applyFont="1" applyFill="1" applyBorder="1" applyAlignment="1">
      <alignment horizontal="center"/>
    </xf>
    <xf numFmtId="0" fontId="29" fillId="16" borderId="13" xfId="0" applyFont="1" applyFill="1" applyBorder="1" applyAlignment="1">
      <alignment horizontal="center"/>
    </xf>
    <xf numFmtId="0" fontId="29" fillId="16" borderId="24" xfId="0" applyFont="1" applyFill="1" applyBorder="1" applyAlignment="1">
      <alignment horizontal="center"/>
    </xf>
    <xf numFmtId="0" fontId="29" fillId="14" borderId="31" xfId="0" applyFont="1" applyFill="1" applyBorder="1" applyAlignment="1">
      <alignment horizontal="center"/>
    </xf>
    <xf numFmtId="0" fontId="29" fillId="14" borderId="0" xfId="0" applyFont="1" applyFill="1" applyAlignment="1">
      <alignment horizontal="center"/>
    </xf>
    <xf numFmtId="0" fontId="29" fillId="14" borderId="14" xfId="0" applyFont="1" applyFill="1" applyBorder="1" applyAlignment="1">
      <alignment horizontal="center"/>
    </xf>
    <xf numFmtId="0" fontId="11" fillId="0" borderId="185" xfId="0" applyFont="1" applyBorder="1" applyAlignment="1">
      <alignment horizontal="center"/>
    </xf>
    <xf numFmtId="0" fontId="11" fillId="0" borderId="182" xfId="0" applyFont="1" applyBorder="1" applyAlignment="1">
      <alignment horizontal="center"/>
    </xf>
    <xf numFmtId="0" fontId="36" fillId="0" borderId="189" xfId="0" applyFont="1" applyBorder="1" applyAlignment="1">
      <alignment horizontal="center"/>
    </xf>
    <xf numFmtId="0" fontId="36" fillId="0" borderId="220" xfId="0" applyFont="1" applyBorder="1" applyAlignment="1">
      <alignment horizontal="center"/>
    </xf>
    <xf numFmtId="0" fontId="69" fillId="0" borderId="31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27" fillId="4" borderId="189" xfId="0" applyFont="1" applyFill="1" applyBorder="1" applyAlignment="1">
      <alignment horizontal="center" vertical="center"/>
    </xf>
    <xf numFmtId="0" fontId="27" fillId="4" borderId="220" xfId="0" applyFont="1" applyFill="1" applyBorder="1" applyAlignment="1">
      <alignment horizontal="center" vertical="center"/>
    </xf>
    <xf numFmtId="0" fontId="27" fillId="4" borderId="22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top"/>
    </xf>
    <xf numFmtId="0" fontId="27" fillId="4" borderId="13" xfId="0" applyFont="1" applyFill="1" applyBorder="1" applyAlignment="1">
      <alignment horizontal="center" vertical="top"/>
    </xf>
    <xf numFmtId="0" fontId="27" fillId="4" borderId="24" xfId="0" applyFont="1" applyFill="1" applyBorder="1" applyAlignment="1">
      <alignment horizontal="center" vertical="top"/>
    </xf>
    <xf numFmtId="0" fontId="13" fillId="0" borderId="185" xfId="0" applyFont="1" applyBorder="1" applyAlignment="1">
      <alignment horizontal="right" vertical="center" indent="1"/>
    </xf>
    <xf numFmtId="0" fontId="13" fillId="0" borderId="182" xfId="0" applyFont="1" applyBorder="1" applyAlignment="1">
      <alignment horizontal="right" vertical="center" indent="1"/>
    </xf>
    <xf numFmtId="0" fontId="18" fillId="0" borderId="182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6" fillId="0" borderId="187" xfId="0" applyFont="1" applyBorder="1" applyAlignment="1">
      <alignment horizontal="center" vertical="center" wrapText="1"/>
    </xf>
    <xf numFmtId="0" fontId="26" fillId="0" borderId="182" xfId="0" applyFont="1" applyBorder="1" applyAlignment="1">
      <alignment horizontal="center" vertical="center" wrapText="1"/>
    </xf>
    <xf numFmtId="0" fontId="26" fillId="0" borderId="183" xfId="0" applyFont="1" applyBorder="1" applyAlignment="1">
      <alignment horizontal="center" vertical="center" wrapText="1"/>
    </xf>
    <xf numFmtId="0" fontId="26" fillId="0" borderId="185" xfId="0" applyFont="1" applyBorder="1" applyAlignment="1">
      <alignment horizontal="center" vertical="center"/>
    </xf>
    <xf numFmtId="0" fontId="26" fillId="0" borderId="186" xfId="0" applyFont="1" applyBorder="1" applyAlignment="1">
      <alignment horizontal="center" vertical="center"/>
    </xf>
    <xf numFmtId="0" fontId="35" fillId="4" borderId="23" xfId="0" applyFont="1" applyFill="1" applyBorder="1" applyAlignment="1">
      <alignment horizontal="center" vertical="center"/>
    </xf>
    <xf numFmtId="0" fontId="35" fillId="4" borderId="13" xfId="0" applyFont="1" applyFill="1" applyBorder="1" applyAlignment="1">
      <alignment horizontal="center" vertical="center"/>
    </xf>
    <xf numFmtId="0" fontId="35" fillId="4" borderId="24" xfId="0" applyFont="1" applyFill="1" applyBorder="1" applyAlignment="1">
      <alignment horizontal="center" vertical="center"/>
    </xf>
    <xf numFmtId="0" fontId="102" fillId="13" borderId="31" xfId="1" applyFont="1" applyFill="1" applyBorder="1" applyAlignment="1">
      <alignment horizontal="center" wrapText="1"/>
    </xf>
    <xf numFmtId="0" fontId="102" fillId="13" borderId="0" xfId="1" applyFont="1" applyFill="1" applyBorder="1" applyAlignment="1">
      <alignment horizontal="center" wrapText="1"/>
    </xf>
    <xf numFmtId="0" fontId="102" fillId="13" borderId="14" xfId="1" applyFont="1" applyFill="1" applyBorder="1" applyAlignment="1">
      <alignment horizontal="center" wrapText="1"/>
    </xf>
    <xf numFmtId="0" fontId="19" fillId="4" borderId="23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19" fillId="4" borderId="32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9" fillId="13" borderId="31" xfId="0" applyFont="1" applyFill="1" applyBorder="1" applyAlignment="1">
      <alignment horizontal="center"/>
    </xf>
    <xf numFmtId="0" fontId="29" fillId="13" borderId="0" xfId="0" applyFont="1" applyFill="1" applyAlignment="1">
      <alignment horizontal="center"/>
    </xf>
    <xf numFmtId="0" fontId="29" fillId="13" borderId="14" xfId="0" applyFont="1" applyFill="1" applyBorder="1" applyAlignment="1">
      <alignment horizontal="center"/>
    </xf>
    <xf numFmtId="0" fontId="40" fillId="10" borderId="23" xfId="0" applyFont="1" applyFill="1" applyBorder="1" applyAlignment="1">
      <alignment horizontal="center" vertical="center"/>
    </xf>
    <xf numFmtId="0" fontId="40" fillId="10" borderId="13" xfId="0" applyFont="1" applyFill="1" applyBorder="1" applyAlignment="1">
      <alignment horizontal="center" vertical="center"/>
    </xf>
    <xf numFmtId="0" fontId="40" fillId="10" borderId="24" xfId="0" applyFont="1" applyFill="1" applyBorder="1" applyAlignment="1">
      <alignment horizontal="center" vertical="center"/>
    </xf>
    <xf numFmtId="0" fontId="40" fillId="10" borderId="15" xfId="0" applyFont="1" applyFill="1" applyBorder="1" applyAlignment="1">
      <alignment horizontal="center" vertical="center"/>
    </xf>
    <xf numFmtId="0" fontId="40" fillId="10" borderId="16" xfId="0" applyFont="1" applyFill="1" applyBorder="1" applyAlignment="1">
      <alignment horizontal="center" vertical="center"/>
    </xf>
    <xf numFmtId="0" fontId="40" fillId="10" borderId="22" xfId="0" applyFont="1" applyFill="1" applyBorder="1" applyAlignment="1">
      <alignment horizontal="center" vertical="center"/>
    </xf>
    <xf numFmtId="0" fontId="29" fillId="13" borderId="23" xfId="0" applyFont="1" applyFill="1" applyBorder="1" applyAlignment="1">
      <alignment horizontal="center"/>
    </xf>
    <xf numFmtId="0" fontId="29" fillId="13" borderId="13" xfId="0" applyFont="1" applyFill="1" applyBorder="1" applyAlignment="1">
      <alignment horizontal="center"/>
    </xf>
    <xf numFmtId="0" fontId="29" fillId="13" borderId="24" xfId="0" applyFont="1" applyFill="1" applyBorder="1" applyAlignment="1">
      <alignment horizontal="center"/>
    </xf>
    <xf numFmtId="0" fontId="29" fillId="15" borderId="31" xfId="0" applyFont="1" applyFill="1" applyBorder="1" applyAlignment="1">
      <alignment horizontal="center"/>
    </xf>
    <xf numFmtId="0" fontId="29" fillId="15" borderId="0" xfId="0" applyFont="1" applyFill="1" applyAlignment="1">
      <alignment horizontal="center"/>
    </xf>
    <xf numFmtId="0" fontId="29" fillId="15" borderId="14" xfId="0" applyFont="1" applyFill="1" applyBorder="1" applyAlignment="1">
      <alignment horizontal="center"/>
    </xf>
    <xf numFmtId="0" fontId="102" fillId="15" borderId="31" xfId="1" applyFont="1" applyFill="1" applyBorder="1" applyAlignment="1">
      <alignment horizontal="center" wrapText="1"/>
    </xf>
    <xf numFmtId="0" fontId="102" fillId="15" borderId="0" xfId="1" applyFont="1" applyFill="1" applyBorder="1" applyAlignment="1">
      <alignment horizontal="center" wrapText="1"/>
    </xf>
    <xf numFmtId="0" fontId="102" fillId="15" borderId="14" xfId="1" applyFont="1" applyFill="1" applyBorder="1" applyAlignment="1">
      <alignment horizontal="center" wrapText="1"/>
    </xf>
    <xf numFmtId="0" fontId="29" fillId="15" borderId="23" xfId="0" applyFont="1" applyFill="1" applyBorder="1" applyAlignment="1">
      <alignment horizontal="center"/>
    </xf>
    <xf numFmtId="0" fontId="29" fillId="15" borderId="13" xfId="0" applyFont="1" applyFill="1" applyBorder="1" applyAlignment="1">
      <alignment horizontal="center"/>
    </xf>
    <xf numFmtId="0" fontId="29" fillId="15" borderId="24" xfId="0" applyFont="1" applyFill="1" applyBorder="1" applyAlignment="1">
      <alignment horizontal="center"/>
    </xf>
    <xf numFmtId="0" fontId="103" fillId="16" borderId="0" xfId="1" applyFont="1" applyFill="1" applyBorder="1" applyAlignment="1">
      <alignment horizontal="center"/>
    </xf>
    <xf numFmtId="0" fontId="103" fillId="16" borderId="14" xfId="1" applyFont="1" applyFill="1" applyBorder="1" applyAlignment="1">
      <alignment horizontal="center"/>
    </xf>
    <xf numFmtId="0" fontId="43" fillId="0" borderId="180" xfId="0" applyFont="1" applyBorder="1" applyAlignment="1">
      <alignment horizontal="center"/>
    </xf>
    <xf numFmtId="0" fontId="43" fillId="0" borderId="184" xfId="0" applyFont="1" applyBorder="1" applyAlignment="1">
      <alignment horizontal="center"/>
    </xf>
    <xf numFmtId="0" fontId="46" fillId="4" borderId="41" xfId="0" applyFont="1" applyFill="1" applyBorder="1" applyAlignment="1">
      <alignment horizontal="center" vertical="top"/>
    </xf>
    <xf numFmtId="0" fontId="46" fillId="4" borderId="16" xfId="0" applyFont="1" applyFill="1" applyBorder="1" applyAlignment="1">
      <alignment horizontal="center" vertical="top"/>
    </xf>
  </cellXfs>
  <cellStyles count="10">
    <cellStyle name="Comma" xfId="8" builtinId="3"/>
    <cellStyle name="Hyperlink" xfId="1" builtinId="8"/>
    <cellStyle name="Normal" xfId="0" builtinId="0"/>
    <cellStyle name="Normal 157" xfId="3" xr:uid="{00000000-0005-0000-0000-000003000000}"/>
    <cellStyle name="Normal 17 2 3" xfId="7" xr:uid="{00000000-0005-0000-0000-000004000000}"/>
    <cellStyle name="Normal 2" xfId="2" xr:uid="{00000000-0005-0000-0000-000005000000}"/>
    <cellStyle name="Normal 29" xfId="4" xr:uid="{00000000-0005-0000-0000-000006000000}"/>
    <cellStyle name="Normal 29 2" xfId="6" xr:uid="{00000000-0005-0000-0000-000007000000}"/>
    <cellStyle name="Normal 29 2 2 3" xfId="9" xr:uid="{9C04C909-B18F-4534-A508-259B38702CB4}"/>
    <cellStyle name="Normal 4 14" xfId="5" xr:uid="{00000000-0005-0000-0000-000008000000}"/>
  </cellStyles>
  <dxfs count="0"/>
  <tableStyles count="0" defaultTableStyle="TableStyleMedium2" defaultPivotStyle="PivotStyleLight16"/>
  <colors>
    <mruColors>
      <color rgb="FF00FF00"/>
      <color rgb="FFFFCCFF"/>
      <color rgb="FF142D53"/>
      <color rgb="FFE72D2D"/>
      <color rgb="FF66FFFF"/>
      <color rgb="FFFF9999"/>
      <color rgb="FF0000CC"/>
      <color rgb="FFAF2024"/>
      <color rgb="FFA62235"/>
      <color rgb="FF02AE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westcorrespondent.com/Licensed-States" TargetMode="Externa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westcorrespondent.com/Licensed-States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amwestfunding.com/docs/Matrix%20Guideline/AmWest%20Full%20Doc%20Closed-End%20Second%20Program%20-%20MATRIX%20-%20GUIDELINES%20-%20January%2028,%202025.pdf" TargetMode="External"/><Relationship Id="rId2" Type="http://schemas.openxmlformats.org/officeDocument/2006/relationships/hyperlink" Target="https://freepngimg.com/png/64944-emoticon-index-finger-the-gesture-emoji" TargetMode="External"/><Relationship Id="rId1" Type="http://schemas.openxmlformats.org/officeDocument/2006/relationships/image" Target="../media/image3.png"/><Relationship Id="rId5" Type="http://schemas.openxmlformats.org/officeDocument/2006/relationships/image" Target="../media/image2.jpeg"/><Relationship Id="rId4" Type="http://schemas.openxmlformats.org/officeDocument/2006/relationships/hyperlink" Target="https://amwestfunding.com/docs/Matrix%20Guideline/AmWest%20Alt%20Doc%20Closed-End%20Second%20Program%20-%20MATRIX%20GUIDELINES%20-%20January%2027,%202025.pdf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amwestfunding.com/docs/Matrix%20Guideline/AmWest%20Alt-Doc%20HELOC%20Program%20-%20MATRIX%20GUIDELINES%20-%20January%2027,%202025.pdf" TargetMode="External"/><Relationship Id="rId2" Type="http://schemas.openxmlformats.org/officeDocument/2006/relationships/hyperlink" Target="https://amwestfunding.com/docs/Matrix%20Guideline/AmWest%20Full-Doc%20HELOC%20Program%20-%20MATRIX%20GUIDELINES%20-%20January%2028,%202025.pdf" TargetMode="External"/><Relationship Id="rId1" Type="http://schemas.openxmlformats.org/officeDocument/2006/relationships/hyperlink" Target="https://amwestfunding.com/docs/Matrix%20Guideline/AmWest%20Advantage%20One%20-%20MATRIX%20-%20GUIDELINES%20-%20April%201,%202024.pdf" TargetMode="External"/><Relationship Id="rId6" Type="http://schemas.openxmlformats.org/officeDocument/2006/relationships/image" Target="../media/image2.jpeg"/><Relationship Id="rId5" Type="http://schemas.openxmlformats.org/officeDocument/2006/relationships/hyperlink" Target="https://freepngimg.com/png/64944-emoticon-index-finger-the-gesture-emoji" TargetMode="External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https://amwestfunding.com/docs/Matrix%20Guideline/AmWest%20%20Asset%20Qualifier%20Program%20-%20MATRIX-GUIDELINES%20-%20January%2027,%202025.pdf" TargetMode="External"/><Relationship Id="rId3" Type="http://schemas.openxmlformats.org/officeDocument/2006/relationships/hyperlink" Target="https://amwestfunding.com/docs/Matrix%20Guideline/AmWest%20%20BK%20Statement%20Advantage%20Program%20-%20MATRIX-GUIDELINES%20-%20January%2027,%202025.pdf" TargetMode="External"/><Relationship Id="rId7" Type="http://schemas.openxmlformats.org/officeDocument/2006/relationships/image" Target="../media/image2.jpeg"/><Relationship Id="rId2" Type="http://schemas.openxmlformats.org/officeDocument/2006/relationships/hyperlink" Target="https://amwestfunding.com/docs/Matrix%20Guideline/AmWest%20Advantage%20ITIN%20-%20MATRIX%20-%20GUIDELINES%20-%20January%2027,%202025.pdf" TargetMode="External"/><Relationship Id="rId1" Type="http://schemas.openxmlformats.org/officeDocument/2006/relationships/hyperlink" Target="https://amwestfunding.com/docs/Matrix%20Guideline/AmWest%20Advantage%20Program%20-%20MATRIX-GUIDELINES%20-%20January%2027,%202025.pdf" TargetMode="External"/><Relationship Id="rId6" Type="http://schemas.openxmlformats.org/officeDocument/2006/relationships/hyperlink" Target="https://freepngimg.com/png/64944-emoticon-index-finger-the-gesture-emoji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amwestfunding.com/docs/Matrix%20Guideline/AmWest%20Advantage%20One%20-%20MATRIX%20-%20GUIDELINES%20-%20November%2015,%202024(a).pdf" TargetMode="External"/><Relationship Id="rId9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amwestfunding.com/docs/Matrix%20Guideline/AmWest%20Investor%20Advantage%20-%20MATRIX%20GUIDELINES%20-%20January%2027,%202025.pdf" TargetMode="External"/><Relationship Id="rId2" Type="http://schemas.openxmlformats.org/officeDocument/2006/relationships/hyperlink" Target="https://freepngimg.com/png/64944-emoticon-index-finger-the-gesture-emoji" TargetMode="External"/><Relationship Id="rId1" Type="http://schemas.openxmlformats.org/officeDocument/2006/relationships/image" Target="../media/image3.png"/><Relationship Id="rId5" Type="http://schemas.openxmlformats.org/officeDocument/2006/relationships/image" Target="../media/image2.jpeg"/><Relationship Id="rId4" Type="http://schemas.openxmlformats.org/officeDocument/2006/relationships/hyperlink" Target="https://amwestfunding.com/docs/Matrix%20Guideline/Advantage%20Investor%20Plus%20-%20MATRIX%20GUIDELINES%20%20-%20%20January%2027,%202025.pdf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amwestfunding.com/docs/Matrix%20Guideline/AmWest%20Jumbo%20Premier%20-%20MATRIX%20-%20GUIDELINES%20-%20November%2017,%202023.pdf" TargetMode="External"/><Relationship Id="rId2" Type="http://schemas.openxmlformats.org/officeDocument/2006/relationships/hyperlink" Target="https://freepngimg.com/png/64944-emoticon-index-finger-the-gesture-emoji" TargetMode="External"/><Relationship Id="rId1" Type="http://schemas.openxmlformats.org/officeDocument/2006/relationships/image" Target="../media/image3.png"/><Relationship Id="rId5" Type="http://schemas.openxmlformats.org/officeDocument/2006/relationships/image" Target="../media/image2.jpeg"/><Relationship Id="rId4" Type="http://schemas.openxmlformats.org/officeDocument/2006/relationships/hyperlink" Target="https://amwestfunding.com/docs/Matrix%20Guideline/AmWest%20AUS%20Jumbo%20Express%20-%20MATRIX%20-%20GUIDELINES%20-%20January%2023,%202025.pdf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eligibility.sc.egov.usda.gov/eligibility/welcomeAction.do" TargetMode="External"/><Relationship Id="rId2" Type="http://schemas.openxmlformats.org/officeDocument/2006/relationships/hyperlink" Target="https://entp.hud.gov/idapp/html/hicostlook.cfm" TargetMode="External"/><Relationship Id="rId1" Type="http://schemas.openxmlformats.org/officeDocument/2006/relationships/image" Target="../media/image2.jpeg"/><Relationship Id="rId4" Type="http://schemas.openxmlformats.org/officeDocument/2006/relationships/hyperlink" Target="https://www.va.gov/housing-assistance/home-loans/loan-limits/" TargetMode="Externa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https://amwestfunding.com/docs/Matrix%20Guideline/AmWest%20%20Asset%20Qualifier%20Program%20-%20MATRIX-GUIDELINES%20-%20January%2027,%202025.pdf" TargetMode="External"/><Relationship Id="rId3" Type="http://schemas.openxmlformats.org/officeDocument/2006/relationships/hyperlink" Target="https://amwestfunding.com/docs/Matrix%20Guideline/AmWest%20%20BK%20Statement%20Advantage%20Program%20-%20MATRIX-GUIDELINES%20-%20January%2027,%202025.pdf" TargetMode="External"/><Relationship Id="rId7" Type="http://schemas.openxmlformats.org/officeDocument/2006/relationships/image" Target="../media/image2.jpeg"/><Relationship Id="rId2" Type="http://schemas.openxmlformats.org/officeDocument/2006/relationships/hyperlink" Target="https://amwestfunding.com/docs/Matrix%20Guideline/AmWest%20Advantage%20ITIN%20-%20MATRIX%20-%20GUIDELINES%20-%20January%2027,%202025.pdf" TargetMode="External"/><Relationship Id="rId1" Type="http://schemas.openxmlformats.org/officeDocument/2006/relationships/hyperlink" Target="https://amwestfunding.com/docs/Matrix%20Guideline/AmWest%20Advantage%20Program%20-%20MATRIX-GUIDELINES%20-%20January%2027,%202025.pdf" TargetMode="External"/><Relationship Id="rId6" Type="http://schemas.openxmlformats.org/officeDocument/2006/relationships/hyperlink" Target="https://freepngimg.com/png/64944-emoticon-index-finger-the-gesture-emoji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amwestfunding.com/docs/Matrix%20Guideline/AmWest%20Advantage%20One%20-%20MATRIX%20-%20GUIDELINES%20-%20November%2015,%202024(a).pdf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s://amwestfunding.com/docs/Matrix%20Guideline/AmWest%20Investor%20Advantage%20-%20MATRIX%20GUIDELINES%20-%20January%2027,%202025.pdf" TargetMode="External"/><Relationship Id="rId2" Type="http://schemas.openxmlformats.org/officeDocument/2006/relationships/hyperlink" Target="https://freepngimg.com/png/64944-emoticon-index-finger-the-gesture-emoji" TargetMode="External"/><Relationship Id="rId1" Type="http://schemas.openxmlformats.org/officeDocument/2006/relationships/image" Target="../media/image3.png"/><Relationship Id="rId5" Type="http://schemas.openxmlformats.org/officeDocument/2006/relationships/image" Target="../media/image2.jpeg"/><Relationship Id="rId4" Type="http://schemas.openxmlformats.org/officeDocument/2006/relationships/hyperlink" Target="https://amwestfunding.com/docs/Matrix%20Guideline/Advantage%20Investor%20Plus%20-%20MATRIX%20GUIDELINES%20%20-%20%20January%2027,%202025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935490</xdr:colOff>
      <xdr:row>0</xdr:row>
      <xdr:rowOff>56741</xdr:rowOff>
    </xdr:from>
    <xdr:to>
      <xdr:col>17</xdr:col>
      <xdr:colOff>259018</xdr:colOff>
      <xdr:row>5</xdr:row>
      <xdr:rowOff>40480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ED4661-A4B7-43C8-ACA1-1406A8DD8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0415" y="56741"/>
          <a:ext cx="3495478" cy="9362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121227</xdr:colOff>
      <xdr:row>0</xdr:row>
      <xdr:rowOff>0</xdr:rowOff>
    </xdr:from>
    <xdr:to>
      <xdr:col>10</xdr:col>
      <xdr:colOff>519544</xdr:colOff>
      <xdr:row>6</xdr:row>
      <xdr:rowOff>30607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CC8AE8-4460-4F76-A122-3311E257B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8409" y="0"/>
          <a:ext cx="4000499" cy="1329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27214</xdr:colOff>
      <xdr:row>79</xdr:row>
      <xdr:rowOff>231322</xdr:rowOff>
    </xdr:from>
    <xdr:to>
      <xdr:col>18</xdr:col>
      <xdr:colOff>231321</xdr:colOff>
      <xdr:row>80</xdr:row>
      <xdr:rowOff>231321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BD10FD-FA9D-44D5-8325-AF5FFC7BC908}"/>
            </a:ext>
          </a:extLst>
        </xdr:cNvPr>
        <xdr:cNvSpPr/>
      </xdr:nvSpPr>
      <xdr:spPr>
        <a:xfrm>
          <a:off x="11971564" y="20090947"/>
          <a:ext cx="1385207" cy="2476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40821</xdr:colOff>
      <xdr:row>0</xdr:row>
      <xdr:rowOff>95250</xdr:rowOff>
    </xdr:from>
    <xdr:to>
      <xdr:col>10</xdr:col>
      <xdr:colOff>505164</xdr:colOff>
      <xdr:row>5</xdr:row>
      <xdr:rowOff>119128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9B80B1-4BAB-4D6D-BE7D-057A8C8AF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8107" y="95250"/>
          <a:ext cx="4056629" cy="109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27214</xdr:colOff>
      <xdr:row>81</xdr:row>
      <xdr:rowOff>231322</xdr:rowOff>
    </xdr:from>
    <xdr:to>
      <xdr:col>18</xdr:col>
      <xdr:colOff>231321</xdr:colOff>
      <xdr:row>82</xdr:row>
      <xdr:rowOff>231321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05EC78-C279-4C85-BBF1-11C343C9EE57}"/>
            </a:ext>
          </a:extLst>
        </xdr:cNvPr>
        <xdr:cNvSpPr/>
      </xdr:nvSpPr>
      <xdr:spPr>
        <a:xfrm>
          <a:off x="11987893" y="20084143"/>
          <a:ext cx="1387928" cy="2449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40821</xdr:colOff>
      <xdr:row>0</xdr:row>
      <xdr:rowOff>95250</xdr:rowOff>
    </xdr:from>
    <xdr:to>
      <xdr:col>10</xdr:col>
      <xdr:colOff>505164</xdr:colOff>
      <xdr:row>5</xdr:row>
      <xdr:rowOff>119128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43AA88-A737-45A7-9DC1-4C0555368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821" y="95250"/>
          <a:ext cx="4045743" cy="1109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27214</xdr:colOff>
      <xdr:row>81</xdr:row>
      <xdr:rowOff>231322</xdr:rowOff>
    </xdr:from>
    <xdr:to>
      <xdr:col>18</xdr:col>
      <xdr:colOff>231321</xdr:colOff>
      <xdr:row>82</xdr:row>
      <xdr:rowOff>231321</xdr:rowOff>
    </xdr:to>
    <xdr:sp macro="" textlink="">
      <xdr:nvSpPr>
        <xdr:cNvPr id="5" name="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C186BE-DD3B-462A-A264-16FB387A629A}"/>
            </a:ext>
          </a:extLst>
        </xdr:cNvPr>
        <xdr:cNvSpPr/>
      </xdr:nvSpPr>
      <xdr:spPr>
        <a:xfrm>
          <a:off x="13524139" y="20338597"/>
          <a:ext cx="2051957" cy="2476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244930</xdr:colOff>
      <xdr:row>79</xdr:row>
      <xdr:rowOff>231321</xdr:rowOff>
    </xdr:from>
    <xdr:to>
      <xdr:col>14</xdr:col>
      <xdr:colOff>557893</xdr:colOff>
      <xdr:row>87</xdr:row>
      <xdr:rowOff>108857</xdr:rowOff>
    </xdr:to>
    <xdr:sp macro="" textlink="">
      <xdr:nvSpPr>
        <xdr:cNvPr id="6" name="Star: 7 Points 5">
          <a:extLst>
            <a:ext uri="{FF2B5EF4-FFF2-40B4-BE49-F238E27FC236}">
              <a16:creationId xmlns:a16="http://schemas.microsoft.com/office/drawing/2014/main" id="{06037FB1-DB56-4DCC-A69C-B6F09ACCEDB6}"/>
            </a:ext>
          </a:extLst>
        </xdr:cNvPr>
        <xdr:cNvSpPr/>
      </xdr:nvSpPr>
      <xdr:spPr>
        <a:xfrm>
          <a:off x="8667751" y="19662321"/>
          <a:ext cx="3565071" cy="1864179"/>
        </a:xfrm>
        <a:prstGeom prst="star7">
          <a:avLst/>
        </a:prstGeom>
        <a:gradFill>
          <a:gsLst>
            <a:gs pos="35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rgbClr val="A62235">
              <a:alpha val="72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rgbClr val="FF0000"/>
              </a:solidFill>
            </a:rPr>
            <a:t>NEW</a:t>
          </a:r>
          <a:r>
            <a:rPr lang="en-US" sz="1800" b="1" baseline="0">
              <a:solidFill>
                <a:srgbClr val="FF0000"/>
              </a:solidFill>
            </a:rPr>
            <a:t> LOAN LIMIT </a:t>
          </a:r>
        </a:p>
        <a:p>
          <a:pPr algn="ctr"/>
          <a:r>
            <a:rPr lang="en-US" sz="1800" b="1" baseline="0">
              <a:solidFill>
                <a:srgbClr val="FF0000"/>
              </a:solidFill>
            </a:rPr>
            <a:t>EFF 11/26/25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357187</xdr:colOff>
      <xdr:row>0</xdr:row>
      <xdr:rowOff>71438</xdr:rowOff>
    </xdr:from>
    <xdr:to>
      <xdr:col>10</xdr:col>
      <xdr:colOff>318066</xdr:colOff>
      <xdr:row>5</xdr:row>
      <xdr:rowOff>86811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6BC27A-299C-4EE7-A519-6B18DEF03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71438"/>
          <a:ext cx="4056629" cy="109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417419</xdr:colOff>
      <xdr:row>51</xdr:row>
      <xdr:rowOff>191900</xdr:rowOff>
    </xdr:from>
    <xdr:to>
      <xdr:col>1</xdr:col>
      <xdr:colOff>339779</xdr:colOff>
      <xdr:row>53</xdr:row>
      <xdr:rowOff>179577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B9089B-1945-4932-9763-DE7C05E99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rot="1617294">
          <a:off x="417419" y="11397782"/>
          <a:ext cx="449036" cy="447119"/>
        </a:xfrm>
        <a:prstGeom prst="rect">
          <a:avLst/>
        </a:prstGeom>
      </xdr:spPr>
    </xdr:pic>
    <xdr:clientData/>
  </xdr:twoCellAnchor>
  <xdr:twoCellAnchor editAs="oneCell">
    <xdr:from>
      <xdr:col>1</xdr:col>
      <xdr:colOff>35719</xdr:colOff>
      <xdr:row>15</xdr:row>
      <xdr:rowOff>250030</xdr:rowOff>
    </xdr:from>
    <xdr:to>
      <xdr:col>1</xdr:col>
      <xdr:colOff>484755</xdr:colOff>
      <xdr:row>18</xdr:row>
      <xdr:rowOff>82926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283CA5-0C56-4339-8932-4CF5F081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rot="1617294">
          <a:off x="535782" y="3464718"/>
          <a:ext cx="449036" cy="452021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18</xdr:row>
      <xdr:rowOff>-1</xdr:rowOff>
    </xdr:from>
    <xdr:to>
      <xdr:col>4</xdr:col>
      <xdr:colOff>11906</xdr:colOff>
      <xdr:row>19</xdr:row>
      <xdr:rowOff>23812</xdr:rowOff>
    </xdr:to>
    <xdr:sp macro="" textlink="">
      <xdr:nvSpPr>
        <xdr:cNvPr id="3" name="Rectangl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B81F87-4AE4-4E6C-B464-ECBDE95A3E76}"/>
            </a:ext>
          </a:extLst>
        </xdr:cNvPr>
        <xdr:cNvSpPr/>
      </xdr:nvSpPr>
      <xdr:spPr>
        <a:xfrm>
          <a:off x="476250" y="3833812"/>
          <a:ext cx="2309812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392206</xdr:colOff>
      <xdr:row>53</xdr:row>
      <xdr:rowOff>0</xdr:rowOff>
    </xdr:from>
    <xdr:to>
      <xdr:col>4</xdr:col>
      <xdr:colOff>526676</xdr:colOff>
      <xdr:row>53</xdr:row>
      <xdr:rowOff>392906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E3200F9-EA1C-4D7B-B0C1-E364FA1782B5}"/>
            </a:ext>
          </a:extLst>
        </xdr:cNvPr>
        <xdr:cNvSpPr/>
      </xdr:nvSpPr>
      <xdr:spPr>
        <a:xfrm>
          <a:off x="896471" y="12360088"/>
          <a:ext cx="2409264" cy="392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353786</xdr:colOff>
      <xdr:row>0</xdr:row>
      <xdr:rowOff>40821</xdr:rowOff>
    </xdr:from>
    <xdr:to>
      <xdr:col>10</xdr:col>
      <xdr:colOff>688606</xdr:colOff>
      <xdr:row>5</xdr:row>
      <xdr:rowOff>51092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0D85F1-6CC8-469D-AED6-B93DEA649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1357" y="40821"/>
          <a:ext cx="4056629" cy="109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35719</xdr:colOff>
      <xdr:row>15</xdr:row>
      <xdr:rowOff>250030</xdr:rowOff>
    </xdr:from>
    <xdr:to>
      <xdr:col>1</xdr:col>
      <xdr:colOff>495867</xdr:colOff>
      <xdr:row>18</xdr:row>
      <xdr:rowOff>95625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D9CC31-B88C-4B8F-8425-2A8998FC1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rot="1617294">
          <a:off x="540544" y="3498055"/>
          <a:ext cx="460148" cy="464720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18</xdr:row>
      <xdr:rowOff>-1</xdr:rowOff>
    </xdr:from>
    <xdr:to>
      <xdr:col>4</xdr:col>
      <xdr:colOff>11906</xdr:colOff>
      <xdr:row>19</xdr:row>
      <xdr:rowOff>23812</xdr:rowOff>
    </xdr:to>
    <xdr:sp macro="" textlink="">
      <xdr:nvSpPr>
        <xdr:cNvPr id="9" name="Rectangl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296622-EA54-4109-8ECF-842C8A56B4F8}"/>
            </a:ext>
          </a:extLst>
        </xdr:cNvPr>
        <xdr:cNvSpPr/>
      </xdr:nvSpPr>
      <xdr:spPr>
        <a:xfrm>
          <a:off x="476250" y="3867149"/>
          <a:ext cx="2307431" cy="3762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392207</xdr:colOff>
      <xdr:row>53</xdr:row>
      <xdr:rowOff>0</xdr:rowOff>
    </xdr:from>
    <xdr:to>
      <xdr:col>4</xdr:col>
      <xdr:colOff>33618</xdr:colOff>
      <xdr:row>53</xdr:row>
      <xdr:rowOff>345281</xdr:rowOff>
    </xdr:to>
    <xdr:sp macro="" textlink="">
      <xdr:nvSpPr>
        <xdr:cNvPr id="10" name="Rectangl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49E89FB-5B45-4BA9-98C8-671BA5AA1B56}"/>
            </a:ext>
          </a:extLst>
        </xdr:cNvPr>
        <xdr:cNvSpPr/>
      </xdr:nvSpPr>
      <xdr:spPr>
        <a:xfrm>
          <a:off x="918883" y="11665324"/>
          <a:ext cx="2095500" cy="3452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353786</xdr:colOff>
      <xdr:row>0</xdr:row>
      <xdr:rowOff>40821</xdr:rowOff>
    </xdr:from>
    <xdr:to>
      <xdr:col>10</xdr:col>
      <xdr:colOff>682978</xdr:colOff>
      <xdr:row>5</xdr:row>
      <xdr:rowOff>55854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91E2CA0-FBE4-4584-A4EC-8E2A46C03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3886" y="40821"/>
          <a:ext cx="4054588" cy="1110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417419</xdr:colOff>
      <xdr:row>51</xdr:row>
      <xdr:rowOff>191900</xdr:rowOff>
    </xdr:from>
    <xdr:to>
      <xdr:col>1</xdr:col>
      <xdr:colOff>339779</xdr:colOff>
      <xdr:row>53</xdr:row>
      <xdr:rowOff>179577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1BAFE-F34B-4B52-B838-A9CBA5130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rot="1617294">
          <a:off x="417419" y="11269475"/>
          <a:ext cx="427185" cy="454402"/>
        </a:xfrm>
        <a:prstGeom prst="rect">
          <a:avLst/>
        </a:prstGeom>
      </xdr:spPr>
    </xdr:pic>
    <xdr:clientData/>
  </xdr:twoCellAnchor>
  <xdr:twoCellAnchor editAs="oneCell">
    <xdr:from>
      <xdr:col>1</xdr:col>
      <xdr:colOff>35719</xdr:colOff>
      <xdr:row>15</xdr:row>
      <xdr:rowOff>250030</xdr:rowOff>
    </xdr:from>
    <xdr:to>
      <xdr:col>1</xdr:col>
      <xdr:colOff>484755</xdr:colOff>
      <xdr:row>18</xdr:row>
      <xdr:rowOff>82926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A44DE36-247F-434D-BA7C-213106347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rot="1617294">
          <a:off x="540544" y="3345655"/>
          <a:ext cx="449036" cy="452021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18</xdr:row>
      <xdr:rowOff>-1</xdr:rowOff>
    </xdr:from>
    <xdr:to>
      <xdr:col>4</xdr:col>
      <xdr:colOff>11906</xdr:colOff>
      <xdr:row>19</xdr:row>
      <xdr:rowOff>23812</xdr:rowOff>
    </xdr:to>
    <xdr:sp macro="" textlink="">
      <xdr:nvSpPr>
        <xdr:cNvPr id="13" name="Rectang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BE2165-B151-450C-A109-47A60221CCFD}"/>
            </a:ext>
          </a:extLst>
        </xdr:cNvPr>
        <xdr:cNvSpPr/>
      </xdr:nvSpPr>
      <xdr:spPr>
        <a:xfrm>
          <a:off x="476250" y="3714749"/>
          <a:ext cx="2802731" cy="3762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392206</xdr:colOff>
      <xdr:row>53</xdr:row>
      <xdr:rowOff>0</xdr:rowOff>
    </xdr:from>
    <xdr:to>
      <xdr:col>4</xdr:col>
      <xdr:colOff>526676</xdr:colOff>
      <xdr:row>53</xdr:row>
      <xdr:rowOff>392906</xdr:rowOff>
    </xdr:to>
    <xdr:sp macro="" textlink="">
      <xdr:nvSpPr>
        <xdr:cNvPr id="14" name="Rectang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C132041-7BC4-4B02-A71C-D9AA8616E7E5}"/>
            </a:ext>
          </a:extLst>
        </xdr:cNvPr>
        <xdr:cNvSpPr/>
      </xdr:nvSpPr>
      <xdr:spPr>
        <a:xfrm>
          <a:off x="897031" y="11544300"/>
          <a:ext cx="2896720" cy="3452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353786</xdr:colOff>
      <xdr:row>0</xdr:row>
      <xdr:rowOff>40821</xdr:rowOff>
    </xdr:from>
    <xdr:to>
      <xdr:col>10</xdr:col>
      <xdr:colOff>688606</xdr:colOff>
      <xdr:row>5</xdr:row>
      <xdr:rowOff>51092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0427306-6417-4BB0-992B-D342E3948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6386" y="40821"/>
          <a:ext cx="3925745" cy="1105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35719</xdr:colOff>
      <xdr:row>15</xdr:row>
      <xdr:rowOff>250030</xdr:rowOff>
    </xdr:from>
    <xdr:to>
      <xdr:col>1</xdr:col>
      <xdr:colOff>495867</xdr:colOff>
      <xdr:row>18</xdr:row>
      <xdr:rowOff>95625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DE3666F-9054-4283-B763-AA461F6C7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rot="1617294">
          <a:off x="540544" y="3345655"/>
          <a:ext cx="460148" cy="464720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18</xdr:row>
      <xdr:rowOff>-1</xdr:rowOff>
    </xdr:from>
    <xdr:to>
      <xdr:col>4</xdr:col>
      <xdr:colOff>11906</xdr:colOff>
      <xdr:row>19</xdr:row>
      <xdr:rowOff>23812</xdr:rowOff>
    </xdr:to>
    <xdr:sp macro="" textlink="">
      <xdr:nvSpPr>
        <xdr:cNvPr id="17" name="Rectangle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067CF1-D091-4D9F-962D-BF21C24C6956}"/>
            </a:ext>
          </a:extLst>
        </xdr:cNvPr>
        <xdr:cNvSpPr/>
      </xdr:nvSpPr>
      <xdr:spPr>
        <a:xfrm>
          <a:off x="476250" y="3714749"/>
          <a:ext cx="2802731" cy="3762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392207</xdr:colOff>
      <xdr:row>53</xdr:row>
      <xdr:rowOff>0</xdr:rowOff>
    </xdr:from>
    <xdr:to>
      <xdr:col>4</xdr:col>
      <xdr:colOff>33618</xdr:colOff>
      <xdr:row>53</xdr:row>
      <xdr:rowOff>345281</xdr:rowOff>
    </xdr:to>
    <xdr:sp macro="" textlink="">
      <xdr:nvSpPr>
        <xdr:cNvPr id="18" name="Rectangle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15F04E-A162-473B-A34B-EA9B859EE13F}"/>
            </a:ext>
          </a:extLst>
        </xdr:cNvPr>
        <xdr:cNvSpPr/>
      </xdr:nvSpPr>
      <xdr:spPr>
        <a:xfrm>
          <a:off x="897032" y="11544300"/>
          <a:ext cx="2403661" cy="3452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353786</xdr:colOff>
      <xdr:row>0</xdr:row>
      <xdr:rowOff>40821</xdr:rowOff>
    </xdr:from>
    <xdr:to>
      <xdr:col>10</xdr:col>
      <xdr:colOff>682978</xdr:colOff>
      <xdr:row>5</xdr:row>
      <xdr:rowOff>55854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38BCA8B-75CA-4AF6-B4D8-25DE6D4C9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6386" y="40821"/>
          <a:ext cx="3920117" cy="1110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123</xdr:row>
      <xdr:rowOff>95250</xdr:rowOff>
    </xdr:from>
    <xdr:to>
      <xdr:col>5</xdr:col>
      <xdr:colOff>13607</xdr:colOff>
      <xdr:row>125</xdr:row>
      <xdr:rowOff>0</xdr:rowOff>
    </xdr:to>
    <xdr:sp macro="" textlink="">
      <xdr:nvSpPr>
        <xdr:cNvPr id="6" name="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91B4F-9E57-4B38-ACAF-11A102488E26}"/>
            </a:ext>
          </a:extLst>
        </xdr:cNvPr>
        <xdr:cNvSpPr/>
      </xdr:nvSpPr>
      <xdr:spPr>
        <a:xfrm>
          <a:off x="503464" y="14559643"/>
          <a:ext cx="3184072" cy="3537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13607</xdr:colOff>
      <xdr:row>16</xdr:row>
      <xdr:rowOff>0</xdr:rowOff>
    </xdr:from>
    <xdr:to>
      <xdr:col>6</xdr:col>
      <xdr:colOff>1170214</xdr:colOff>
      <xdr:row>16</xdr:row>
      <xdr:rowOff>435429</xdr:rowOff>
    </xdr:to>
    <xdr:sp macro="" textlink="">
      <xdr:nvSpPr>
        <xdr:cNvPr id="7" name="Rectangl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F3CC90-3852-462F-8613-01CFB02698C2}"/>
            </a:ext>
          </a:extLst>
        </xdr:cNvPr>
        <xdr:cNvSpPr/>
      </xdr:nvSpPr>
      <xdr:spPr>
        <a:xfrm>
          <a:off x="1088571" y="3660321"/>
          <a:ext cx="3959679" cy="4354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625928</xdr:colOff>
      <xdr:row>16</xdr:row>
      <xdr:rowOff>0</xdr:rowOff>
    </xdr:from>
    <xdr:to>
      <xdr:col>14</xdr:col>
      <xdr:colOff>312964</xdr:colOff>
      <xdr:row>16</xdr:row>
      <xdr:rowOff>462643</xdr:rowOff>
    </xdr:to>
    <xdr:sp macro="" textlink="">
      <xdr:nvSpPr>
        <xdr:cNvPr id="2" name="Rectangl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3AD7EB-78F7-469F-AEFD-24F65FDF1D59}"/>
            </a:ext>
          </a:extLst>
        </xdr:cNvPr>
        <xdr:cNvSpPr/>
      </xdr:nvSpPr>
      <xdr:spPr>
        <a:xfrm>
          <a:off x="8626928" y="3660321"/>
          <a:ext cx="3442607" cy="4626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123</xdr:row>
      <xdr:rowOff>95250</xdr:rowOff>
    </xdr:from>
    <xdr:to>
      <xdr:col>5</xdr:col>
      <xdr:colOff>13607</xdr:colOff>
      <xdr:row>125</xdr:row>
      <xdr:rowOff>0</xdr:rowOff>
    </xdr:to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5E1A90-947E-4304-924A-62EF1DD8652F}"/>
            </a:ext>
          </a:extLst>
        </xdr:cNvPr>
        <xdr:cNvSpPr/>
      </xdr:nvSpPr>
      <xdr:spPr>
        <a:xfrm>
          <a:off x="142875" y="31308675"/>
          <a:ext cx="294730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13607</xdr:colOff>
      <xdr:row>16</xdr:row>
      <xdr:rowOff>0</xdr:rowOff>
    </xdr:from>
    <xdr:to>
      <xdr:col>6</xdr:col>
      <xdr:colOff>1170214</xdr:colOff>
      <xdr:row>16</xdr:row>
      <xdr:rowOff>435429</xdr:rowOff>
    </xdr:to>
    <xdr:sp macro="" textlink="">
      <xdr:nvSpPr>
        <xdr:cNvPr id="9" name="Rectangl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8CA750-65D4-4622-92BF-679B8E1E65B6}"/>
            </a:ext>
          </a:extLst>
        </xdr:cNvPr>
        <xdr:cNvSpPr/>
      </xdr:nvSpPr>
      <xdr:spPr>
        <a:xfrm>
          <a:off x="1108982" y="3667125"/>
          <a:ext cx="4033157" cy="4354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204107</xdr:colOff>
      <xdr:row>15</xdr:row>
      <xdr:rowOff>136070</xdr:rowOff>
    </xdr:from>
    <xdr:to>
      <xdr:col>3</xdr:col>
      <xdr:colOff>692913</xdr:colOff>
      <xdr:row>16</xdr:row>
      <xdr:rowOff>180557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A466530-E813-49DD-8B16-EB42F3549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 rot="1275154">
          <a:off x="1279071" y="3374570"/>
          <a:ext cx="488806" cy="466308"/>
        </a:xfrm>
        <a:prstGeom prst="rect">
          <a:avLst/>
        </a:prstGeom>
      </xdr:spPr>
    </xdr:pic>
    <xdr:clientData/>
  </xdr:twoCellAnchor>
  <xdr:twoCellAnchor>
    <xdr:from>
      <xdr:col>10</xdr:col>
      <xdr:colOff>625928</xdr:colOff>
      <xdr:row>16</xdr:row>
      <xdr:rowOff>0</xdr:rowOff>
    </xdr:from>
    <xdr:to>
      <xdr:col>14</xdr:col>
      <xdr:colOff>312964</xdr:colOff>
      <xdr:row>16</xdr:row>
      <xdr:rowOff>462643</xdr:rowOff>
    </xdr:to>
    <xdr:sp macro="" textlink="">
      <xdr:nvSpPr>
        <xdr:cNvPr id="11" name="Rectangle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FE911D-36BB-4D7F-88AC-5286C0E0254F}"/>
            </a:ext>
          </a:extLst>
        </xdr:cNvPr>
        <xdr:cNvSpPr/>
      </xdr:nvSpPr>
      <xdr:spPr>
        <a:xfrm>
          <a:off x="10246178" y="3667125"/>
          <a:ext cx="4830536" cy="4626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381000</xdr:colOff>
      <xdr:row>15</xdr:row>
      <xdr:rowOff>149677</xdr:rowOff>
    </xdr:from>
    <xdr:ext cx="449036" cy="452021"/>
    <xdr:pic>
      <xdr:nvPicPr>
        <xdr:cNvPr id="12" name="Picture 11">
          <a:extLst>
            <a:ext uri="{FF2B5EF4-FFF2-40B4-BE49-F238E27FC236}">
              <a16:creationId xmlns:a16="http://schemas.microsoft.com/office/drawing/2014/main" id="{E5A0B24C-5D96-4971-BBCF-1ECE70179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 rot="1275154">
          <a:off x="8055429" y="3388177"/>
          <a:ext cx="449036" cy="452021"/>
        </a:xfrm>
        <a:prstGeom prst="rect">
          <a:avLst/>
        </a:prstGeom>
      </xdr:spPr>
    </xdr:pic>
    <xdr:clientData/>
  </xdr:oneCellAnchor>
  <xdr:twoCellAnchor editAs="oneCell">
    <xdr:from>
      <xdr:col>6</xdr:col>
      <xdr:colOff>326573</xdr:colOff>
      <xdr:row>0</xdr:row>
      <xdr:rowOff>54427</xdr:rowOff>
    </xdr:from>
    <xdr:to>
      <xdr:col>11</xdr:col>
      <xdr:colOff>155057</xdr:colOff>
      <xdr:row>5</xdr:row>
      <xdr:rowOff>40821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E5CECA-0303-4C7D-A2ED-ADADF9315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4609" y="54427"/>
          <a:ext cx="5230519" cy="1074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421821</xdr:colOff>
      <xdr:row>17</xdr:row>
      <xdr:rowOff>136071</xdr:rowOff>
    </xdr:from>
    <xdr:to>
      <xdr:col>6</xdr:col>
      <xdr:colOff>1020535</xdr:colOff>
      <xdr:row>18</xdr:row>
      <xdr:rowOff>350043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23BA2A-3A9B-480E-9E7B-78256A842427}"/>
            </a:ext>
          </a:extLst>
        </xdr:cNvPr>
        <xdr:cNvSpPr/>
      </xdr:nvSpPr>
      <xdr:spPr>
        <a:xfrm>
          <a:off x="3483428" y="4231821"/>
          <a:ext cx="2422071" cy="4044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381000</xdr:colOff>
      <xdr:row>37</xdr:row>
      <xdr:rowOff>16566</xdr:rowOff>
    </xdr:from>
    <xdr:to>
      <xdr:col>5</xdr:col>
      <xdr:colOff>1020536</xdr:colOff>
      <xdr:row>37</xdr:row>
      <xdr:rowOff>381000</xdr:rowOff>
    </xdr:to>
    <xdr:sp macro="" textlink="">
      <xdr:nvSpPr>
        <xdr:cNvPr id="6" name="Rectangl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445B4A-5B6C-4695-8CA5-B26804E17737}"/>
            </a:ext>
          </a:extLst>
        </xdr:cNvPr>
        <xdr:cNvSpPr/>
      </xdr:nvSpPr>
      <xdr:spPr>
        <a:xfrm>
          <a:off x="3442607" y="11881995"/>
          <a:ext cx="2462893" cy="3644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353785</xdr:colOff>
      <xdr:row>18</xdr:row>
      <xdr:rowOff>0</xdr:rowOff>
    </xdr:from>
    <xdr:to>
      <xdr:col>10</xdr:col>
      <xdr:colOff>938893</xdr:colOff>
      <xdr:row>19</xdr:row>
      <xdr:rowOff>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924F97-CDCC-4347-AA2D-D4EE1D14D36F}"/>
            </a:ext>
          </a:extLst>
        </xdr:cNvPr>
        <xdr:cNvSpPr/>
      </xdr:nvSpPr>
      <xdr:spPr>
        <a:xfrm>
          <a:off x="7538356" y="4286250"/>
          <a:ext cx="2530930" cy="3537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340178</xdr:colOff>
      <xdr:row>28</xdr:row>
      <xdr:rowOff>0</xdr:rowOff>
    </xdr:from>
    <xdr:to>
      <xdr:col>10</xdr:col>
      <xdr:colOff>911677</xdr:colOff>
      <xdr:row>29</xdr:row>
      <xdr:rowOff>0</xdr:rowOff>
    </xdr:to>
    <xdr:sp macro="" textlink="">
      <xdr:nvSpPr>
        <xdr:cNvPr id="11" name="Rectangle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4AC927-FA91-4152-BC04-2DD235EE87F7}"/>
            </a:ext>
          </a:extLst>
        </xdr:cNvPr>
        <xdr:cNvSpPr/>
      </xdr:nvSpPr>
      <xdr:spPr>
        <a:xfrm>
          <a:off x="7524749" y="8436429"/>
          <a:ext cx="2517321" cy="3673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54429</xdr:colOff>
      <xdr:row>17</xdr:row>
      <xdr:rowOff>122466</xdr:rowOff>
    </xdr:from>
    <xdr:to>
      <xdr:col>4</xdr:col>
      <xdr:colOff>1</xdr:colOff>
      <xdr:row>19</xdr:row>
      <xdr:rowOff>26799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87BBB18-C7C3-4A50-B2CC-A23DDBEB2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2830286" y="4218216"/>
          <a:ext cx="449036" cy="448619"/>
        </a:xfrm>
        <a:prstGeom prst="rect">
          <a:avLst/>
        </a:prstGeom>
      </xdr:spPr>
    </xdr:pic>
    <xdr:clientData/>
  </xdr:twoCellAnchor>
  <xdr:twoCellAnchor editAs="oneCell">
    <xdr:from>
      <xdr:col>7</xdr:col>
      <xdr:colOff>435426</xdr:colOff>
      <xdr:row>17</xdr:row>
      <xdr:rowOff>122466</xdr:rowOff>
    </xdr:from>
    <xdr:to>
      <xdr:col>7</xdr:col>
      <xdr:colOff>884462</xdr:colOff>
      <xdr:row>19</xdr:row>
      <xdr:rowOff>26799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094E4CC-954E-4053-BAC7-2EA2325A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6926033" y="4218216"/>
          <a:ext cx="449036" cy="448619"/>
        </a:xfrm>
        <a:prstGeom prst="rect">
          <a:avLst/>
        </a:prstGeom>
      </xdr:spPr>
    </xdr:pic>
    <xdr:clientData/>
  </xdr:twoCellAnchor>
  <xdr:twoCellAnchor editAs="oneCell">
    <xdr:from>
      <xdr:col>3</xdr:col>
      <xdr:colOff>40819</xdr:colOff>
      <xdr:row>27</xdr:row>
      <xdr:rowOff>136073</xdr:rowOff>
    </xdr:from>
    <xdr:to>
      <xdr:col>3</xdr:col>
      <xdr:colOff>491464</xdr:colOff>
      <xdr:row>29</xdr:row>
      <xdr:rowOff>40406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2D4993A-52A1-4095-A34D-5F0E715ED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2816676" y="7130144"/>
          <a:ext cx="450645" cy="448619"/>
        </a:xfrm>
        <a:prstGeom prst="rect">
          <a:avLst/>
        </a:prstGeom>
      </xdr:spPr>
    </xdr:pic>
    <xdr:clientData/>
  </xdr:twoCellAnchor>
  <xdr:twoCellAnchor editAs="oneCell">
    <xdr:from>
      <xdr:col>7</xdr:col>
      <xdr:colOff>435428</xdr:colOff>
      <xdr:row>27</xdr:row>
      <xdr:rowOff>163284</xdr:rowOff>
    </xdr:from>
    <xdr:to>
      <xdr:col>7</xdr:col>
      <xdr:colOff>884464</xdr:colOff>
      <xdr:row>29</xdr:row>
      <xdr:rowOff>67617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D773DF6-8F77-46A9-A911-529D3D9A2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6926035" y="7157355"/>
          <a:ext cx="449036" cy="448619"/>
        </a:xfrm>
        <a:prstGeom prst="rect">
          <a:avLst/>
        </a:prstGeom>
      </xdr:spPr>
    </xdr:pic>
    <xdr:clientData/>
  </xdr:twoCellAnchor>
  <xdr:twoCellAnchor editAs="oneCell">
    <xdr:from>
      <xdr:col>3</xdr:col>
      <xdr:colOff>54427</xdr:colOff>
      <xdr:row>36</xdr:row>
      <xdr:rowOff>149680</xdr:rowOff>
    </xdr:from>
    <xdr:to>
      <xdr:col>3</xdr:col>
      <xdr:colOff>503463</xdr:colOff>
      <xdr:row>38</xdr:row>
      <xdr:rowOff>54013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0A7DD7F-B07B-4060-ADB2-8D7271139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2830284" y="9769930"/>
          <a:ext cx="449036" cy="448619"/>
        </a:xfrm>
        <a:prstGeom prst="rect">
          <a:avLst/>
        </a:prstGeom>
      </xdr:spPr>
    </xdr:pic>
    <xdr:clientData/>
  </xdr:twoCellAnchor>
  <xdr:twoCellAnchor editAs="oneCell">
    <xdr:from>
      <xdr:col>7</xdr:col>
      <xdr:colOff>187779</xdr:colOff>
      <xdr:row>0</xdr:row>
      <xdr:rowOff>72118</xdr:rowOff>
    </xdr:from>
    <xdr:to>
      <xdr:col>11</xdr:col>
      <xdr:colOff>135051</xdr:colOff>
      <xdr:row>4</xdr:row>
      <xdr:rowOff>177639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D90045-2A60-4B34-8AA9-B725E440B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4304" y="72118"/>
          <a:ext cx="4043022" cy="1096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421822</xdr:colOff>
      <xdr:row>28</xdr:row>
      <xdr:rowOff>13607</xdr:rowOff>
    </xdr:from>
    <xdr:to>
      <xdr:col>6</xdr:col>
      <xdr:colOff>938893</xdr:colOff>
      <xdr:row>29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D254E70-DD5D-4826-B134-B2180C93A530}"/>
            </a:ext>
          </a:extLst>
        </xdr:cNvPr>
        <xdr:cNvSpPr/>
      </xdr:nvSpPr>
      <xdr:spPr>
        <a:xfrm>
          <a:off x="3483429" y="8450036"/>
          <a:ext cx="2340428" cy="35378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16</xdr:col>
      <xdr:colOff>0</xdr:colOff>
      <xdr:row>10</xdr:row>
      <xdr:rowOff>258536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FCF5D9B-F389-19B9-0164-3FC99C32E15F}"/>
            </a:ext>
          </a:extLst>
        </xdr:cNvPr>
        <xdr:cNvSpPr txBox="1"/>
      </xdr:nvSpPr>
      <xdr:spPr>
        <a:xfrm>
          <a:off x="15131143" y="2394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10</xdr:col>
      <xdr:colOff>736146</xdr:colOff>
      <xdr:row>99</xdr:row>
      <xdr:rowOff>151040</xdr:rowOff>
    </xdr:from>
    <xdr:ext cx="2667000" cy="352424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B8ECF8D-FDB2-4F31-B2C2-DB8CEA3A68D3}"/>
            </a:ext>
          </a:extLst>
        </xdr:cNvPr>
        <xdr:cNvSpPr/>
      </xdr:nvSpPr>
      <xdr:spPr>
        <a:xfrm rot="10800000" flipV="1">
          <a:off x="10152289" y="26861861"/>
          <a:ext cx="2667000" cy="352424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2800" b="1" cap="none" spc="0">
            <a:ln w="13462">
              <a:solidFill>
                <a:schemeClr val="accent4">
                  <a:lumMod val="40000"/>
                  <a:lumOff val="60000"/>
                </a:schemeClr>
              </a:solidFill>
              <a:prstDash val="solid"/>
            </a:ln>
            <a:solidFill>
              <a:srgbClr val="00B0F0"/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4</xdr:col>
      <xdr:colOff>421821</xdr:colOff>
      <xdr:row>17</xdr:row>
      <xdr:rowOff>136071</xdr:rowOff>
    </xdr:from>
    <xdr:to>
      <xdr:col>6</xdr:col>
      <xdr:colOff>1020535</xdr:colOff>
      <xdr:row>18</xdr:row>
      <xdr:rowOff>350043</xdr:rowOff>
    </xdr:to>
    <xdr:sp macro="" textlink="">
      <xdr:nvSpPr>
        <xdr:cNvPr id="5" name="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B87DA8-417A-4E10-9B12-A61A065A1E01}"/>
            </a:ext>
          </a:extLst>
        </xdr:cNvPr>
        <xdr:cNvSpPr/>
      </xdr:nvSpPr>
      <xdr:spPr>
        <a:xfrm>
          <a:off x="3707946" y="4184196"/>
          <a:ext cx="2408464" cy="4044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381000</xdr:colOff>
      <xdr:row>37</xdr:row>
      <xdr:rowOff>16566</xdr:rowOff>
    </xdr:from>
    <xdr:to>
      <xdr:col>5</xdr:col>
      <xdr:colOff>1020536</xdr:colOff>
      <xdr:row>37</xdr:row>
      <xdr:rowOff>381000</xdr:rowOff>
    </xdr:to>
    <xdr:sp macro="" textlink="">
      <xdr:nvSpPr>
        <xdr:cNvPr id="12" name="Rectang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B6CF06-C062-4AE0-84F5-DF12306943A0}"/>
            </a:ext>
          </a:extLst>
        </xdr:cNvPr>
        <xdr:cNvSpPr/>
      </xdr:nvSpPr>
      <xdr:spPr>
        <a:xfrm>
          <a:off x="3162300" y="9913041"/>
          <a:ext cx="1934936" cy="2596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353785</xdr:colOff>
      <xdr:row>18</xdr:row>
      <xdr:rowOff>0</xdr:rowOff>
    </xdr:from>
    <xdr:to>
      <xdr:col>10</xdr:col>
      <xdr:colOff>938893</xdr:colOff>
      <xdr:row>19</xdr:row>
      <xdr:rowOff>0</xdr:rowOff>
    </xdr:to>
    <xdr:sp macro="" textlink="">
      <xdr:nvSpPr>
        <xdr:cNvPr id="18" name="Rectangle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6A378C5-FB04-4C34-8F57-6827C303E3FE}"/>
            </a:ext>
          </a:extLst>
        </xdr:cNvPr>
        <xdr:cNvSpPr/>
      </xdr:nvSpPr>
      <xdr:spPr>
        <a:xfrm>
          <a:off x="7745185" y="4238625"/>
          <a:ext cx="2594883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340178</xdr:colOff>
      <xdr:row>28</xdr:row>
      <xdr:rowOff>0</xdr:rowOff>
    </xdr:from>
    <xdr:to>
      <xdr:col>10</xdr:col>
      <xdr:colOff>911677</xdr:colOff>
      <xdr:row>29</xdr:row>
      <xdr:rowOff>0</xdr:rowOff>
    </xdr:to>
    <xdr:sp macro="" textlink="">
      <xdr:nvSpPr>
        <xdr:cNvPr id="19" name="Rectangle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B7F55DD-C5BA-4913-B2DE-FB26715C179E}"/>
            </a:ext>
          </a:extLst>
        </xdr:cNvPr>
        <xdr:cNvSpPr/>
      </xdr:nvSpPr>
      <xdr:spPr>
        <a:xfrm>
          <a:off x="7731578" y="7239000"/>
          <a:ext cx="2581274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54429</xdr:colOff>
      <xdr:row>17</xdr:row>
      <xdr:rowOff>122466</xdr:rowOff>
    </xdr:from>
    <xdr:to>
      <xdr:col>4</xdr:col>
      <xdr:colOff>1</xdr:colOff>
      <xdr:row>19</xdr:row>
      <xdr:rowOff>26799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60FFABD-7590-4715-BD9B-3E9EB8C15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2835729" y="4170591"/>
          <a:ext cx="450397" cy="447258"/>
        </a:xfrm>
        <a:prstGeom prst="rect">
          <a:avLst/>
        </a:prstGeom>
      </xdr:spPr>
    </xdr:pic>
    <xdr:clientData/>
  </xdr:twoCellAnchor>
  <xdr:twoCellAnchor editAs="oneCell">
    <xdr:from>
      <xdr:col>7</xdr:col>
      <xdr:colOff>435426</xdr:colOff>
      <xdr:row>17</xdr:row>
      <xdr:rowOff>122466</xdr:rowOff>
    </xdr:from>
    <xdr:to>
      <xdr:col>7</xdr:col>
      <xdr:colOff>884462</xdr:colOff>
      <xdr:row>19</xdr:row>
      <xdr:rowOff>26799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1A7BA72-7865-4AE8-9062-CA229B92F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6921951" y="4170591"/>
          <a:ext cx="449036" cy="447258"/>
        </a:xfrm>
        <a:prstGeom prst="rect">
          <a:avLst/>
        </a:prstGeom>
      </xdr:spPr>
    </xdr:pic>
    <xdr:clientData/>
  </xdr:twoCellAnchor>
  <xdr:twoCellAnchor editAs="oneCell">
    <xdr:from>
      <xdr:col>3</xdr:col>
      <xdr:colOff>40819</xdr:colOff>
      <xdr:row>27</xdr:row>
      <xdr:rowOff>136073</xdr:rowOff>
    </xdr:from>
    <xdr:to>
      <xdr:col>3</xdr:col>
      <xdr:colOff>491464</xdr:colOff>
      <xdr:row>29</xdr:row>
      <xdr:rowOff>40406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BFFA79B-8592-4F4D-B297-B4325B6A3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2822119" y="7098848"/>
          <a:ext cx="450645" cy="456783"/>
        </a:xfrm>
        <a:prstGeom prst="rect">
          <a:avLst/>
        </a:prstGeom>
      </xdr:spPr>
    </xdr:pic>
    <xdr:clientData/>
  </xdr:twoCellAnchor>
  <xdr:twoCellAnchor editAs="oneCell">
    <xdr:from>
      <xdr:col>7</xdr:col>
      <xdr:colOff>435428</xdr:colOff>
      <xdr:row>27</xdr:row>
      <xdr:rowOff>163284</xdr:rowOff>
    </xdr:from>
    <xdr:to>
      <xdr:col>7</xdr:col>
      <xdr:colOff>884464</xdr:colOff>
      <xdr:row>29</xdr:row>
      <xdr:rowOff>67617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DF8ADE6-F0CC-4FDA-9180-A0D70677B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6921953" y="7126059"/>
          <a:ext cx="449036" cy="456783"/>
        </a:xfrm>
        <a:prstGeom prst="rect">
          <a:avLst/>
        </a:prstGeom>
      </xdr:spPr>
    </xdr:pic>
    <xdr:clientData/>
  </xdr:twoCellAnchor>
  <xdr:twoCellAnchor editAs="oneCell">
    <xdr:from>
      <xdr:col>3</xdr:col>
      <xdr:colOff>54427</xdr:colOff>
      <xdr:row>36</xdr:row>
      <xdr:rowOff>149680</xdr:rowOff>
    </xdr:from>
    <xdr:to>
      <xdr:col>3</xdr:col>
      <xdr:colOff>503463</xdr:colOff>
      <xdr:row>38</xdr:row>
      <xdr:rowOff>54013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7A6D4CD-554B-4963-9869-6A710B2AF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2835727" y="9769930"/>
          <a:ext cx="449036" cy="456783"/>
        </a:xfrm>
        <a:prstGeom prst="rect">
          <a:avLst/>
        </a:prstGeom>
      </xdr:spPr>
    </xdr:pic>
    <xdr:clientData/>
  </xdr:twoCellAnchor>
  <xdr:twoCellAnchor editAs="oneCell">
    <xdr:from>
      <xdr:col>7</xdr:col>
      <xdr:colOff>187779</xdr:colOff>
      <xdr:row>0</xdr:row>
      <xdr:rowOff>72118</xdr:rowOff>
    </xdr:from>
    <xdr:to>
      <xdr:col>11</xdr:col>
      <xdr:colOff>135051</xdr:colOff>
      <xdr:row>4</xdr:row>
      <xdr:rowOff>177639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3AE8172-67E7-4C06-96D8-89D1D06CA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4304" y="72118"/>
          <a:ext cx="4043022" cy="1096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421822</xdr:colOff>
      <xdr:row>28</xdr:row>
      <xdr:rowOff>13607</xdr:rowOff>
    </xdr:from>
    <xdr:to>
      <xdr:col>6</xdr:col>
      <xdr:colOff>938893</xdr:colOff>
      <xdr:row>29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13D8444-3CAB-4777-9ABE-449909BE26B7}"/>
            </a:ext>
          </a:extLst>
        </xdr:cNvPr>
        <xdr:cNvSpPr/>
      </xdr:nvSpPr>
      <xdr:spPr>
        <a:xfrm>
          <a:off x="3707947" y="7252607"/>
          <a:ext cx="2326821" cy="26261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16</xdr:col>
      <xdr:colOff>0</xdr:colOff>
      <xdr:row>10</xdr:row>
      <xdr:rowOff>258536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CA2FC68-3D0F-41FF-90F5-6F0464983DBE}"/>
            </a:ext>
          </a:extLst>
        </xdr:cNvPr>
        <xdr:cNvSpPr txBox="1"/>
      </xdr:nvSpPr>
      <xdr:spPr>
        <a:xfrm>
          <a:off x="15316200" y="2373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kern="1200"/>
        </a:p>
      </xdr:txBody>
    </xdr:sp>
    <xdr:clientData/>
  </xdr:oneCellAnchor>
  <xdr:twoCellAnchor>
    <xdr:from>
      <xdr:col>9</xdr:col>
      <xdr:colOff>54429</xdr:colOff>
      <xdr:row>92</xdr:row>
      <xdr:rowOff>68035</xdr:rowOff>
    </xdr:from>
    <xdr:to>
      <xdr:col>13</xdr:col>
      <xdr:colOff>979714</xdr:colOff>
      <xdr:row>101</xdr:row>
      <xdr:rowOff>176891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2589631-0FEA-4366-A8F9-7953F7A0F008}"/>
            </a:ext>
          </a:extLst>
        </xdr:cNvPr>
        <xdr:cNvSpPr/>
      </xdr:nvSpPr>
      <xdr:spPr>
        <a:xfrm>
          <a:off x="8368393" y="24941892"/>
          <a:ext cx="4871357" cy="2558142"/>
        </a:xfrm>
        <a:prstGeom prst="rect">
          <a:avLst/>
        </a:prstGeom>
        <a:gradFill flip="none" rotWithShape="1">
          <a:gsLst>
            <a:gs pos="0">
              <a:schemeClr val="bg1">
                <a:lumMod val="75000"/>
              </a:schemeClr>
            </a:gs>
            <a:gs pos="67890">
              <a:schemeClr val="bg1"/>
            </a:gs>
            <a:gs pos="35000">
              <a:schemeClr val="bg1">
                <a:shade val="67500"/>
                <a:satMod val="115000"/>
              </a:schemeClr>
            </a:gs>
            <a:gs pos="100000">
              <a:schemeClr val="bg1">
                <a:shade val="100000"/>
                <a:satMod val="115000"/>
              </a:schemeClr>
            </a:gs>
          </a:gsLst>
          <a:lin ang="16200000" scaled="1"/>
          <a:tileRect/>
        </a:gradFill>
        <a:ln w="28575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1" i="0" u="none" strike="noStrike" kern="0" cap="none" spc="0" normalizeH="0" baseline="0" noProof="0">
              <a:ln w="13462">
                <a:solidFill>
                  <a:srgbClr val="C00000"/>
                </a:solidFill>
                <a:prstDash val="solid"/>
              </a:ln>
              <a:solidFill>
                <a:srgbClr val="00FF00"/>
              </a:solidFill>
              <a:effectLst>
                <a:outerShdw dist="38100" dir="2700000" algn="bl" rotWithShape="0">
                  <a:srgbClr val="FF0000"/>
                </a:outerShdw>
              </a:effectLst>
              <a:uLnTx/>
              <a:uFillTx/>
              <a:latin typeface="+mn-lt"/>
              <a:ea typeface="+mn-ea"/>
              <a:cs typeface="+mn-cs"/>
            </a:rPr>
            <a:t>SPRING SPECIAL</a:t>
          </a:r>
          <a:br>
            <a:rPr kumimoji="0" lang="en-US" sz="3200" b="1" i="0" u="none" strike="noStrike" kern="0" cap="none" spc="0" normalizeH="0" baseline="0" noProof="0">
              <a:ln w="13462">
                <a:solidFill>
                  <a:srgbClr val="C00000"/>
                </a:solidFill>
                <a:prstDash val="solid"/>
              </a:ln>
              <a:solidFill>
                <a:srgbClr val="C00000"/>
              </a:solidFill>
              <a:effectLst>
                <a:outerShdw dist="38100" dir="2700000" algn="bl" rotWithShape="0">
                  <a:srgbClr val="FF0000"/>
                </a:outerShdw>
              </a:effectLst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600" b="0" i="0" u="none" strike="noStrike" kern="0" cap="none" spc="0" normalizeH="0" baseline="0" noProof="0">
              <a:ln w="19050">
                <a:solidFill>
                  <a:prstClr val="black"/>
                </a:solidFill>
                <a:prstDash val="solid"/>
              </a:ln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effectLst>
                <a:outerShdw dist="38100" dir="2700000" algn="bl" rotWithShape="0">
                  <a:srgbClr val="FFC000">
                    <a:lumMod val="60000"/>
                    <a:lumOff val="40000"/>
                  </a:srgbClr>
                </a:outerShdw>
              </a:effectLst>
              <a:uLnTx/>
              <a:uFillTx/>
              <a:latin typeface="+mn-lt"/>
              <a:ea typeface="+mn-ea"/>
              <a:cs typeface="+mn-cs"/>
            </a:rPr>
            <a:t>Submit "basic Documents", together and you receive an Special. </a:t>
          </a:r>
          <a:br>
            <a:rPr kumimoji="0" lang="en-US" sz="1600" b="0" i="0" u="none" strike="noStrike" kern="0" cap="none" spc="0" normalizeH="0" baseline="0" noProof="0">
              <a:ln w="19050">
                <a:solidFill>
                  <a:prstClr val="black"/>
                </a:solidFill>
                <a:prstDash val="solid"/>
              </a:ln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effectLst>
                <a:outerShdw dist="38100" dir="2700000" algn="bl" rotWithShape="0">
                  <a:srgbClr val="FFC000">
                    <a:lumMod val="60000"/>
                    <a:lumOff val="40000"/>
                  </a:srgbClr>
                </a:outerShdw>
              </a:effectLst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600" b="0" i="0" u="none" strike="noStrike" kern="0" cap="none" spc="0" normalizeH="0" baseline="0" noProof="0">
              <a:ln w="19050">
                <a:solidFill>
                  <a:prstClr val="black"/>
                </a:solidFill>
                <a:prstDash val="solid"/>
              </a:ln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effectLst>
                <a:outerShdw dist="38100" dir="2700000" algn="bl" rotWithShape="0">
                  <a:srgbClr val="FFC000">
                    <a:lumMod val="60000"/>
                    <a:lumOff val="40000"/>
                  </a:srgbClr>
                </a:outerShdw>
              </a:effectLst>
              <a:uLnTx/>
              <a:uFillTx/>
              <a:latin typeface="+mn-lt"/>
              <a:ea typeface="+mn-ea"/>
              <a:cs typeface="+mn-cs"/>
            </a:rPr>
            <a:t>Purchase: 75bps    R&amp;T and CashOut: 50bps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 w="19050">
                <a:solidFill>
                  <a:prstClr val="black"/>
                </a:solidFill>
                <a:prstDash val="solid"/>
              </a:ln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effectLst>
                <a:outerShdw dist="38100" dir="2700000" algn="bl" rotWithShape="0">
                  <a:srgbClr val="FFC000">
                    <a:lumMod val="60000"/>
                    <a:lumOff val="40000"/>
                  </a:srgbClr>
                </a:outerShdw>
              </a:effectLst>
              <a:uLnTx/>
              <a:uFillTx/>
              <a:latin typeface="+mn-lt"/>
              <a:ea typeface="+mn-ea"/>
              <a:cs typeface="+mn-cs"/>
            </a:rPr>
            <a:t>Available on:</a:t>
          </a:r>
          <a:r>
            <a:rPr kumimoji="0" lang="en-US" sz="1600" b="1" i="0" u="none" strike="noStrike" kern="0" cap="none" spc="0" normalizeH="0" baseline="0" noProof="0">
              <a:ln w="9525">
                <a:solidFill>
                  <a:srgbClr val="FFC000">
                    <a:lumMod val="75000"/>
                  </a:srgbClr>
                </a:solidFill>
                <a:prstDash val="solid"/>
              </a:ln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effectLst>
                <a:outerShdw dist="38100" dir="2700000" algn="bl" rotWithShape="0">
                  <a:srgbClr val="FFC000">
                    <a:lumMod val="60000"/>
                    <a:lumOff val="40000"/>
                  </a:srgbClr>
                </a:outerShdw>
              </a:effectLst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600" b="1" i="0" u="none" strike="noStrike" kern="0" cap="none" spc="0" normalizeH="0" baseline="0" noProof="0">
              <a:ln w="9525">
                <a:solidFill>
                  <a:srgbClr val="FFC000">
                    <a:lumMod val="75000"/>
                  </a:srgbClr>
                </a:solidFill>
                <a:prstDash val="solid"/>
              </a:ln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effectLst/>
              <a:uLnTx/>
              <a:uFillTx/>
              <a:latin typeface="+mn-lt"/>
              <a:ea typeface="+mn-ea"/>
              <a:cs typeface="+mn-cs"/>
            </a:rPr>
            <a:t>3AAA7/6P,3AAA7/6V,3AAB7/6,3AIA7/6 </a:t>
          </a:r>
          <a:br>
            <a:rPr kumimoji="0" lang="en-US" sz="1600" b="1" i="0" u="none" strike="noStrike" kern="0" cap="none" spc="0" normalizeH="0" baseline="0" noProof="0">
              <a:ln w="9525">
                <a:solidFill>
                  <a:srgbClr val="FFC000">
                    <a:lumMod val="75000"/>
                  </a:srgbClr>
                </a:solidFill>
                <a:prstDash val="solid"/>
              </a:ln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600" b="1" i="0" u="none" strike="noStrike" kern="0" cap="none" spc="0" normalizeH="0" baseline="0" noProof="0">
              <a:ln w="9525">
                <a:solidFill>
                  <a:srgbClr val="FFC000">
                    <a:lumMod val="75000"/>
                  </a:srgbClr>
                </a:solidFill>
                <a:prstDash val="solid"/>
              </a:ln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effectLst/>
              <a:uLnTx/>
              <a:uFillTx/>
              <a:latin typeface="+mn-lt"/>
              <a:ea typeface="+mn-ea"/>
              <a:cs typeface="+mn-cs"/>
            </a:rPr>
            <a:t>3AAF30P,3AAF30V,3AAB30,3AIA30</a:t>
          </a:r>
          <a:br>
            <a:rPr kumimoji="0" lang="en-US" sz="1600" b="1" i="0" u="none" strike="noStrike" kern="0" cap="none" spc="0" normalizeH="0" baseline="0" noProof="0">
              <a:ln w="9525">
                <a:solidFill>
                  <a:srgbClr val="FFC000">
                    <a:lumMod val="75000"/>
                  </a:srgbClr>
                </a:solidFill>
                <a:prstDash val="solid"/>
              </a:ln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effectLst/>
              <a:uLnTx/>
              <a:uFillTx/>
              <a:latin typeface="+mn-lt"/>
              <a:ea typeface="+mn-ea"/>
              <a:cs typeface="+mn-cs"/>
            </a:rPr>
          </a:br>
          <a:br>
            <a:rPr kumimoji="0" lang="en-US" sz="1600" b="1" i="0" u="none" strike="noStrike" kern="0" cap="none" spc="0" normalizeH="0" baseline="0" noProof="0">
              <a:ln w="9525">
                <a:solidFill>
                  <a:srgbClr val="FFC000">
                    <a:lumMod val="75000"/>
                  </a:srgbClr>
                </a:solidFill>
                <a:prstDash val="solid"/>
              </a:ln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600" b="1" i="0" u="none" strike="noStrike" kern="0" cap="none" spc="0" normalizeH="0" baseline="0" noProof="0">
              <a:ln w="9525">
                <a:solidFill>
                  <a:srgbClr val="FFC000">
                    <a:lumMod val="75000"/>
                  </a:srgbClr>
                </a:solidFill>
                <a:prstDash val="solid"/>
              </a:ln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effectLst/>
              <a:uLnTx/>
              <a:uFillTx/>
              <a:latin typeface="+mn-lt"/>
              <a:ea typeface="+mn-ea"/>
              <a:cs typeface="+mn-cs"/>
            </a:rPr>
            <a:t>EFF: March 2, 2026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200" b="1" i="0" u="none" strike="noStrike" kern="0" cap="none" spc="0" normalizeH="0" baseline="0" noProof="0">
            <a:ln w="13462">
              <a:solidFill>
                <a:srgbClr val="C00000"/>
              </a:solidFill>
              <a:prstDash val="solid"/>
            </a:ln>
            <a:solidFill>
              <a:srgbClr val="C00000"/>
            </a:solidFill>
            <a:effectLst>
              <a:outerShdw dist="38100" dir="2700000" algn="bl" rotWithShape="0">
                <a:srgbClr val="FF0000"/>
              </a:outerShdw>
            </a:effectLst>
            <a:uLnTx/>
            <a:uFillTx/>
            <a:latin typeface="+mn-lt"/>
            <a:ea typeface="+mn-ea"/>
            <a:cs typeface="+mn-cs"/>
          </a:endParaRPr>
        </a:p>
        <a:p>
          <a:pPr algn="l"/>
          <a:r>
            <a:rPr lang="en-US" sz="110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f\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153080</xdr:colOff>
      <xdr:row>77</xdr:row>
      <xdr:rowOff>3647</xdr:rowOff>
    </xdr:from>
    <xdr:to>
      <xdr:col>1</xdr:col>
      <xdr:colOff>585108</xdr:colOff>
      <xdr:row>79</xdr:row>
      <xdr:rowOff>26196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300E85-2B2B-4FD3-9705-808A0F69B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765401" y="18931183"/>
          <a:ext cx="432028" cy="444370"/>
        </a:xfrm>
        <a:prstGeom prst="rect">
          <a:avLst/>
        </a:prstGeom>
      </xdr:spPr>
    </xdr:pic>
    <xdr:clientData/>
  </xdr:twoCellAnchor>
  <xdr:twoCellAnchor editAs="oneCell">
    <xdr:from>
      <xdr:col>6</xdr:col>
      <xdr:colOff>692263</xdr:colOff>
      <xdr:row>15</xdr:row>
      <xdr:rowOff>309563</xdr:rowOff>
    </xdr:from>
    <xdr:to>
      <xdr:col>7</xdr:col>
      <xdr:colOff>258535</xdr:colOff>
      <xdr:row>19</xdr:row>
      <xdr:rowOff>40822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BA07D5-D738-43F7-A5D2-CC392CC4B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985442" y="3071813"/>
          <a:ext cx="464343" cy="506866"/>
        </a:xfrm>
        <a:prstGeom prst="rect">
          <a:avLst/>
        </a:prstGeom>
      </xdr:spPr>
    </xdr:pic>
    <xdr:clientData/>
  </xdr:twoCellAnchor>
  <xdr:twoCellAnchor>
    <xdr:from>
      <xdr:col>7</xdr:col>
      <xdr:colOff>517070</xdr:colOff>
      <xdr:row>18</xdr:row>
      <xdr:rowOff>40820</xdr:rowOff>
    </xdr:from>
    <xdr:to>
      <xdr:col>9</xdr:col>
      <xdr:colOff>938891</xdr:colOff>
      <xdr:row>18</xdr:row>
      <xdr:rowOff>285749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3EABF4-B903-4965-9E59-70DBEABAEB6D}"/>
            </a:ext>
          </a:extLst>
        </xdr:cNvPr>
        <xdr:cNvSpPr/>
      </xdr:nvSpPr>
      <xdr:spPr>
        <a:xfrm>
          <a:off x="6708320" y="3265713"/>
          <a:ext cx="2422071" cy="2449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748392</xdr:colOff>
      <xdr:row>78</xdr:row>
      <xdr:rowOff>27214</xdr:rowOff>
    </xdr:from>
    <xdr:to>
      <xdr:col>4</xdr:col>
      <xdr:colOff>81642</xdr:colOff>
      <xdr:row>78</xdr:row>
      <xdr:rowOff>326571</xdr:rowOff>
    </xdr:to>
    <xdr:sp macro="" textlink="">
      <xdr:nvSpPr>
        <xdr:cNvPr id="7" name="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756967A-D9F6-4196-85F4-696FED685FF1}"/>
            </a:ext>
          </a:extLst>
        </xdr:cNvPr>
        <xdr:cNvSpPr/>
      </xdr:nvSpPr>
      <xdr:spPr>
        <a:xfrm>
          <a:off x="1360713" y="19036393"/>
          <a:ext cx="2177143" cy="2993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272143</xdr:colOff>
      <xdr:row>0</xdr:row>
      <xdr:rowOff>13607</xdr:rowOff>
    </xdr:from>
    <xdr:to>
      <xdr:col>9</xdr:col>
      <xdr:colOff>1430451</xdr:colOff>
      <xdr:row>5</xdr:row>
      <xdr:rowOff>23878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753BBD-C6EA-450F-9A9B-C86AF9D5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5322" y="13607"/>
          <a:ext cx="4056629" cy="109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797377</xdr:colOff>
      <xdr:row>19</xdr:row>
      <xdr:rowOff>62441</xdr:rowOff>
    </xdr:from>
    <xdr:to>
      <xdr:col>6</xdr:col>
      <xdr:colOff>356302</xdr:colOff>
      <xdr:row>20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8EFF8-22EE-4294-A46E-F7E71FB12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4578802" y="3396191"/>
          <a:ext cx="397125" cy="509059"/>
        </a:xfrm>
        <a:prstGeom prst="rect">
          <a:avLst/>
        </a:prstGeom>
      </xdr:spPr>
    </xdr:pic>
    <xdr:clientData/>
  </xdr:twoCellAnchor>
  <xdr:twoCellAnchor>
    <xdr:from>
      <xdr:col>6</xdr:col>
      <xdr:colOff>517071</xdr:colOff>
      <xdr:row>19</xdr:row>
      <xdr:rowOff>163285</xdr:rowOff>
    </xdr:from>
    <xdr:to>
      <xdr:col>9</xdr:col>
      <xdr:colOff>830036</xdr:colOff>
      <xdr:row>21</xdr:row>
      <xdr:rowOff>0</xdr:rowOff>
    </xdr:to>
    <xdr:sp macro="" textlink="">
      <xdr:nvSpPr>
        <xdr:cNvPr id="3" name="Rectangl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69769B-DCD6-4362-959F-3925A47F6D14}"/>
            </a:ext>
          </a:extLst>
        </xdr:cNvPr>
        <xdr:cNvSpPr/>
      </xdr:nvSpPr>
      <xdr:spPr>
        <a:xfrm>
          <a:off x="5136696" y="3525610"/>
          <a:ext cx="2579915" cy="4748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580571</xdr:colOff>
      <xdr:row>19</xdr:row>
      <xdr:rowOff>163285</xdr:rowOff>
    </xdr:from>
    <xdr:to>
      <xdr:col>10</xdr:col>
      <xdr:colOff>66977</xdr:colOff>
      <xdr:row>21</xdr:row>
      <xdr:rowOff>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4E30B4-03F2-42BD-8CB6-F24206E5D85B}"/>
            </a:ext>
          </a:extLst>
        </xdr:cNvPr>
        <xdr:cNvSpPr/>
      </xdr:nvSpPr>
      <xdr:spPr>
        <a:xfrm>
          <a:off x="5200196" y="3525610"/>
          <a:ext cx="2582031" cy="4748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638176</xdr:colOff>
      <xdr:row>0</xdr:row>
      <xdr:rowOff>180975</xdr:rowOff>
    </xdr:from>
    <xdr:to>
      <xdr:col>10</xdr:col>
      <xdr:colOff>514351</xdr:colOff>
      <xdr:row>6</xdr:row>
      <xdr:rowOff>50961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D080DB-8E51-4E2E-AFE6-803675708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1" y="180975"/>
          <a:ext cx="3810000" cy="1032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680357</xdr:colOff>
      <xdr:row>0</xdr:row>
      <xdr:rowOff>0</xdr:rowOff>
    </xdr:from>
    <xdr:to>
      <xdr:col>12</xdr:col>
      <xdr:colOff>586808</xdr:colOff>
      <xdr:row>5</xdr:row>
      <xdr:rowOff>159949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80B0A-5F95-4166-B952-7EF11DBF6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0"/>
          <a:ext cx="4056629" cy="109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571501</xdr:colOff>
      <xdr:row>95</xdr:row>
      <xdr:rowOff>0</xdr:rowOff>
    </xdr:from>
    <xdr:to>
      <xdr:col>18</xdr:col>
      <xdr:colOff>176893</xdr:colOff>
      <xdr:row>97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BE6DC8-1379-44A5-9D20-4765819BDFFD}"/>
            </a:ext>
          </a:extLst>
        </xdr:cNvPr>
        <xdr:cNvSpPr/>
      </xdr:nvSpPr>
      <xdr:spPr>
        <a:xfrm>
          <a:off x="10940144" y="19226893"/>
          <a:ext cx="1537606" cy="34017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54429</xdr:colOff>
      <xdr:row>101</xdr:row>
      <xdr:rowOff>54429</xdr:rowOff>
    </xdr:from>
    <xdr:to>
      <xdr:col>18</xdr:col>
      <xdr:colOff>13607</xdr:colOff>
      <xdr:row>103</xdr:row>
      <xdr:rowOff>40822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F36D17-8AC3-4931-8D16-0BE61847DEC3}"/>
            </a:ext>
          </a:extLst>
        </xdr:cNvPr>
        <xdr:cNvSpPr/>
      </xdr:nvSpPr>
      <xdr:spPr>
        <a:xfrm>
          <a:off x="11103429" y="20655643"/>
          <a:ext cx="1211035" cy="36739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27214</xdr:colOff>
      <xdr:row>106</xdr:row>
      <xdr:rowOff>122464</xdr:rowOff>
    </xdr:from>
    <xdr:to>
      <xdr:col>18</xdr:col>
      <xdr:colOff>40822</xdr:colOff>
      <xdr:row>108</xdr:row>
      <xdr:rowOff>40822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DBE240E-5FB6-4585-B134-2AF68CEFCAAA}"/>
            </a:ext>
          </a:extLst>
        </xdr:cNvPr>
        <xdr:cNvSpPr/>
      </xdr:nvSpPr>
      <xdr:spPr>
        <a:xfrm>
          <a:off x="11076214" y="21839464"/>
          <a:ext cx="1265465" cy="32657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421821</xdr:colOff>
      <xdr:row>17</xdr:row>
      <xdr:rowOff>136071</xdr:rowOff>
    </xdr:from>
    <xdr:to>
      <xdr:col>6</xdr:col>
      <xdr:colOff>1020535</xdr:colOff>
      <xdr:row>18</xdr:row>
      <xdr:rowOff>350043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B5636-A8D8-4126-B1CE-247E78E9FEB1}"/>
            </a:ext>
          </a:extLst>
        </xdr:cNvPr>
        <xdr:cNvSpPr/>
      </xdr:nvSpPr>
      <xdr:spPr>
        <a:xfrm>
          <a:off x="3707946" y="4184196"/>
          <a:ext cx="2408464" cy="4044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381000</xdr:colOff>
      <xdr:row>37</xdr:row>
      <xdr:rowOff>16566</xdr:rowOff>
    </xdr:from>
    <xdr:to>
      <xdr:col>5</xdr:col>
      <xdr:colOff>1020536</xdr:colOff>
      <xdr:row>37</xdr:row>
      <xdr:rowOff>381000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7EDAFF-6C78-4185-8317-49B2A733BFE0}"/>
            </a:ext>
          </a:extLst>
        </xdr:cNvPr>
        <xdr:cNvSpPr/>
      </xdr:nvSpPr>
      <xdr:spPr>
        <a:xfrm>
          <a:off x="3162300" y="9913041"/>
          <a:ext cx="1934936" cy="2596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353785</xdr:colOff>
      <xdr:row>18</xdr:row>
      <xdr:rowOff>0</xdr:rowOff>
    </xdr:from>
    <xdr:to>
      <xdr:col>10</xdr:col>
      <xdr:colOff>938893</xdr:colOff>
      <xdr:row>19</xdr:row>
      <xdr:rowOff>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EE411E-F836-465B-ACAB-252A1AC3664D}"/>
            </a:ext>
          </a:extLst>
        </xdr:cNvPr>
        <xdr:cNvSpPr/>
      </xdr:nvSpPr>
      <xdr:spPr>
        <a:xfrm>
          <a:off x="7745185" y="4238625"/>
          <a:ext cx="2594883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340178</xdr:colOff>
      <xdr:row>28</xdr:row>
      <xdr:rowOff>0</xdr:rowOff>
    </xdr:from>
    <xdr:to>
      <xdr:col>10</xdr:col>
      <xdr:colOff>911677</xdr:colOff>
      <xdr:row>29</xdr:row>
      <xdr:rowOff>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E54DC2-9E79-4C0A-A0F9-4651761C3DCF}"/>
            </a:ext>
          </a:extLst>
        </xdr:cNvPr>
        <xdr:cNvSpPr/>
      </xdr:nvSpPr>
      <xdr:spPr>
        <a:xfrm>
          <a:off x="7731578" y="7239000"/>
          <a:ext cx="2581274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54429</xdr:colOff>
      <xdr:row>17</xdr:row>
      <xdr:rowOff>122466</xdr:rowOff>
    </xdr:from>
    <xdr:to>
      <xdr:col>4</xdr:col>
      <xdr:colOff>1</xdr:colOff>
      <xdr:row>19</xdr:row>
      <xdr:rowOff>26799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1CB7D29-249D-4C10-A85E-76B712311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2835729" y="4170591"/>
          <a:ext cx="450397" cy="447258"/>
        </a:xfrm>
        <a:prstGeom prst="rect">
          <a:avLst/>
        </a:prstGeom>
      </xdr:spPr>
    </xdr:pic>
    <xdr:clientData/>
  </xdr:twoCellAnchor>
  <xdr:twoCellAnchor editAs="oneCell">
    <xdr:from>
      <xdr:col>7</xdr:col>
      <xdr:colOff>435426</xdr:colOff>
      <xdr:row>17</xdr:row>
      <xdr:rowOff>122466</xdr:rowOff>
    </xdr:from>
    <xdr:to>
      <xdr:col>7</xdr:col>
      <xdr:colOff>884462</xdr:colOff>
      <xdr:row>19</xdr:row>
      <xdr:rowOff>26799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B25BCA2-315E-4362-A191-0370A6E2B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6921951" y="4170591"/>
          <a:ext cx="449036" cy="447258"/>
        </a:xfrm>
        <a:prstGeom prst="rect">
          <a:avLst/>
        </a:prstGeom>
      </xdr:spPr>
    </xdr:pic>
    <xdr:clientData/>
  </xdr:twoCellAnchor>
  <xdr:twoCellAnchor editAs="oneCell">
    <xdr:from>
      <xdr:col>3</xdr:col>
      <xdr:colOff>40819</xdr:colOff>
      <xdr:row>27</xdr:row>
      <xdr:rowOff>136073</xdr:rowOff>
    </xdr:from>
    <xdr:to>
      <xdr:col>3</xdr:col>
      <xdr:colOff>491464</xdr:colOff>
      <xdr:row>29</xdr:row>
      <xdr:rowOff>40406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E7A1A7B-A95E-4C6D-911E-7A5B708D3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2822119" y="7098848"/>
          <a:ext cx="450645" cy="456783"/>
        </a:xfrm>
        <a:prstGeom prst="rect">
          <a:avLst/>
        </a:prstGeom>
      </xdr:spPr>
    </xdr:pic>
    <xdr:clientData/>
  </xdr:twoCellAnchor>
  <xdr:twoCellAnchor editAs="oneCell">
    <xdr:from>
      <xdr:col>7</xdr:col>
      <xdr:colOff>435428</xdr:colOff>
      <xdr:row>27</xdr:row>
      <xdr:rowOff>163284</xdr:rowOff>
    </xdr:from>
    <xdr:to>
      <xdr:col>7</xdr:col>
      <xdr:colOff>884464</xdr:colOff>
      <xdr:row>29</xdr:row>
      <xdr:rowOff>67617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20DFDA7-83EB-4EA1-842A-4993E5479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6921953" y="7126059"/>
          <a:ext cx="449036" cy="456783"/>
        </a:xfrm>
        <a:prstGeom prst="rect">
          <a:avLst/>
        </a:prstGeom>
      </xdr:spPr>
    </xdr:pic>
    <xdr:clientData/>
  </xdr:twoCellAnchor>
  <xdr:twoCellAnchor editAs="oneCell">
    <xdr:from>
      <xdr:col>3</xdr:col>
      <xdr:colOff>54427</xdr:colOff>
      <xdr:row>36</xdr:row>
      <xdr:rowOff>149680</xdr:rowOff>
    </xdr:from>
    <xdr:to>
      <xdr:col>3</xdr:col>
      <xdr:colOff>503463</xdr:colOff>
      <xdr:row>38</xdr:row>
      <xdr:rowOff>54013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08C3D6-0909-41A0-822D-52E3A605B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 rot="1166640">
          <a:off x="2835727" y="9769930"/>
          <a:ext cx="449036" cy="456783"/>
        </a:xfrm>
        <a:prstGeom prst="rect">
          <a:avLst/>
        </a:prstGeom>
      </xdr:spPr>
    </xdr:pic>
    <xdr:clientData/>
  </xdr:twoCellAnchor>
  <xdr:twoCellAnchor editAs="oneCell">
    <xdr:from>
      <xdr:col>7</xdr:col>
      <xdr:colOff>187779</xdr:colOff>
      <xdr:row>0</xdr:row>
      <xdr:rowOff>72118</xdr:rowOff>
    </xdr:from>
    <xdr:to>
      <xdr:col>11</xdr:col>
      <xdr:colOff>135051</xdr:colOff>
      <xdr:row>4</xdr:row>
      <xdr:rowOff>177639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71E3667-77FE-4386-B006-2A4FC41A5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4304" y="72118"/>
          <a:ext cx="4043022" cy="1096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421822</xdr:colOff>
      <xdr:row>28</xdr:row>
      <xdr:rowOff>13607</xdr:rowOff>
    </xdr:from>
    <xdr:to>
      <xdr:col>6</xdr:col>
      <xdr:colOff>938893</xdr:colOff>
      <xdr:row>29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A628750-FDB5-4B97-B26F-BA650FC4FB84}"/>
            </a:ext>
          </a:extLst>
        </xdr:cNvPr>
        <xdr:cNvSpPr/>
      </xdr:nvSpPr>
      <xdr:spPr>
        <a:xfrm>
          <a:off x="3707947" y="7252607"/>
          <a:ext cx="2326821" cy="26261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16</xdr:col>
      <xdr:colOff>0</xdr:colOff>
      <xdr:row>10</xdr:row>
      <xdr:rowOff>258536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976336-1F33-4619-84CD-E6C0AB648671}"/>
            </a:ext>
          </a:extLst>
        </xdr:cNvPr>
        <xdr:cNvSpPr txBox="1"/>
      </xdr:nvSpPr>
      <xdr:spPr>
        <a:xfrm>
          <a:off x="15316200" y="2373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10</xdr:col>
      <xdr:colOff>123825</xdr:colOff>
      <xdr:row>93</xdr:row>
      <xdr:rowOff>123826</xdr:rowOff>
    </xdr:from>
    <xdr:ext cx="2667000" cy="352424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1E5CF10-60CE-4DAE-BE4D-32C01064D519}"/>
            </a:ext>
          </a:extLst>
        </xdr:cNvPr>
        <xdr:cNvSpPr/>
      </xdr:nvSpPr>
      <xdr:spPr>
        <a:xfrm rot="10800000" flipV="1">
          <a:off x="9525000" y="25174576"/>
          <a:ext cx="2667000" cy="352424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2800" b="1" cap="none" spc="0">
            <a:ln w="13462">
              <a:solidFill>
                <a:schemeClr val="accent4">
                  <a:lumMod val="40000"/>
                  <a:lumOff val="60000"/>
                </a:schemeClr>
              </a:solidFill>
              <a:prstDash val="solid"/>
            </a:ln>
            <a:solidFill>
              <a:srgbClr val="00B0F0"/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10</xdr:col>
      <xdr:colOff>123825</xdr:colOff>
      <xdr:row>93</xdr:row>
      <xdr:rowOff>123826</xdr:rowOff>
    </xdr:from>
    <xdr:ext cx="2667000" cy="352424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05B5864-B9F2-4F8D-92CB-D50FB00AE30C}"/>
            </a:ext>
          </a:extLst>
        </xdr:cNvPr>
        <xdr:cNvSpPr/>
      </xdr:nvSpPr>
      <xdr:spPr>
        <a:xfrm rot="10800000" flipV="1">
          <a:off x="9525000" y="25174576"/>
          <a:ext cx="2667000" cy="352424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2800" b="1" cap="none" spc="0">
            <a:ln w="13462">
              <a:solidFill>
                <a:schemeClr val="accent4">
                  <a:lumMod val="40000"/>
                  <a:lumOff val="60000"/>
                </a:schemeClr>
              </a:solidFill>
              <a:prstDash val="solid"/>
            </a:ln>
            <a:solidFill>
              <a:srgbClr val="00B0F0"/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692263</xdr:colOff>
      <xdr:row>15</xdr:row>
      <xdr:rowOff>309563</xdr:rowOff>
    </xdr:from>
    <xdr:to>
      <xdr:col>7</xdr:col>
      <xdr:colOff>258535</xdr:colOff>
      <xdr:row>19</xdr:row>
      <xdr:rowOff>40822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8AFAD0-09BD-407C-80D9-8427D3A9B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978638" y="3062288"/>
          <a:ext cx="461622" cy="502784"/>
        </a:xfrm>
        <a:prstGeom prst="rect">
          <a:avLst/>
        </a:prstGeom>
      </xdr:spPr>
    </xdr:pic>
    <xdr:clientData/>
  </xdr:twoCellAnchor>
  <xdr:twoCellAnchor>
    <xdr:from>
      <xdr:col>7</xdr:col>
      <xdr:colOff>517070</xdr:colOff>
      <xdr:row>18</xdr:row>
      <xdr:rowOff>40820</xdr:rowOff>
    </xdr:from>
    <xdr:to>
      <xdr:col>9</xdr:col>
      <xdr:colOff>938891</xdr:colOff>
      <xdr:row>18</xdr:row>
      <xdr:rowOff>285749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952A4E-141E-4F0F-874F-61408C1108F3}"/>
            </a:ext>
          </a:extLst>
        </xdr:cNvPr>
        <xdr:cNvSpPr/>
      </xdr:nvSpPr>
      <xdr:spPr>
        <a:xfrm>
          <a:off x="6698795" y="3250745"/>
          <a:ext cx="2422071" cy="2449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748392</xdr:colOff>
      <xdr:row>78</xdr:row>
      <xdr:rowOff>27214</xdr:rowOff>
    </xdr:from>
    <xdr:to>
      <xdr:col>4</xdr:col>
      <xdr:colOff>81642</xdr:colOff>
      <xdr:row>78</xdr:row>
      <xdr:rowOff>326571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6E786C-7250-4574-A660-F86AB4E812B8}"/>
            </a:ext>
          </a:extLst>
        </xdr:cNvPr>
        <xdr:cNvSpPr/>
      </xdr:nvSpPr>
      <xdr:spPr>
        <a:xfrm>
          <a:off x="1357992" y="18134239"/>
          <a:ext cx="2181225" cy="2993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272143</xdr:colOff>
      <xdr:row>0</xdr:row>
      <xdr:rowOff>13607</xdr:rowOff>
    </xdr:from>
    <xdr:to>
      <xdr:col>9</xdr:col>
      <xdr:colOff>1430451</xdr:colOff>
      <xdr:row>5</xdr:row>
      <xdr:rowOff>23878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847DD8-0D1E-4AF9-95CC-A8A02D8FF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518" y="13607"/>
          <a:ext cx="4053908" cy="1086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Secondary%20Marketing%20Library\AWF%20Daily%20Rate\Pricing%20source\New%20Pricing%20Source%20Master%20Sheet%202016_v1.xlsx" TargetMode="External"/><Relationship Id="rId1" Type="http://schemas.openxmlformats.org/officeDocument/2006/relationships/externalLinkPath" Target="New%20Pricing%20Source%20Master%20Sheet%202016_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jorge.moreno\Desktop\PRICE%20CHANGE\Wholesale%20Rate%20Sheet_102025.xlsx" TargetMode="External"/><Relationship Id="rId1" Type="http://schemas.openxmlformats.org/officeDocument/2006/relationships/externalLinkPath" Target="file:///D:\Users\jorge.moreno\Desktop\PRICE%20CHANGE\Wholesale%20Rate%20Sheet_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ges"/>
      <sheetName val="Pricing "/>
      <sheetName val="Sheet1"/>
      <sheetName val="Margin SRP Spread"/>
      <sheetName val="MG Note"/>
      <sheetName val="copied from margin tab"/>
      <sheetName val="New Pricing Source Master Sheet"/>
    </sheetNames>
    <definedNames>
      <definedName name="AIP_15" refersTo="='Pricing '!$A$2945:$R$2970"/>
      <definedName name="AIP_30" refersTo="='Pricing '!$A$2972:$R$2997"/>
      <definedName name="AIP_71" refersTo="='Pricing '!$A$2917:$R$2943"/>
    </definedNames>
    <sheetDataSet>
      <sheetData sheetId="0"/>
      <sheetData sheetId="1">
        <row r="6">
          <cell r="A6">
            <v>7.625</v>
          </cell>
          <cell r="B6">
            <v>104.32599999999999</v>
          </cell>
          <cell r="C6">
            <v>0.65472031167613554</v>
          </cell>
          <cell r="D6">
            <v>104.98072031167612</v>
          </cell>
          <cell r="E6">
            <v>0.32999999999999996</v>
          </cell>
          <cell r="F6">
            <v>0.375</v>
          </cell>
          <cell r="G6">
            <v>0</v>
          </cell>
          <cell r="H6">
            <v>104.27572031167612</v>
          </cell>
          <cell r="I6">
            <v>0</v>
          </cell>
          <cell r="J6"/>
          <cell r="K6">
            <v>104.27572031167612</v>
          </cell>
        </row>
        <row r="7">
          <cell r="A7">
            <v>7.5</v>
          </cell>
          <cell r="B7">
            <v>104.059</v>
          </cell>
          <cell r="C7">
            <v>0.71320601804099537</v>
          </cell>
          <cell r="D7">
            <v>104.77220601804099</v>
          </cell>
          <cell r="E7">
            <v>0.32999999999999996</v>
          </cell>
          <cell r="F7">
            <v>0.375</v>
          </cell>
          <cell r="G7">
            <v>0</v>
          </cell>
          <cell r="H7">
            <v>104.06720601804099</v>
          </cell>
          <cell r="I7">
            <v>0</v>
          </cell>
          <cell r="J7"/>
          <cell r="K7">
            <v>104.06720601804099</v>
          </cell>
        </row>
        <row r="8">
          <cell r="A8">
            <v>7.375</v>
          </cell>
          <cell r="B8">
            <v>103.72799999999999</v>
          </cell>
          <cell r="C8">
            <v>0.7747793530222602</v>
          </cell>
          <cell r="D8">
            <v>104.50277935302225</v>
          </cell>
          <cell r="E8">
            <v>0.32999999999999996</v>
          </cell>
          <cell r="F8">
            <v>0.375</v>
          </cell>
          <cell r="G8">
            <v>0</v>
          </cell>
          <cell r="H8">
            <v>103.79777935302225</v>
          </cell>
          <cell r="I8">
            <v>0</v>
          </cell>
          <cell r="J8"/>
          <cell r="K8">
            <v>103.79777935302225</v>
          </cell>
        </row>
        <row r="9">
          <cell r="A9">
            <v>7.25</v>
          </cell>
          <cell r="B9">
            <v>103.196</v>
          </cell>
          <cell r="C9">
            <v>0.82822321807392485</v>
          </cell>
          <cell r="D9">
            <v>104.02422321807393</v>
          </cell>
          <cell r="E9">
            <v>0.32999999999999996</v>
          </cell>
          <cell r="F9">
            <v>0.375</v>
          </cell>
          <cell r="G9">
            <v>0</v>
          </cell>
          <cell r="H9">
            <v>103.31922321807393</v>
          </cell>
          <cell r="I9">
            <v>0</v>
          </cell>
          <cell r="J9"/>
          <cell r="K9">
            <v>103.31922321807393</v>
          </cell>
        </row>
        <row r="10">
          <cell r="A10">
            <v>7.125</v>
          </cell>
          <cell r="B10">
            <v>102.932</v>
          </cell>
          <cell r="C10">
            <v>0.87863429865376697</v>
          </cell>
          <cell r="D10">
            <v>103.81063429865377</v>
          </cell>
          <cell r="E10">
            <v>0.32999999999999996</v>
          </cell>
          <cell r="F10">
            <v>0.375</v>
          </cell>
          <cell r="G10">
            <v>0</v>
          </cell>
          <cell r="H10">
            <v>103.10563429865377</v>
          </cell>
          <cell r="I10">
            <v>0</v>
          </cell>
          <cell r="J10"/>
          <cell r="K10">
            <v>103.10563429865377</v>
          </cell>
        </row>
        <row r="11">
          <cell r="A11">
            <v>7</v>
          </cell>
          <cell r="B11">
            <v>102.554</v>
          </cell>
          <cell r="C11">
            <v>0.92941882148098509</v>
          </cell>
          <cell r="D11">
            <v>103.48341882148098</v>
          </cell>
          <cell r="E11">
            <v>0.32999999999999996</v>
          </cell>
          <cell r="F11">
            <v>0.375</v>
          </cell>
          <cell r="G11">
            <v>0</v>
          </cell>
          <cell r="H11">
            <v>102.77841882148098</v>
          </cell>
          <cell r="I11">
            <v>0</v>
          </cell>
          <cell r="J11"/>
          <cell r="K11">
            <v>102.77841882148098</v>
          </cell>
        </row>
        <row r="12">
          <cell r="A12">
            <v>6.875</v>
          </cell>
          <cell r="B12">
            <v>102.042</v>
          </cell>
          <cell r="C12">
            <v>0.97963707029997038</v>
          </cell>
          <cell r="D12">
            <v>103.02163707029997</v>
          </cell>
          <cell r="E12">
            <v>0.32999999999999996</v>
          </cell>
          <cell r="F12">
            <v>0.375</v>
          </cell>
          <cell r="G12">
            <v>0</v>
          </cell>
          <cell r="H12">
            <v>102.31663707029998</v>
          </cell>
          <cell r="I12">
            <v>0</v>
          </cell>
          <cell r="J12"/>
          <cell r="K12">
            <v>102.31663707029998</v>
          </cell>
        </row>
        <row r="13">
          <cell r="A13">
            <v>6.75</v>
          </cell>
          <cell r="B13">
            <v>101.453</v>
          </cell>
          <cell r="C13">
            <v>1.0280353823492594</v>
          </cell>
          <cell r="D13">
            <v>102.48103538234926</v>
          </cell>
          <cell r="E13">
            <v>0.32999999999999996</v>
          </cell>
          <cell r="F13">
            <v>0.375</v>
          </cell>
          <cell r="G13">
            <v>0</v>
          </cell>
          <cell r="H13">
            <v>101.77603538234926</v>
          </cell>
          <cell r="I13">
            <v>0</v>
          </cell>
          <cell r="J13"/>
          <cell r="K13">
            <v>101.77603538234926</v>
          </cell>
        </row>
        <row r="14">
          <cell r="A14">
            <v>6.625</v>
          </cell>
          <cell r="B14">
            <v>101.232</v>
          </cell>
          <cell r="C14">
            <v>1.0731419487640863</v>
          </cell>
          <cell r="D14">
            <v>102.30514194876409</v>
          </cell>
          <cell r="E14">
            <v>0.32999999999999996</v>
          </cell>
          <cell r="F14">
            <v>0.375</v>
          </cell>
          <cell r="G14">
            <v>0</v>
          </cell>
          <cell r="H14">
            <v>101.60014194876409</v>
          </cell>
          <cell r="I14">
            <v>0</v>
          </cell>
          <cell r="J14"/>
          <cell r="K14">
            <v>101.60014194876409</v>
          </cell>
        </row>
        <row r="15">
          <cell r="A15">
            <v>6.5</v>
          </cell>
          <cell r="B15">
            <v>100.82</v>
          </cell>
          <cell r="C15">
            <v>1.1135579725934197</v>
          </cell>
          <cell r="D15">
            <v>101.93355797259342</v>
          </cell>
          <cell r="E15">
            <v>0.32999999999999996</v>
          </cell>
          <cell r="F15">
            <v>0.375</v>
          </cell>
          <cell r="G15">
            <v>0</v>
          </cell>
          <cell r="H15">
            <v>101.22855797259342</v>
          </cell>
          <cell r="I15">
            <v>0</v>
          </cell>
          <cell r="J15"/>
          <cell r="K15">
            <v>101.22855797259342</v>
          </cell>
        </row>
        <row r="16">
          <cell r="A16">
            <v>6.375</v>
          </cell>
          <cell r="B16">
            <v>100.45399999999999</v>
          </cell>
          <cell r="C16">
            <v>1.1475731089140164</v>
          </cell>
          <cell r="D16">
            <v>101.60157310891401</v>
          </cell>
          <cell r="E16">
            <v>0.32999999999999996</v>
          </cell>
          <cell r="F16">
            <v>0.375</v>
          </cell>
          <cell r="G16">
            <v>0</v>
          </cell>
          <cell r="H16">
            <v>100.89657310891401</v>
          </cell>
          <cell r="I16">
            <v>0</v>
          </cell>
          <cell r="J16"/>
          <cell r="K16">
            <v>100.89657310891401</v>
          </cell>
        </row>
        <row r="17">
          <cell r="A17">
            <v>6.25</v>
          </cell>
          <cell r="B17">
            <v>99.978999999999999</v>
          </cell>
          <cell r="C17">
            <v>1.1739341544104718</v>
          </cell>
          <cell r="D17">
            <v>101.15293415441047</v>
          </cell>
          <cell r="E17">
            <v>0.32999999999999996</v>
          </cell>
          <cell r="F17">
            <v>0.375</v>
          </cell>
          <cell r="G17">
            <v>0</v>
          </cell>
          <cell r="H17">
            <v>100.44793415441048</v>
          </cell>
          <cell r="I17">
            <v>0</v>
          </cell>
          <cell r="J17"/>
          <cell r="K17">
            <v>100.44793415441048</v>
          </cell>
        </row>
        <row r="18">
          <cell r="A18">
            <v>6.125</v>
          </cell>
          <cell r="B18">
            <v>99.421999999999997</v>
          </cell>
          <cell r="C18">
            <v>1.1914619382646172</v>
          </cell>
          <cell r="D18">
            <v>100.61346193826462</v>
          </cell>
          <cell r="E18">
            <v>0.32999999999999996</v>
          </cell>
          <cell r="F18">
            <v>0.27500000000000002</v>
          </cell>
          <cell r="G18">
            <v>0</v>
          </cell>
          <cell r="H18">
            <v>100.00846193826462</v>
          </cell>
          <cell r="I18">
            <v>0</v>
          </cell>
          <cell r="J18"/>
          <cell r="K18">
            <v>100.00846193826462</v>
          </cell>
        </row>
        <row r="19">
          <cell r="A19">
            <v>6</v>
          </cell>
          <cell r="B19">
            <v>98.933999999999997</v>
          </cell>
          <cell r="C19">
            <v>1.2261032992851351</v>
          </cell>
          <cell r="D19">
            <v>100.16010329928513</v>
          </cell>
          <cell r="E19">
            <v>0.32999999999999996</v>
          </cell>
          <cell r="F19">
            <v>0.375</v>
          </cell>
          <cell r="G19">
            <v>0</v>
          </cell>
          <cell r="H19">
            <v>99.455103299285128</v>
          </cell>
          <cell r="I19">
            <v>0</v>
          </cell>
          <cell r="J19"/>
          <cell r="K19">
            <v>99.455103299285128</v>
          </cell>
        </row>
        <row r="20">
          <cell r="A20">
            <v>5.99</v>
          </cell>
          <cell r="B20">
            <v>98.783999999999992</v>
          </cell>
          <cell r="C20">
            <v>1.2261032992851351</v>
          </cell>
          <cell r="D20">
            <v>100.01010329928512</v>
          </cell>
          <cell r="E20">
            <v>0.32999999999999996</v>
          </cell>
          <cell r="F20">
            <v>0.375</v>
          </cell>
          <cell r="G20">
            <v>0</v>
          </cell>
          <cell r="H20">
            <v>99.305103299285122</v>
          </cell>
          <cell r="I20">
            <v>0</v>
          </cell>
          <cell r="J20"/>
          <cell r="K20">
            <v>99.305103299285122</v>
          </cell>
        </row>
        <row r="21">
          <cell r="A21">
            <v>5.875</v>
          </cell>
          <cell r="B21">
            <v>98.454999999999998</v>
          </cell>
          <cell r="C21">
            <v>1.2582542829647416</v>
          </cell>
          <cell r="D21">
            <v>99.713254282964741</v>
          </cell>
          <cell r="E21">
            <v>0.32999999999999996</v>
          </cell>
          <cell r="F21">
            <v>0.375</v>
          </cell>
          <cell r="G21">
            <v>0</v>
          </cell>
          <cell r="H21">
            <v>99.008254282964742</v>
          </cell>
          <cell r="I21">
            <v>0</v>
          </cell>
          <cell r="J21"/>
          <cell r="K21">
            <v>99.008254282964742</v>
          </cell>
        </row>
        <row r="22">
          <cell r="A22">
            <v>5.75</v>
          </cell>
          <cell r="B22">
            <v>97.893000000000001</v>
          </cell>
          <cell r="C22">
            <v>1.2874604346057832</v>
          </cell>
          <cell r="D22">
            <v>99.180460434605777</v>
          </cell>
          <cell r="E22">
            <v>0.32999999999999996</v>
          </cell>
          <cell r="F22">
            <v>0.375</v>
          </cell>
          <cell r="G22">
            <v>0</v>
          </cell>
          <cell r="H22">
            <v>98.475460434605779</v>
          </cell>
          <cell r="I22">
            <v>0</v>
          </cell>
          <cell r="J22"/>
          <cell r="K22">
            <v>98.475460434605779</v>
          </cell>
        </row>
        <row r="23">
          <cell r="A23">
            <v>5.625</v>
          </cell>
          <cell r="B23">
            <v>97.337999999999994</v>
          </cell>
          <cell r="C23">
            <v>1.3103523159702306</v>
          </cell>
          <cell r="D23">
            <v>98.648352315970229</v>
          </cell>
          <cell r="E23">
            <v>0.32999999999999996</v>
          </cell>
          <cell r="F23">
            <v>0.375</v>
          </cell>
          <cell r="G23">
            <v>0</v>
          </cell>
          <cell r="H23">
            <v>97.94335231597023</v>
          </cell>
          <cell r="I23">
            <v>0</v>
          </cell>
          <cell r="J23"/>
          <cell r="K23">
            <v>97.94335231597023</v>
          </cell>
        </row>
        <row r="24">
          <cell r="A24">
            <v>5.5</v>
          </cell>
          <cell r="B24">
            <v>96.736000000000004</v>
          </cell>
          <cell r="C24">
            <v>1.332099769761613</v>
          </cell>
          <cell r="D24">
            <v>98.068099769761616</v>
          </cell>
          <cell r="E24">
            <v>0.32999999999999996</v>
          </cell>
          <cell r="F24">
            <v>0.375</v>
          </cell>
          <cell r="G24">
            <v>0</v>
          </cell>
          <cell r="H24">
            <v>97.363099769761618</v>
          </cell>
          <cell r="I24">
            <v>0</v>
          </cell>
          <cell r="J24"/>
          <cell r="K24">
            <v>97.363099769761618</v>
          </cell>
        </row>
        <row r="25">
          <cell r="A25">
            <v>5.375</v>
          </cell>
          <cell r="B25">
            <v>96.15</v>
          </cell>
          <cell r="C25">
            <v>1.349396508770641</v>
          </cell>
          <cell r="D25">
            <v>97.499396508770644</v>
          </cell>
          <cell r="E25">
            <v>0.32999999999999996</v>
          </cell>
          <cell r="F25">
            <v>0.375</v>
          </cell>
          <cell r="G25">
            <v>0</v>
          </cell>
          <cell r="H25">
            <v>96.794396508770646</v>
          </cell>
          <cell r="I25">
            <v>0</v>
          </cell>
          <cell r="J25"/>
          <cell r="K25">
            <v>96.794396508770646</v>
          </cell>
        </row>
        <row r="26">
          <cell r="A26">
            <v>5.25</v>
          </cell>
          <cell r="B26">
            <v>95.146000000000001</v>
          </cell>
          <cell r="C26">
            <v>1.3619320322486328</v>
          </cell>
          <cell r="D26">
            <v>96.507932032248632</v>
          </cell>
          <cell r="E26">
            <v>0.32999999999999996</v>
          </cell>
          <cell r="F26">
            <v>0.375</v>
          </cell>
          <cell r="G26">
            <v>0</v>
          </cell>
          <cell r="H26">
            <v>95.802932032248634</v>
          </cell>
          <cell r="I26">
            <v>0</v>
          </cell>
          <cell r="J26"/>
          <cell r="K26">
            <v>95.802932032248634</v>
          </cell>
        </row>
        <row r="27">
          <cell r="A27">
            <v>5.125</v>
          </cell>
          <cell r="B27">
            <v>95.129000000000005</v>
          </cell>
          <cell r="C27">
            <v>1.3719680144753188</v>
          </cell>
          <cell r="D27">
            <v>96.500968014475319</v>
          </cell>
          <cell r="E27">
            <v>0.32999999999999996</v>
          </cell>
          <cell r="F27">
            <v>0.375</v>
          </cell>
          <cell r="G27">
            <v>0</v>
          </cell>
          <cell r="H27">
            <v>95.795968014475321</v>
          </cell>
          <cell r="I27">
            <v>0</v>
          </cell>
          <cell r="J27"/>
          <cell r="K27">
            <v>95.795968014475321</v>
          </cell>
        </row>
        <row r="28">
          <cell r="A28">
            <v>5</v>
          </cell>
          <cell r="B28">
            <v>94.415999999999997</v>
          </cell>
          <cell r="C28">
            <v>1.3849446652924806</v>
          </cell>
          <cell r="D28">
            <v>95.800944665292477</v>
          </cell>
          <cell r="E28">
            <v>0.32999999999999996</v>
          </cell>
          <cell r="F28">
            <v>0.375</v>
          </cell>
          <cell r="G28">
            <v>0</v>
          </cell>
          <cell r="H28">
            <v>95.095944665292478</v>
          </cell>
          <cell r="I28">
            <v>0</v>
          </cell>
          <cell r="J28"/>
          <cell r="K28">
            <v>95.095944665292478</v>
          </cell>
        </row>
        <row r="29">
          <cell r="A29">
            <v>4.875</v>
          </cell>
          <cell r="B29">
            <v>93.64</v>
          </cell>
          <cell r="C29">
            <v>1.3980988298836645</v>
          </cell>
          <cell r="D29">
            <v>95.038098829883666</v>
          </cell>
          <cell r="E29">
            <v>0.32999999999999996</v>
          </cell>
          <cell r="F29">
            <v>0.375</v>
          </cell>
          <cell r="G29">
            <v>0</v>
          </cell>
          <cell r="H29">
            <v>94.333098829883667</v>
          </cell>
          <cell r="I29">
            <v>0</v>
          </cell>
          <cell r="J29"/>
          <cell r="K29">
            <v>94.333098829883667</v>
          </cell>
        </row>
        <row r="30">
          <cell r="A30">
            <v>4.75</v>
          </cell>
          <cell r="B30">
            <v>92.762</v>
          </cell>
          <cell r="C30">
            <v>1.4114225825536417</v>
          </cell>
          <cell r="D30">
            <v>94.173422582553641</v>
          </cell>
          <cell r="E30">
            <v>0.32999999999999996</v>
          </cell>
          <cell r="F30">
            <v>0.375</v>
          </cell>
          <cell r="G30">
            <v>0</v>
          </cell>
          <cell r="H30">
            <v>93.468422582553643</v>
          </cell>
          <cell r="I30">
            <v>0</v>
          </cell>
          <cell r="J30"/>
          <cell r="K30">
            <v>93.468422582553643</v>
          </cell>
        </row>
        <row r="59">
          <cell r="A59">
            <v>7.5</v>
          </cell>
          <cell r="B59">
            <v>104.146</v>
          </cell>
          <cell r="C59">
            <v>0.46320601804099537</v>
          </cell>
          <cell r="D59">
            <v>104.60920601804099</v>
          </cell>
          <cell r="E59">
            <v>0.96000000000000008</v>
          </cell>
          <cell r="F59">
            <v>0.375</v>
          </cell>
          <cell r="G59">
            <v>0</v>
          </cell>
          <cell r="H59">
            <v>103.274206018041</v>
          </cell>
          <cell r="I59">
            <v>0</v>
          </cell>
          <cell r="J59"/>
          <cell r="K59">
            <v>103.274206018041</v>
          </cell>
        </row>
        <row r="60">
          <cell r="A60">
            <v>7.375</v>
          </cell>
          <cell r="B60">
            <v>103.831</v>
          </cell>
          <cell r="C60">
            <v>0.5247793530222602</v>
          </cell>
          <cell r="D60">
            <v>104.35577935302226</v>
          </cell>
          <cell r="E60">
            <v>0.96000000000000008</v>
          </cell>
          <cell r="F60">
            <v>0.375</v>
          </cell>
          <cell r="G60">
            <v>0</v>
          </cell>
          <cell r="H60">
            <v>103.02077935302226</v>
          </cell>
          <cell r="I60">
            <v>0</v>
          </cell>
          <cell r="J60"/>
          <cell r="K60">
            <v>103.02077935302226</v>
          </cell>
        </row>
        <row r="61">
          <cell r="A61">
            <v>7.25</v>
          </cell>
          <cell r="B61">
            <v>103.499</v>
          </cell>
          <cell r="C61">
            <v>0.57822321807392485</v>
          </cell>
          <cell r="D61">
            <v>104.07722321807393</v>
          </cell>
          <cell r="E61">
            <v>0.96000000000000008</v>
          </cell>
          <cell r="F61">
            <v>0.375</v>
          </cell>
          <cell r="G61">
            <v>0</v>
          </cell>
          <cell r="H61">
            <v>102.74222321807393</v>
          </cell>
          <cell r="I61">
            <v>0</v>
          </cell>
          <cell r="J61"/>
          <cell r="K61">
            <v>102.74222321807393</v>
          </cell>
        </row>
        <row r="62">
          <cell r="A62">
            <v>7.125</v>
          </cell>
          <cell r="B62">
            <v>102.947</v>
          </cell>
          <cell r="C62">
            <v>0.62863429865376697</v>
          </cell>
          <cell r="D62">
            <v>103.57563429865377</v>
          </cell>
          <cell r="E62">
            <v>0.96000000000000008</v>
          </cell>
          <cell r="F62">
            <v>0.375</v>
          </cell>
          <cell r="G62">
            <v>0</v>
          </cell>
          <cell r="H62">
            <v>102.24063429865377</v>
          </cell>
          <cell r="I62">
            <v>0</v>
          </cell>
          <cell r="J62"/>
          <cell r="K62">
            <v>102.24063429865377</v>
          </cell>
        </row>
        <row r="63">
          <cell r="A63">
            <v>7</v>
          </cell>
          <cell r="B63">
            <v>102.58</v>
          </cell>
          <cell r="C63">
            <v>0.67941882148098509</v>
          </cell>
          <cell r="D63">
            <v>103.25941882148098</v>
          </cell>
          <cell r="E63">
            <v>0.96000000000000008</v>
          </cell>
          <cell r="F63">
            <v>0.375</v>
          </cell>
          <cell r="G63">
            <v>0</v>
          </cell>
          <cell r="H63">
            <v>101.92441882148098</v>
          </cell>
          <cell r="I63">
            <v>0</v>
          </cell>
          <cell r="J63"/>
          <cell r="K63">
            <v>101.92441882148098</v>
          </cell>
        </row>
        <row r="64">
          <cell r="A64">
            <v>6.875</v>
          </cell>
          <cell r="B64">
            <v>102.274</v>
          </cell>
          <cell r="C64">
            <v>0.72963707029997038</v>
          </cell>
          <cell r="D64">
            <v>103.00363707029997</v>
          </cell>
          <cell r="E64">
            <v>0.96000000000000008</v>
          </cell>
          <cell r="F64">
            <v>0.375</v>
          </cell>
          <cell r="G64">
            <v>0</v>
          </cell>
          <cell r="H64">
            <v>101.66863707029998</v>
          </cell>
          <cell r="I64">
            <v>0</v>
          </cell>
          <cell r="J64"/>
          <cell r="K64">
            <v>101.66863707029998</v>
          </cell>
        </row>
        <row r="65">
          <cell r="A65">
            <v>6.75</v>
          </cell>
          <cell r="B65">
            <v>101.926</v>
          </cell>
          <cell r="C65">
            <v>0.7780353823492594</v>
          </cell>
          <cell r="D65">
            <v>102.70403538234926</v>
          </cell>
          <cell r="E65">
            <v>0.96000000000000008</v>
          </cell>
          <cell r="F65">
            <v>0.375</v>
          </cell>
          <cell r="G65">
            <v>0</v>
          </cell>
          <cell r="H65">
            <v>101.36903538234927</v>
          </cell>
          <cell r="I65">
            <v>0</v>
          </cell>
          <cell r="J65"/>
          <cell r="K65">
            <v>101.36903538234927</v>
          </cell>
        </row>
        <row r="66">
          <cell r="A66">
            <v>6.625</v>
          </cell>
          <cell r="B66">
            <v>101.815</v>
          </cell>
          <cell r="C66">
            <v>0.82314194876408631</v>
          </cell>
          <cell r="D66">
            <v>102.63814194876409</v>
          </cell>
          <cell r="E66">
            <v>0.96000000000000008</v>
          </cell>
          <cell r="F66">
            <v>0.375</v>
          </cell>
          <cell r="G66">
            <v>0</v>
          </cell>
          <cell r="H66">
            <v>101.30314194876409</v>
          </cell>
          <cell r="I66">
            <v>0</v>
          </cell>
          <cell r="J66"/>
          <cell r="K66">
            <v>101.30314194876409</v>
          </cell>
        </row>
        <row r="67">
          <cell r="A67">
            <v>6.5</v>
          </cell>
          <cell r="B67">
            <v>101.45099999999999</v>
          </cell>
          <cell r="C67">
            <v>0.86355797259341971</v>
          </cell>
          <cell r="D67">
            <v>102.31455797259342</v>
          </cell>
          <cell r="E67">
            <v>0.96000000000000008</v>
          </cell>
          <cell r="F67">
            <v>0.375</v>
          </cell>
          <cell r="G67">
            <v>0</v>
          </cell>
          <cell r="H67">
            <v>100.97955797259343</v>
          </cell>
          <cell r="I67">
            <v>0</v>
          </cell>
          <cell r="J67"/>
          <cell r="K67">
            <v>100.97955797259343</v>
          </cell>
        </row>
        <row r="68">
          <cell r="A68">
            <v>6.375</v>
          </cell>
          <cell r="B68">
            <v>101.05200000000001</v>
          </cell>
          <cell r="C68">
            <v>0.89757310891401643</v>
          </cell>
          <cell r="D68">
            <v>101.94957310891402</v>
          </cell>
          <cell r="E68">
            <v>0.96000000000000008</v>
          </cell>
          <cell r="F68">
            <v>0.375</v>
          </cell>
          <cell r="G68">
            <v>0</v>
          </cell>
          <cell r="H68">
            <v>100.61457310891403</v>
          </cell>
          <cell r="I68">
            <v>0</v>
          </cell>
          <cell r="J68"/>
          <cell r="K68">
            <v>100.61457310891403</v>
          </cell>
        </row>
        <row r="69">
          <cell r="A69">
            <v>6.25</v>
          </cell>
          <cell r="B69">
            <v>100.63</v>
          </cell>
          <cell r="C69">
            <v>0.92393415441047178</v>
          </cell>
          <cell r="D69">
            <v>101.55393415441047</v>
          </cell>
          <cell r="E69">
            <v>0.96000000000000008</v>
          </cell>
          <cell r="F69">
            <v>0.375</v>
          </cell>
          <cell r="G69">
            <v>0</v>
          </cell>
          <cell r="H69">
            <v>100.21893415441048</v>
          </cell>
          <cell r="I69">
            <v>0</v>
          </cell>
          <cell r="J69"/>
          <cell r="K69">
            <v>100.21893415441048</v>
          </cell>
        </row>
        <row r="70">
          <cell r="A70">
            <v>6.125</v>
          </cell>
          <cell r="B70">
            <v>100.459</v>
          </cell>
          <cell r="C70">
            <v>0.94146193826461722</v>
          </cell>
          <cell r="D70">
            <v>101.40046193826463</v>
          </cell>
          <cell r="E70">
            <v>0.96000000000000008</v>
          </cell>
          <cell r="F70">
            <v>0.27500000000000002</v>
          </cell>
          <cell r="G70">
            <v>0</v>
          </cell>
          <cell r="H70">
            <v>100.16546193826463</v>
          </cell>
          <cell r="I70">
            <v>0</v>
          </cell>
          <cell r="J70"/>
          <cell r="K70">
            <v>100.16546193826463</v>
          </cell>
        </row>
        <row r="71">
          <cell r="A71">
            <v>6</v>
          </cell>
          <cell r="B71">
            <v>100.08799999999999</v>
          </cell>
          <cell r="C71">
            <v>0.97610329928513506</v>
          </cell>
          <cell r="D71">
            <v>101.06410329928512</v>
          </cell>
          <cell r="E71">
            <v>0.96000000000000008</v>
          </cell>
          <cell r="F71">
            <v>0.375</v>
          </cell>
          <cell r="G71">
            <v>0</v>
          </cell>
          <cell r="H71">
            <v>99.729103299285129</v>
          </cell>
          <cell r="I71">
            <v>0</v>
          </cell>
          <cell r="J71"/>
          <cell r="K71">
            <v>99.729103299285129</v>
          </cell>
        </row>
        <row r="72">
          <cell r="A72">
            <v>5.875</v>
          </cell>
          <cell r="B72">
            <v>99.623000000000005</v>
          </cell>
          <cell r="C72">
            <v>1.0082542829647416</v>
          </cell>
          <cell r="D72">
            <v>100.63125428296475</v>
          </cell>
          <cell r="E72">
            <v>0.96000000000000008</v>
          </cell>
          <cell r="F72">
            <v>0.375</v>
          </cell>
          <cell r="G72">
            <v>0</v>
          </cell>
          <cell r="H72">
            <v>99.296254282964753</v>
          </cell>
          <cell r="I72">
            <v>0</v>
          </cell>
          <cell r="J72"/>
          <cell r="K72">
            <v>99.296254282964753</v>
          </cell>
        </row>
        <row r="73">
          <cell r="A73">
            <v>5.75</v>
          </cell>
          <cell r="B73">
            <v>99.123999999999995</v>
          </cell>
          <cell r="C73">
            <v>1.0374604346057832</v>
          </cell>
          <cell r="D73">
            <v>100.16146043460577</v>
          </cell>
          <cell r="E73">
            <v>0.96000000000000008</v>
          </cell>
          <cell r="F73">
            <v>0.375</v>
          </cell>
          <cell r="G73">
            <v>0</v>
          </cell>
          <cell r="H73">
            <v>98.826460434605778</v>
          </cell>
          <cell r="I73">
            <v>0</v>
          </cell>
          <cell r="J73"/>
          <cell r="K73">
            <v>98.826460434605778</v>
          </cell>
        </row>
        <row r="74">
          <cell r="A74">
            <v>5.625</v>
          </cell>
          <cell r="B74">
            <v>98.695999999999998</v>
          </cell>
          <cell r="C74">
            <v>1.0603523159702306</v>
          </cell>
          <cell r="D74">
            <v>99.756352315970233</v>
          </cell>
          <cell r="E74">
            <v>0.96000000000000008</v>
          </cell>
          <cell r="F74">
            <v>0.375</v>
          </cell>
          <cell r="G74">
            <v>0</v>
          </cell>
          <cell r="H74">
            <v>98.421352315970239</v>
          </cell>
          <cell r="I74">
            <v>0</v>
          </cell>
          <cell r="J74"/>
          <cell r="K74">
            <v>98.421352315970239</v>
          </cell>
        </row>
        <row r="75">
          <cell r="A75">
            <v>5.5</v>
          </cell>
          <cell r="B75">
            <v>98.192999999999998</v>
          </cell>
          <cell r="C75">
            <v>1.082099769761613</v>
          </cell>
          <cell r="D75">
            <v>99.27509976976161</v>
          </cell>
          <cell r="E75">
            <v>0.96000000000000008</v>
          </cell>
          <cell r="F75">
            <v>0.375</v>
          </cell>
          <cell r="G75">
            <v>0</v>
          </cell>
          <cell r="H75">
            <v>97.940099769761616</v>
          </cell>
          <cell r="I75">
            <v>0</v>
          </cell>
          <cell r="J75"/>
          <cell r="K75">
            <v>97.940099769761616</v>
          </cell>
        </row>
        <row r="76">
          <cell r="A76">
            <v>5.375</v>
          </cell>
          <cell r="B76">
            <v>97.682000000000002</v>
          </cell>
          <cell r="C76">
            <v>1.099396508770641</v>
          </cell>
          <cell r="D76">
            <v>98.781396508770641</v>
          </cell>
          <cell r="E76">
            <v>0.96000000000000008</v>
          </cell>
          <cell r="F76">
            <v>0.375</v>
          </cell>
          <cell r="G76">
            <v>0</v>
          </cell>
          <cell r="H76">
            <v>97.446396508770647</v>
          </cell>
          <cell r="I76">
            <v>0</v>
          </cell>
          <cell r="J76"/>
          <cell r="K76">
            <v>97.446396508770647</v>
          </cell>
        </row>
        <row r="77">
          <cell r="A77">
            <v>5.25</v>
          </cell>
          <cell r="B77">
            <v>96.933000000000007</v>
          </cell>
          <cell r="C77">
            <v>1.1119320322486328</v>
          </cell>
          <cell r="D77">
            <v>98.044932032248639</v>
          </cell>
          <cell r="E77">
            <v>0.96000000000000008</v>
          </cell>
          <cell r="F77">
            <v>0.375</v>
          </cell>
          <cell r="G77">
            <v>0</v>
          </cell>
          <cell r="H77">
            <v>96.709932032248645</v>
          </cell>
          <cell r="I77">
            <v>0</v>
          </cell>
          <cell r="J77"/>
          <cell r="K77">
            <v>96.709932032248645</v>
          </cell>
        </row>
        <row r="78">
          <cell r="A78">
            <v>5.125</v>
          </cell>
          <cell r="B78">
            <v>96.594999999999999</v>
          </cell>
          <cell r="C78">
            <v>1.1219680144753188</v>
          </cell>
          <cell r="D78">
            <v>97.716968014475313</v>
          </cell>
          <cell r="E78">
            <v>0.96000000000000008</v>
          </cell>
          <cell r="F78">
            <v>0.375</v>
          </cell>
          <cell r="G78">
            <v>0</v>
          </cell>
          <cell r="H78">
            <v>96.381968014475319</v>
          </cell>
          <cell r="I78">
            <v>0</v>
          </cell>
          <cell r="J78"/>
          <cell r="K78">
            <v>96.381968014475319</v>
          </cell>
        </row>
        <row r="79">
          <cell r="A79">
            <v>5</v>
          </cell>
          <cell r="B79">
            <v>96.078999999999994</v>
          </cell>
          <cell r="C79">
            <v>1.1349446652924806</v>
          </cell>
          <cell r="D79">
            <v>97.213944665292473</v>
          </cell>
          <cell r="E79">
            <v>0.96000000000000008</v>
          </cell>
          <cell r="F79">
            <v>0.375</v>
          </cell>
          <cell r="G79">
            <v>0</v>
          </cell>
          <cell r="H79">
            <v>95.878944665292479</v>
          </cell>
          <cell r="I79">
            <v>0</v>
          </cell>
          <cell r="J79"/>
          <cell r="K79">
            <v>95.878944665292479</v>
          </cell>
        </row>
        <row r="80">
          <cell r="A80">
            <v>4.875</v>
          </cell>
          <cell r="B80">
            <v>95.450999999999993</v>
          </cell>
          <cell r="C80">
            <v>1.1480988298836645</v>
          </cell>
          <cell r="D80">
            <v>96.599098829883658</v>
          </cell>
          <cell r="E80">
            <v>0.96000000000000008</v>
          </cell>
          <cell r="F80">
            <v>0.375</v>
          </cell>
          <cell r="G80">
            <v>0</v>
          </cell>
          <cell r="H80">
            <v>95.264098829883665</v>
          </cell>
          <cell r="I80">
            <v>0</v>
          </cell>
          <cell r="J80"/>
          <cell r="K80">
            <v>95.264098829883665</v>
          </cell>
        </row>
        <row r="81">
          <cell r="A81">
            <v>4.75</v>
          </cell>
          <cell r="B81">
            <v>94.822000000000003</v>
          </cell>
          <cell r="C81">
            <v>1.1614225825536417</v>
          </cell>
          <cell r="D81">
            <v>95.983422582553644</v>
          </cell>
          <cell r="E81">
            <v>0.96000000000000008</v>
          </cell>
          <cell r="F81">
            <v>0.375</v>
          </cell>
          <cell r="G81">
            <v>0</v>
          </cell>
          <cell r="H81">
            <v>94.64842258255365</v>
          </cell>
          <cell r="I81">
            <v>0</v>
          </cell>
          <cell r="J81"/>
          <cell r="K81">
            <v>94.64842258255365</v>
          </cell>
        </row>
        <row r="82">
          <cell r="A82">
            <v>4.625</v>
          </cell>
          <cell r="B82">
            <v>94.013000000000005</v>
          </cell>
          <cell r="C82">
            <v>1.1724899488210871</v>
          </cell>
          <cell r="D82">
            <v>95.185489948821086</v>
          </cell>
          <cell r="E82">
            <v>0.96000000000000008</v>
          </cell>
          <cell r="F82">
            <v>0.375</v>
          </cell>
          <cell r="G82">
            <v>0</v>
          </cell>
          <cell r="H82">
            <v>93.850489948821092</v>
          </cell>
          <cell r="I82">
            <v>0</v>
          </cell>
          <cell r="J82"/>
          <cell r="K82">
            <v>93.850489948821092</v>
          </cell>
        </row>
        <row r="83">
          <cell r="A83">
            <v>4.5</v>
          </cell>
          <cell r="B83">
            <v>93.405000000000001</v>
          </cell>
          <cell r="C83">
            <v>1.1805892490508394</v>
          </cell>
          <cell r="D83">
            <v>94.585589249050841</v>
          </cell>
          <cell r="E83">
            <v>0.96000000000000008</v>
          </cell>
          <cell r="F83">
            <v>0.375</v>
          </cell>
          <cell r="G83">
            <v>0</v>
          </cell>
          <cell r="H83">
            <v>93.250589249050847</v>
          </cell>
          <cell r="I83">
            <v>0</v>
          </cell>
          <cell r="J83"/>
          <cell r="K83">
            <v>93.250589249050847</v>
          </cell>
        </row>
        <row r="86">
          <cell r="A86">
            <v>7</v>
          </cell>
          <cell r="B86">
            <v>103.51300000000001</v>
          </cell>
          <cell r="C86">
            <v>0.60203982005500167</v>
          </cell>
          <cell r="D86">
            <v>104.115039820055</v>
          </cell>
          <cell r="E86">
            <v>0.87999999999999989</v>
          </cell>
          <cell r="F86">
            <v>0</v>
          </cell>
          <cell r="G86">
            <v>0</v>
          </cell>
          <cell r="H86">
            <v>103.23503982005501</v>
          </cell>
          <cell r="I86">
            <v>0</v>
          </cell>
          <cell r="J86"/>
          <cell r="K86">
            <v>103.23503982005501</v>
          </cell>
        </row>
        <row r="87">
          <cell r="A87">
            <v>6.875</v>
          </cell>
          <cell r="B87">
            <v>103.26900000000001</v>
          </cell>
          <cell r="C87">
            <v>0.62534093630826337</v>
          </cell>
          <cell r="D87">
            <v>103.89434093630827</v>
          </cell>
          <cell r="E87">
            <v>0.87999999999999989</v>
          </cell>
          <cell r="F87">
            <v>0</v>
          </cell>
          <cell r="G87">
            <v>0</v>
          </cell>
          <cell r="H87">
            <v>103.01434093630827</v>
          </cell>
          <cell r="I87">
            <v>0</v>
          </cell>
          <cell r="J87"/>
          <cell r="K87">
            <v>103.01434093630827</v>
          </cell>
        </row>
        <row r="88">
          <cell r="A88">
            <v>6.75</v>
          </cell>
          <cell r="B88">
            <v>102.996</v>
          </cell>
          <cell r="C88">
            <v>0.65025908368989305</v>
          </cell>
          <cell r="D88">
            <v>103.64625908368988</v>
          </cell>
          <cell r="E88">
            <v>0.87999999999999989</v>
          </cell>
          <cell r="F88">
            <v>0</v>
          </cell>
          <cell r="G88">
            <v>0</v>
          </cell>
          <cell r="H88">
            <v>102.76625908368989</v>
          </cell>
          <cell r="I88">
            <v>0</v>
          </cell>
          <cell r="J88"/>
          <cell r="K88">
            <v>102.76625908368989</v>
          </cell>
        </row>
        <row r="89">
          <cell r="A89">
            <v>6.625</v>
          </cell>
          <cell r="B89">
            <v>102.71599999999999</v>
          </cell>
          <cell r="C89">
            <v>0.67610484962926121</v>
          </cell>
          <cell r="D89">
            <v>103.39210484962925</v>
          </cell>
          <cell r="E89">
            <v>0.87999999999999989</v>
          </cell>
          <cell r="F89">
            <v>0</v>
          </cell>
          <cell r="G89">
            <v>0</v>
          </cell>
          <cell r="H89">
            <v>102.51210484962925</v>
          </cell>
          <cell r="I89">
            <v>0</v>
          </cell>
          <cell r="J89"/>
          <cell r="K89">
            <v>102.51210484962925</v>
          </cell>
        </row>
        <row r="90">
          <cell r="A90">
            <v>6.5</v>
          </cell>
          <cell r="B90">
            <v>102.512</v>
          </cell>
          <cell r="C90">
            <v>0.70497051076905048</v>
          </cell>
          <cell r="D90">
            <v>103.21697051076904</v>
          </cell>
          <cell r="E90">
            <v>0.87999999999999989</v>
          </cell>
          <cell r="F90">
            <v>0</v>
          </cell>
          <cell r="G90">
            <v>0</v>
          </cell>
          <cell r="H90">
            <v>102.33697051076905</v>
          </cell>
          <cell r="I90">
            <v>0</v>
          </cell>
          <cell r="J90"/>
          <cell r="K90">
            <v>102.33697051076905</v>
          </cell>
        </row>
        <row r="91">
          <cell r="A91">
            <v>6.375</v>
          </cell>
          <cell r="B91">
            <v>102.238</v>
          </cell>
          <cell r="C91">
            <v>0.73854383975763349</v>
          </cell>
          <cell r="D91">
            <v>102.97654383975764</v>
          </cell>
          <cell r="E91">
            <v>0.87999999999999989</v>
          </cell>
          <cell r="F91">
            <v>0</v>
          </cell>
          <cell r="G91">
            <v>0</v>
          </cell>
          <cell r="H91">
            <v>102.09654383975764</v>
          </cell>
          <cell r="I91">
            <v>0</v>
          </cell>
          <cell r="J91"/>
          <cell r="K91">
            <v>102.09654383975764</v>
          </cell>
        </row>
        <row r="92">
          <cell r="A92">
            <v>6.25</v>
          </cell>
          <cell r="B92">
            <v>101.91</v>
          </cell>
          <cell r="C92">
            <v>0.77507419526604571</v>
          </cell>
          <cell r="D92">
            <v>102.68507419526604</v>
          </cell>
          <cell r="E92">
            <v>0.87999999999999989</v>
          </cell>
          <cell r="F92">
            <v>0</v>
          </cell>
          <cell r="G92">
            <v>0</v>
          </cell>
          <cell r="H92">
            <v>101.80507419526604</v>
          </cell>
          <cell r="I92">
            <v>0</v>
          </cell>
          <cell r="J92"/>
          <cell r="K92">
            <v>101.80507419526604</v>
          </cell>
        </row>
        <row r="93">
          <cell r="A93">
            <v>6.125</v>
          </cell>
          <cell r="B93">
            <v>101.538</v>
          </cell>
          <cell r="C93">
            <v>0.81193159693787897</v>
          </cell>
          <cell r="D93">
            <v>102.34993159693788</v>
          </cell>
          <cell r="E93">
            <v>0.87999999999999989</v>
          </cell>
          <cell r="F93">
            <v>0</v>
          </cell>
          <cell r="G93">
            <v>0</v>
          </cell>
          <cell r="H93">
            <v>101.46993159693788</v>
          </cell>
          <cell r="I93">
            <v>0</v>
          </cell>
          <cell r="J93"/>
          <cell r="K93">
            <v>101.46993159693788</v>
          </cell>
        </row>
        <row r="94">
          <cell r="A94">
            <v>6</v>
          </cell>
          <cell r="B94">
            <v>101.24</v>
          </cell>
          <cell r="C94">
            <v>0.84454537091749549</v>
          </cell>
          <cell r="D94">
            <v>102.0845453709175</v>
          </cell>
          <cell r="E94">
            <v>0.87999999999999989</v>
          </cell>
          <cell r="F94">
            <v>0</v>
          </cell>
          <cell r="G94">
            <v>0</v>
          </cell>
          <cell r="H94">
            <v>101.2045453709175</v>
          </cell>
          <cell r="I94">
            <v>0</v>
          </cell>
          <cell r="J94"/>
          <cell r="K94">
            <v>101.2045453709175</v>
          </cell>
        </row>
        <row r="95">
          <cell r="A95">
            <v>5.875</v>
          </cell>
          <cell r="B95">
            <v>100.94</v>
          </cell>
          <cell r="C95">
            <v>0.87241864753888954</v>
          </cell>
          <cell r="D95">
            <v>101.81241864753889</v>
          </cell>
          <cell r="E95">
            <v>0.87999999999999989</v>
          </cell>
          <cell r="F95">
            <v>0</v>
          </cell>
          <cell r="G95">
            <v>0</v>
          </cell>
          <cell r="H95">
            <v>100.9324186475389</v>
          </cell>
          <cell r="I95">
            <v>0</v>
          </cell>
          <cell r="J95"/>
          <cell r="K95">
            <v>100.9324186475389</v>
          </cell>
        </row>
        <row r="96">
          <cell r="A96">
            <v>5.75</v>
          </cell>
          <cell r="B96">
            <v>100.515</v>
          </cell>
          <cell r="C96">
            <v>0.89405740022148339</v>
          </cell>
          <cell r="D96">
            <v>101.40905740022149</v>
          </cell>
          <cell r="E96">
            <v>0.87999999999999989</v>
          </cell>
          <cell r="F96">
            <v>0</v>
          </cell>
          <cell r="G96">
            <v>0</v>
          </cell>
          <cell r="H96">
            <v>100.52905740022149</v>
          </cell>
          <cell r="I96">
            <v>0</v>
          </cell>
          <cell r="J96"/>
          <cell r="K96">
            <v>100.52905740022149</v>
          </cell>
        </row>
        <row r="97">
          <cell r="A97">
            <v>5.625</v>
          </cell>
          <cell r="B97">
            <v>100.16</v>
          </cell>
          <cell r="C97">
            <v>0.91157641302291992</v>
          </cell>
          <cell r="D97">
            <v>101.07157641302291</v>
          </cell>
          <cell r="E97">
            <v>0.87999999999999989</v>
          </cell>
          <cell r="F97">
            <v>0</v>
          </cell>
          <cell r="G97">
            <v>0</v>
          </cell>
          <cell r="H97">
            <v>100.19157641302291</v>
          </cell>
          <cell r="I97">
            <v>0</v>
          </cell>
          <cell r="J97"/>
          <cell r="K97">
            <v>100.19157641302291</v>
          </cell>
        </row>
        <row r="98">
          <cell r="A98">
            <v>5.5</v>
          </cell>
          <cell r="B98">
            <v>99.822000000000003</v>
          </cell>
          <cell r="C98">
            <v>0.92675711880623857</v>
          </cell>
          <cell r="D98">
            <v>100.74875711880624</v>
          </cell>
          <cell r="E98">
            <v>0.87999999999999989</v>
          </cell>
          <cell r="F98">
            <v>0</v>
          </cell>
          <cell r="G98">
            <v>0</v>
          </cell>
          <cell r="H98">
            <v>99.868757118806244</v>
          </cell>
          <cell r="I98">
            <v>0</v>
          </cell>
          <cell r="J98"/>
          <cell r="K98">
            <v>99.868757118806244</v>
          </cell>
        </row>
        <row r="99">
          <cell r="A99">
            <v>5.375</v>
          </cell>
          <cell r="B99">
            <v>99.457999999999998</v>
          </cell>
          <cell r="C99">
            <v>0.94182030861649346</v>
          </cell>
          <cell r="D99">
            <v>100.3998203086165</v>
          </cell>
          <cell r="E99">
            <v>0.87999999999999989</v>
          </cell>
          <cell r="F99">
            <v>0</v>
          </cell>
          <cell r="G99">
            <v>0</v>
          </cell>
          <cell r="H99">
            <v>99.519820308616502</v>
          </cell>
          <cell r="I99">
            <v>0</v>
          </cell>
          <cell r="J99"/>
          <cell r="K99">
            <v>99.519820308616502</v>
          </cell>
        </row>
        <row r="100">
          <cell r="A100">
            <v>5.25</v>
          </cell>
          <cell r="B100">
            <v>99.102999999999994</v>
          </cell>
          <cell r="C100">
            <v>0.95620950695123663</v>
          </cell>
          <cell r="D100">
            <v>100.05920950695123</v>
          </cell>
          <cell r="E100">
            <v>0.87999999999999989</v>
          </cell>
          <cell r="F100">
            <v>0</v>
          </cell>
          <cell r="G100">
            <v>0</v>
          </cell>
          <cell r="H100">
            <v>99.179209506951238</v>
          </cell>
          <cell r="I100">
            <v>0</v>
          </cell>
          <cell r="J100"/>
          <cell r="K100">
            <v>99.179209506951238</v>
          </cell>
        </row>
        <row r="101">
          <cell r="A101">
            <v>5.125</v>
          </cell>
          <cell r="B101">
            <v>98.772000000000006</v>
          </cell>
          <cell r="C101">
            <v>0.96597412571712737</v>
          </cell>
          <cell r="D101">
            <v>99.73797412571713</v>
          </cell>
          <cell r="E101">
            <v>0.87999999999999989</v>
          </cell>
          <cell r="F101">
            <v>0</v>
          </cell>
          <cell r="G101">
            <v>0</v>
          </cell>
          <cell r="H101">
            <v>98.857974125717135</v>
          </cell>
          <cell r="I101">
            <v>0</v>
          </cell>
          <cell r="J101"/>
          <cell r="K101">
            <v>98.857974125717135</v>
          </cell>
        </row>
        <row r="102">
          <cell r="A102">
            <v>5</v>
          </cell>
          <cell r="B102">
            <v>98.221999999999994</v>
          </cell>
          <cell r="C102">
            <v>0.97578115344577854</v>
          </cell>
          <cell r="D102">
            <v>99.197781153445774</v>
          </cell>
          <cell r="E102">
            <v>0.87999999999999989</v>
          </cell>
          <cell r="F102">
            <v>0</v>
          </cell>
          <cell r="G102">
            <v>0</v>
          </cell>
          <cell r="H102">
            <v>98.317781153445779</v>
          </cell>
          <cell r="I102">
            <v>0</v>
          </cell>
          <cell r="J102"/>
          <cell r="K102">
            <v>98.317781153445779</v>
          </cell>
        </row>
        <row r="103">
          <cell r="A103">
            <v>4.875</v>
          </cell>
          <cell r="B103">
            <v>97.844999999999999</v>
          </cell>
          <cell r="C103">
            <v>0.98464002628506886</v>
          </cell>
          <cell r="D103">
            <v>98.829640026285063</v>
          </cell>
          <cell r="E103">
            <v>0.87999999999999989</v>
          </cell>
          <cell r="F103">
            <v>0</v>
          </cell>
          <cell r="G103">
            <v>0</v>
          </cell>
          <cell r="H103">
            <v>97.949640026285067</v>
          </cell>
          <cell r="I103">
            <v>0</v>
          </cell>
          <cell r="J103"/>
          <cell r="K103">
            <v>97.949640026285067</v>
          </cell>
        </row>
        <row r="104">
          <cell r="A104">
            <v>4.75</v>
          </cell>
          <cell r="B104">
            <v>97.447999999999993</v>
          </cell>
          <cell r="C104">
            <v>0.9931836013906743</v>
          </cell>
          <cell r="D104">
            <v>98.441183601390662</v>
          </cell>
          <cell r="E104">
            <v>0.87999999999999989</v>
          </cell>
          <cell r="F104">
            <v>0</v>
          </cell>
          <cell r="G104">
            <v>0</v>
          </cell>
          <cell r="H104">
            <v>97.561183601390667</v>
          </cell>
          <cell r="I104">
            <v>0</v>
          </cell>
          <cell r="J104"/>
          <cell r="K104">
            <v>97.561183601390667</v>
          </cell>
        </row>
        <row r="105">
          <cell r="A105">
            <v>4.625</v>
          </cell>
          <cell r="B105">
            <v>96.986000000000004</v>
          </cell>
          <cell r="C105">
            <v>0.99945483888891884</v>
          </cell>
          <cell r="D105">
            <v>97.985454838888927</v>
          </cell>
          <cell r="E105">
            <v>0.87999999999999989</v>
          </cell>
          <cell r="F105">
            <v>0</v>
          </cell>
          <cell r="G105">
            <v>0</v>
          </cell>
          <cell r="H105">
            <v>97.105454838888932</v>
          </cell>
          <cell r="I105">
            <v>0</v>
          </cell>
          <cell r="J105"/>
          <cell r="K105">
            <v>97.105454838888932</v>
          </cell>
        </row>
        <row r="106">
          <cell r="A106">
            <v>4.5</v>
          </cell>
          <cell r="B106">
            <v>96.777000000000001</v>
          </cell>
          <cell r="C106">
            <v>1.0064408622094436</v>
          </cell>
          <cell r="D106">
            <v>97.783440862209446</v>
          </cell>
          <cell r="E106">
            <v>0.87999999999999989</v>
          </cell>
          <cell r="F106">
            <v>0</v>
          </cell>
          <cell r="G106">
            <v>0</v>
          </cell>
          <cell r="H106">
            <v>96.90344086220945</v>
          </cell>
          <cell r="I106">
            <v>0</v>
          </cell>
          <cell r="J106"/>
          <cell r="K106">
            <v>96.90344086220945</v>
          </cell>
        </row>
        <row r="107">
          <cell r="A107">
            <v>4.375</v>
          </cell>
          <cell r="B107">
            <v>96.325000000000003</v>
          </cell>
          <cell r="C107">
            <v>1.0126944802008624</v>
          </cell>
          <cell r="D107">
            <v>97.337694480200867</v>
          </cell>
          <cell r="E107">
            <v>0.87999999999999989</v>
          </cell>
          <cell r="F107">
            <v>0</v>
          </cell>
          <cell r="G107">
            <v>0</v>
          </cell>
          <cell r="H107">
            <v>96.457694480200871</v>
          </cell>
          <cell r="I107">
            <v>0</v>
          </cell>
          <cell r="J107"/>
          <cell r="K107">
            <v>96.457694480200871</v>
          </cell>
        </row>
        <row r="108">
          <cell r="A108">
            <v>4.25</v>
          </cell>
          <cell r="B108">
            <v>95.872</v>
          </cell>
          <cell r="C108">
            <v>1.0182504869902909</v>
          </cell>
          <cell r="D108">
            <v>96.890250486990297</v>
          </cell>
          <cell r="E108">
            <v>0.87999999999999989</v>
          </cell>
          <cell r="F108">
            <v>0</v>
          </cell>
          <cell r="G108">
            <v>0</v>
          </cell>
          <cell r="H108">
            <v>96.010250486990302</v>
          </cell>
          <cell r="I108">
            <v>0</v>
          </cell>
          <cell r="J108"/>
          <cell r="K108">
            <v>96.010250486990302</v>
          </cell>
        </row>
        <row r="109">
          <cell r="A109">
            <v>4.125</v>
          </cell>
          <cell r="B109">
            <v>95.507000000000005</v>
          </cell>
          <cell r="C109">
            <v>1.0217722423438786</v>
          </cell>
          <cell r="D109">
            <v>96.528772242343877</v>
          </cell>
          <cell r="E109">
            <v>0.87999999999999989</v>
          </cell>
          <cell r="F109">
            <v>0</v>
          </cell>
          <cell r="G109">
            <v>0</v>
          </cell>
          <cell r="H109">
            <v>95.648772242343881</v>
          </cell>
          <cell r="I109">
            <v>0</v>
          </cell>
          <cell r="J109"/>
          <cell r="K109">
            <v>95.648772242343881</v>
          </cell>
        </row>
        <row r="110">
          <cell r="A110">
            <v>4</v>
          </cell>
          <cell r="B110">
            <v>96.27</v>
          </cell>
          <cell r="C110">
            <v>1.0265176804877132</v>
          </cell>
          <cell r="D110">
            <v>97.29651768048771</v>
          </cell>
          <cell r="E110">
            <v>0.87999999999999989</v>
          </cell>
          <cell r="F110">
            <v>0</v>
          </cell>
          <cell r="G110">
            <v>0</v>
          </cell>
          <cell r="H110">
            <v>96.416517680487715</v>
          </cell>
          <cell r="I110">
            <v>0</v>
          </cell>
          <cell r="J110"/>
          <cell r="K110">
            <v>96.416517680487715</v>
          </cell>
        </row>
        <row r="113">
          <cell r="A113">
            <v>7.125</v>
          </cell>
          <cell r="B113">
            <v>103.256</v>
          </cell>
          <cell r="C113">
            <v>0.47062189133641386</v>
          </cell>
          <cell r="D113">
            <v>103.72662189133641</v>
          </cell>
          <cell r="E113">
            <v>0.87999999999999989</v>
          </cell>
          <cell r="F113">
            <v>0</v>
          </cell>
          <cell r="G113">
            <v>0</v>
          </cell>
          <cell r="H113">
            <v>102.84662189133641</v>
          </cell>
          <cell r="I113">
            <v>0</v>
          </cell>
          <cell r="J113"/>
          <cell r="K113">
            <v>102.84662189133641</v>
          </cell>
        </row>
        <row r="114">
          <cell r="A114">
            <v>7</v>
          </cell>
          <cell r="B114">
            <v>103.577</v>
          </cell>
          <cell r="C114">
            <v>0.49203982005500169</v>
          </cell>
          <cell r="D114">
            <v>104.069039820055</v>
          </cell>
          <cell r="E114">
            <v>0.87999999999999989</v>
          </cell>
          <cell r="F114">
            <v>0</v>
          </cell>
          <cell r="G114">
            <v>0</v>
          </cell>
          <cell r="H114">
            <v>103.189039820055</v>
          </cell>
          <cell r="I114">
            <v>0</v>
          </cell>
          <cell r="J114"/>
          <cell r="K114">
            <v>103.189039820055</v>
          </cell>
        </row>
        <row r="115">
          <cell r="A115">
            <v>6.875</v>
          </cell>
          <cell r="B115">
            <v>103.336</v>
          </cell>
          <cell r="C115">
            <v>0.51534093630826339</v>
          </cell>
          <cell r="D115">
            <v>103.85134093630826</v>
          </cell>
          <cell r="E115">
            <v>0.87999999999999989</v>
          </cell>
          <cell r="F115">
            <v>0</v>
          </cell>
          <cell r="G115">
            <v>0</v>
          </cell>
          <cell r="H115">
            <v>102.97134093630827</v>
          </cell>
          <cell r="I115">
            <v>0</v>
          </cell>
          <cell r="J115"/>
          <cell r="K115">
            <v>102.97134093630827</v>
          </cell>
        </row>
        <row r="116">
          <cell r="A116">
            <v>6.75</v>
          </cell>
          <cell r="B116">
            <v>103.06699999999999</v>
          </cell>
          <cell r="C116">
            <v>0.54025908368989306</v>
          </cell>
          <cell r="D116">
            <v>103.60725908368988</v>
          </cell>
          <cell r="E116">
            <v>0.87999999999999989</v>
          </cell>
          <cell r="F116">
            <v>0</v>
          </cell>
          <cell r="G116">
            <v>0</v>
          </cell>
          <cell r="H116">
            <v>102.72725908368989</v>
          </cell>
          <cell r="I116">
            <v>0</v>
          </cell>
          <cell r="J116"/>
          <cell r="K116">
            <v>102.72725908368989</v>
          </cell>
        </row>
        <row r="117">
          <cell r="A117">
            <v>6.625</v>
          </cell>
          <cell r="B117">
            <v>102.824</v>
          </cell>
          <cell r="C117">
            <v>0.56610484962926122</v>
          </cell>
          <cell r="D117">
            <v>103.39010484962925</v>
          </cell>
          <cell r="E117">
            <v>0.87999999999999989</v>
          </cell>
          <cell r="F117">
            <v>0</v>
          </cell>
          <cell r="G117">
            <v>0</v>
          </cell>
          <cell r="H117">
            <v>102.51010484962926</v>
          </cell>
          <cell r="I117">
            <v>0</v>
          </cell>
          <cell r="J117"/>
          <cell r="K117">
            <v>102.51010484962926</v>
          </cell>
        </row>
        <row r="118">
          <cell r="A118">
            <v>6.5</v>
          </cell>
          <cell r="B118">
            <v>102.574</v>
          </cell>
          <cell r="C118">
            <v>0.5949705107690505</v>
          </cell>
          <cell r="D118">
            <v>103.16897051076904</v>
          </cell>
          <cell r="E118">
            <v>0.87999999999999989</v>
          </cell>
          <cell r="F118">
            <v>0</v>
          </cell>
          <cell r="G118">
            <v>0</v>
          </cell>
          <cell r="H118">
            <v>102.28897051076905</v>
          </cell>
          <cell r="I118">
            <v>0</v>
          </cell>
          <cell r="J118"/>
          <cell r="K118">
            <v>102.28897051076905</v>
          </cell>
        </row>
        <row r="119">
          <cell r="A119">
            <v>6.375</v>
          </cell>
          <cell r="B119">
            <v>102.303</v>
          </cell>
          <cell r="C119">
            <v>0.6285438397576335</v>
          </cell>
          <cell r="D119">
            <v>102.93154383975764</v>
          </cell>
          <cell r="E119">
            <v>0.87999999999999989</v>
          </cell>
          <cell r="F119">
            <v>0</v>
          </cell>
          <cell r="G119">
            <v>0</v>
          </cell>
          <cell r="H119">
            <v>102.05154383975764</v>
          </cell>
          <cell r="I119">
            <v>0</v>
          </cell>
          <cell r="J119"/>
          <cell r="K119">
            <v>102.05154383975764</v>
          </cell>
        </row>
        <row r="120">
          <cell r="A120">
            <v>6.25</v>
          </cell>
          <cell r="B120">
            <v>101.97799999999999</v>
          </cell>
          <cell r="C120">
            <v>0.66507419526604572</v>
          </cell>
          <cell r="D120">
            <v>102.64307419526604</v>
          </cell>
          <cell r="E120">
            <v>0.87999999999999989</v>
          </cell>
          <cell r="F120">
            <v>0</v>
          </cell>
          <cell r="G120">
            <v>0</v>
          </cell>
          <cell r="H120">
            <v>101.76307419526604</v>
          </cell>
          <cell r="I120">
            <v>0</v>
          </cell>
          <cell r="J120"/>
          <cell r="K120">
            <v>101.76307419526604</v>
          </cell>
        </row>
        <row r="121">
          <cell r="A121">
            <v>6.125</v>
          </cell>
          <cell r="B121">
            <v>101.625</v>
          </cell>
          <cell r="C121">
            <v>0.70193159693787899</v>
          </cell>
          <cell r="D121">
            <v>102.32693159693788</v>
          </cell>
          <cell r="E121">
            <v>0.87999999999999989</v>
          </cell>
          <cell r="F121">
            <v>0</v>
          </cell>
          <cell r="G121">
            <v>0</v>
          </cell>
          <cell r="H121">
            <v>101.44693159693789</v>
          </cell>
          <cell r="I121">
            <v>0</v>
          </cell>
          <cell r="J121"/>
          <cell r="K121">
            <v>101.44693159693789</v>
          </cell>
        </row>
        <row r="122">
          <cell r="A122">
            <v>6</v>
          </cell>
          <cell r="B122">
            <v>101.328</v>
          </cell>
          <cell r="C122">
            <v>0.7345453709174955</v>
          </cell>
          <cell r="D122">
            <v>102.0625453709175</v>
          </cell>
          <cell r="E122">
            <v>0.87999999999999989</v>
          </cell>
          <cell r="F122">
            <v>0</v>
          </cell>
          <cell r="G122">
            <v>0</v>
          </cell>
          <cell r="H122">
            <v>101.18254537091751</v>
          </cell>
          <cell r="I122">
            <v>0</v>
          </cell>
          <cell r="J122"/>
          <cell r="K122">
            <v>101.18254537091751</v>
          </cell>
        </row>
        <row r="123">
          <cell r="A123">
            <v>5.875</v>
          </cell>
          <cell r="B123">
            <v>101.032</v>
          </cell>
          <cell r="C123">
            <v>0.76241864753888955</v>
          </cell>
          <cell r="D123">
            <v>101.79441864753889</v>
          </cell>
          <cell r="E123">
            <v>0.87999999999999989</v>
          </cell>
          <cell r="F123">
            <v>0</v>
          </cell>
          <cell r="G123">
            <v>0</v>
          </cell>
          <cell r="H123">
            <v>100.91441864753889</v>
          </cell>
          <cell r="I123">
            <v>0</v>
          </cell>
          <cell r="J123"/>
          <cell r="K123">
            <v>100.91441864753889</v>
          </cell>
        </row>
        <row r="124">
          <cell r="A124">
            <v>5.75</v>
          </cell>
          <cell r="B124">
            <v>100.60899999999999</v>
          </cell>
          <cell r="C124">
            <v>0.7840574002214834</v>
          </cell>
          <cell r="D124">
            <v>101.39305740022148</v>
          </cell>
          <cell r="E124">
            <v>0.87999999999999989</v>
          </cell>
          <cell r="F124">
            <v>0</v>
          </cell>
          <cell r="G124">
            <v>0</v>
          </cell>
          <cell r="H124">
            <v>100.51305740022148</v>
          </cell>
          <cell r="I124">
            <v>0</v>
          </cell>
          <cell r="J124"/>
          <cell r="K124">
            <v>100.51305740022148</v>
          </cell>
        </row>
        <row r="125">
          <cell r="A125">
            <v>5.625</v>
          </cell>
          <cell r="B125">
            <v>100.26900000000001</v>
          </cell>
          <cell r="C125">
            <v>0.80157641302291993</v>
          </cell>
          <cell r="D125">
            <v>101.07057641302292</v>
          </cell>
          <cell r="E125">
            <v>0.87999999999999989</v>
          </cell>
          <cell r="F125">
            <v>0</v>
          </cell>
          <cell r="G125">
            <v>0</v>
          </cell>
          <cell r="H125">
            <v>100.19057641302292</v>
          </cell>
          <cell r="I125">
            <v>0</v>
          </cell>
          <cell r="J125"/>
          <cell r="K125">
            <v>100.19057641302292</v>
          </cell>
        </row>
        <row r="126">
          <cell r="A126">
            <v>5.5</v>
          </cell>
          <cell r="B126">
            <v>100.536</v>
          </cell>
          <cell r="C126">
            <v>0.81675711880623858</v>
          </cell>
          <cell r="D126">
            <v>101.35275711880624</v>
          </cell>
          <cell r="E126">
            <v>0.87999999999999989</v>
          </cell>
          <cell r="F126">
            <v>0</v>
          </cell>
          <cell r="G126">
            <v>0</v>
          </cell>
          <cell r="H126">
            <v>100.47275711880624</v>
          </cell>
          <cell r="I126">
            <v>0</v>
          </cell>
          <cell r="J126"/>
          <cell r="K126">
            <v>100.47275711880624</v>
          </cell>
        </row>
        <row r="127">
          <cell r="A127">
            <v>5.375</v>
          </cell>
          <cell r="B127">
            <v>100.175</v>
          </cell>
          <cell r="C127">
            <v>0.83182030861649348</v>
          </cell>
          <cell r="D127">
            <v>101.0068203086165</v>
          </cell>
          <cell r="E127">
            <v>0.87999999999999989</v>
          </cell>
          <cell r="F127">
            <v>0</v>
          </cell>
          <cell r="G127">
            <v>0</v>
          </cell>
          <cell r="H127">
            <v>100.1268203086165</v>
          </cell>
          <cell r="I127">
            <v>0</v>
          </cell>
          <cell r="J127"/>
          <cell r="K127">
            <v>100.1268203086165</v>
          </cell>
        </row>
        <row r="128">
          <cell r="A128">
            <v>5.25</v>
          </cell>
          <cell r="B128">
            <v>99.822000000000003</v>
          </cell>
          <cell r="C128">
            <v>0.84620950695123665</v>
          </cell>
          <cell r="D128">
            <v>100.66820950695124</v>
          </cell>
          <cell r="E128">
            <v>0.87999999999999989</v>
          </cell>
          <cell r="F128">
            <v>0</v>
          </cell>
          <cell r="G128">
            <v>0</v>
          </cell>
          <cell r="H128">
            <v>99.788209506951247</v>
          </cell>
          <cell r="I128">
            <v>0</v>
          </cell>
          <cell r="J128"/>
          <cell r="K128">
            <v>99.788209506951247</v>
          </cell>
        </row>
        <row r="129">
          <cell r="A129">
            <v>5.125</v>
          </cell>
          <cell r="B129">
            <v>99.495999999999995</v>
          </cell>
          <cell r="C129">
            <v>0.85597412571712739</v>
          </cell>
          <cell r="D129">
            <v>100.35197412571712</v>
          </cell>
          <cell r="E129">
            <v>0.87999999999999989</v>
          </cell>
          <cell r="F129">
            <v>0</v>
          </cell>
          <cell r="G129">
            <v>0</v>
          </cell>
          <cell r="H129">
            <v>99.471974125717125</v>
          </cell>
          <cell r="I129">
            <v>0</v>
          </cell>
          <cell r="J129"/>
          <cell r="K129">
            <v>99.471974125717125</v>
          </cell>
        </row>
        <row r="130">
          <cell r="A130">
            <v>5</v>
          </cell>
          <cell r="B130">
            <v>99.328000000000003</v>
          </cell>
          <cell r="C130">
            <v>0.86578115344577855</v>
          </cell>
          <cell r="D130">
            <v>100.19378115344578</v>
          </cell>
          <cell r="E130">
            <v>0.87999999999999989</v>
          </cell>
          <cell r="F130">
            <v>0</v>
          </cell>
          <cell r="G130">
            <v>0</v>
          </cell>
          <cell r="H130">
            <v>99.313781153445788</v>
          </cell>
          <cell r="I130">
            <v>0</v>
          </cell>
          <cell r="J130"/>
          <cell r="K130">
            <v>99.313781153445788</v>
          </cell>
        </row>
        <row r="131">
          <cell r="A131">
            <v>4.875</v>
          </cell>
          <cell r="B131">
            <v>98.953000000000003</v>
          </cell>
          <cell r="C131">
            <v>0.87464002628506887</v>
          </cell>
          <cell r="D131">
            <v>99.827640026285067</v>
          </cell>
          <cell r="E131">
            <v>0.87999999999999989</v>
          </cell>
          <cell r="F131">
            <v>0</v>
          </cell>
          <cell r="G131">
            <v>0</v>
          </cell>
          <cell r="H131">
            <v>98.947640026285072</v>
          </cell>
          <cell r="I131">
            <v>0</v>
          </cell>
          <cell r="J131"/>
          <cell r="K131">
            <v>98.947640026285072</v>
          </cell>
        </row>
        <row r="132">
          <cell r="A132">
            <v>4.75</v>
          </cell>
          <cell r="B132">
            <v>98.557000000000002</v>
          </cell>
          <cell r="C132">
            <v>0.88318360139067431</v>
          </cell>
          <cell r="D132">
            <v>99.440183601390672</v>
          </cell>
          <cell r="E132">
            <v>0.87999999999999989</v>
          </cell>
          <cell r="F132">
            <v>0</v>
          </cell>
          <cell r="G132">
            <v>0</v>
          </cell>
          <cell r="H132">
            <v>98.560183601390676</v>
          </cell>
          <cell r="I132">
            <v>0</v>
          </cell>
          <cell r="J132"/>
          <cell r="K132">
            <v>98.560183601390676</v>
          </cell>
        </row>
        <row r="133">
          <cell r="A133">
            <v>4.625</v>
          </cell>
          <cell r="B133">
            <v>98.113</v>
          </cell>
          <cell r="C133">
            <v>0.88945483888891885</v>
          </cell>
          <cell r="D133">
            <v>99.002454838888923</v>
          </cell>
          <cell r="E133">
            <v>0.87999999999999989</v>
          </cell>
          <cell r="F133">
            <v>0</v>
          </cell>
          <cell r="G133">
            <v>0</v>
          </cell>
          <cell r="H133">
            <v>98.122454838888927</v>
          </cell>
          <cell r="I133">
            <v>0</v>
          </cell>
          <cell r="J133"/>
          <cell r="K133">
            <v>98.122454838888927</v>
          </cell>
        </row>
        <row r="134">
          <cell r="A134">
            <v>4.5</v>
          </cell>
          <cell r="B134">
            <v>97.251000000000005</v>
          </cell>
          <cell r="C134">
            <v>0.89644086220944363</v>
          </cell>
          <cell r="D134">
            <v>98.14744086220945</v>
          </cell>
          <cell r="E134">
            <v>0.87999999999999989</v>
          </cell>
          <cell r="F134">
            <v>0</v>
          </cell>
          <cell r="G134">
            <v>0</v>
          </cell>
          <cell r="H134">
            <v>97.267440862209455</v>
          </cell>
          <cell r="I134">
            <v>0</v>
          </cell>
          <cell r="J134"/>
          <cell r="K134">
            <v>97.267440862209455</v>
          </cell>
        </row>
        <row r="135">
          <cell r="A135">
            <v>4.375</v>
          </cell>
          <cell r="B135">
            <v>96.703000000000003</v>
          </cell>
          <cell r="C135">
            <v>0.9026944802008624</v>
          </cell>
          <cell r="D135">
            <v>97.605694480200867</v>
          </cell>
          <cell r="E135">
            <v>0.87999999999999989</v>
          </cell>
          <cell r="F135">
            <v>0</v>
          </cell>
          <cell r="G135">
            <v>0</v>
          </cell>
          <cell r="H135">
            <v>96.725694480200872</v>
          </cell>
          <cell r="I135">
            <v>0</v>
          </cell>
          <cell r="J135"/>
          <cell r="K135">
            <v>96.725694480200872</v>
          </cell>
        </row>
        <row r="136">
          <cell r="A136">
            <v>4.25</v>
          </cell>
          <cell r="B136">
            <v>96.153999999999996</v>
          </cell>
          <cell r="C136">
            <v>0.90825048699029087</v>
          </cell>
          <cell r="D136">
            <v>97.062250486990294</v>
          </cell>
          <cell r="E136">
            <v>0.87999999999999989</v>
          </cell>
          <cell r="F136">
            <v>0</v>
          </cell>
          <cell r="G136">
            <v>0</v>
          </cell>
          <cell r="H136">
            <v>96.182250486990299</v>
          </cell>
          <cell r="I136">
            <v>0</v>
          </cell>
          <cell r="J136"/>
          <cell r="K136">
            <v>96.182250486990299</v>
          </cell>
        </row>
        <row r="137">
          <cell r="A137">
            <v>4.125</v>
          </cell>
          <cell r="B137">
            <v>95.606999999999999</v>
          </cell>
          <cell r="C137">
            <v>0.91177224234387866</v>
          </cell>
          <cell r="D137">
            <v>96.518772242343871</v>
          </cell>
          <cell r="E137">
            <v>0.87999999999999989</v>
          </cell>
          <cell r="F137">
            <v>0</v>
          </cell>
          <cell r="G137">
            <v>0</v>
          </cell>
          <cell r="H137">
            <v>95.638772242343876</v>
          </cell>
          <cell r="I137">
            <v>0</v>
          </cell>
          <cell r="J137"/>
          <cell r="K137">
            <v>95.638772242343876</v>
          </cell>
        </row>
        <row r="140">
          <cell r="A140">
            <v>7.75</v>
          </cell>
          <cell r="B140">
            <v>104.20310000000001</v>
          </cell>
          <cell r="C140">
            <v>0.60012653450037634</v>
          </cell>
          <cell r="D140">
            <v>104.80322653450038</v>
          </cell>
          <cell r="E140">
            <v>0.435</v>
          </cell>
          <cell r="F140">
            <v>0.375</v>
          </cell>
          <cell r="G140">
            <v>0</v>
          </cell>
          <cell r="H140">
            <v>103.99322653450038</v>
          </cell>
          <cell r="I140">
            <v>0</v>
          </cell>
          <cell r="J140"/>
          <cell r="K140">
            <v>103.99322653450038</v>
          </cell>
        </row>
        <row r="141">
          <cell r="A141">
            <v>7.625</v>
          </cell>
          <cell r="B141">
            <v>104.9444</v>
          </cell>
          <cell r="C141">
            <v>0.65472031167613554</v>
          </cell>
          <cell r="D141">
            <v>105.59912031167613</v>
          </cell>
          <cell r="E141">
            <v>0.435</v>
          </cell>
          <cell r="F141">
            <v>0.375</v>
          </cell>
          <cell r="G141">
            <v>0</v>
          </cell>
          <cell r="H141">
            <v>104.78912031167613</v>
          </cell>
          <cell r="I141">
            <v>0</v>
          </cell>
          <cell r="J141"/>
          <cell r="K141">
            <v>104.78912031167613</v>
          </cell>
        </row>
        <row r="142">
          <cell r="A142">
            <v>7.5</v>
          </cell>
          <cell r="B142">
            <v>104.6156</v>
          </cell>
          <cell r="C142">
            <v>0.71320601804099537</v>
          </cell>
          <cell r="D142">
            <v>105.32880601804099</v>
          </cell>
          <cell r="E142">
            <v>0.435</v>
          </cell>
          <cell r="F142">
            <v>0.375</v>
          </cell>
          <cell r="G142">
            <v>0</v>
          </cell>
          <cell r="H142">
            <v>104.51880601804099</v>
          </cell>
          <cell r="I142">
            <v>0</v>
          </cell>
          <cell r="J142"/>
          <cell r="K142">
            <v>104.51880601804099</v>
          </cell>
        </row>
        <row r="143">
          <cell r="A143">
            <v>7.375</v>
          </cell>
          <cell r="B143">
            <v>104.26560000000001</v>
          </cell>
          <cell r="C143">
            <v>0.7747793530222602</v>
          </cell>
          <cell r="D143">
            <v>105.04037935302226</v>
          </cell>
          <cell r="E143">
            <v>0.435</v>
          </cell>
          <cell r="F143">
            <v>0.375</v>
          </cell>
          <cell r="G143">
            <v>0</v>
          </cell>
          <cell r="H143">
            <v>104.23037935302226</v>
          </cell>
          <cell r="I143">
            <v>0</v>
          </cell>
          <cell r="J143"/>
          <cell r="K143">
            <v>104.23037935302226</v>
          </cell>
        </row>
        <row r="144">
          <cell r="A144">
            <v>7.25</v>
          </cell>
          <cell r="B144">
            <v>103.89060000000001</v>
          </cell>
          <cell r="C144">
            <v>0.82822321807392485</v>
          </cell>
          <cell r="D144">
            <v>104.71882321807394</v>
          </cell>
          <cell r="E144">
            <v>0.435</v>
          </cell>
          <cell r="F144">
            <v>0.375</v>
          </cell>
          <cell r="G144">
            <v>0</v>
          </cell>
          <cell r="H144">
            <v>103.90882321807393</v>
          </cell>
          <cell r="I144">
            <v>0</v>
          </cell>
          <cell r="J144"/>
          <cell r="K144">
            <v>103.90882321807393</v>
          </cell>
        </row>
        <row r="145">
          <cell r="A145">
            <v>7.125</v>
          </cell>
          <cell r="B145">
            <v>103.4881</v>
          </cell>
          <cell r="C145">
            <v>0.87863429865376697</v>
          </cell>
          <cell r="D145">
            <v>104.36673429865377</v>
          </cell>
          <cell r="E145">
            <v>0.435</v>
          </cell>
          <cell r="F145">
            <v>0.375</v>
          </cell>
          <cell r="G145">
            <v>0</v>
          </cell>
          <cell r="H145">
            <v>103.55673429865377</v>
          </cell>
          <cell r="I145">
            <v>0</v>
          </cell>
          <cell r="J145"/>
          <cell r="K145">
            <v>103.55673429865377</v>
          </cell>
        </row>
        <row r="146">
          <cell r="A146">
            <v>7</v>
          </cell>
          <cell r="B146">
            <v>103.0581</v>
          </cell>
          <cell r="C146">
            <v>0.92941882148098509</v>
          </cell>
          <cell r="D146">
            <v>103.98751882148098</v>
          </cell>
          <cell r="E146">
            <v>0.435</v>
          </cell>
          <cell r="F146">
            <v>0.375</v>
          </cell>
          <cell r="G146">
            <v>0</v>
          </cell>
          <cell r="H146">
            <v>103.17751882148097</v>
          </cell>
          <cell r="I146">
            <v>0</v>
          </cell>
          <cell r="J146"/>
          <cell r="K146">
            <v>103.17751882148097</v>
          </cell>
        </row>
        <row r="147">
          <cell r="A147">
            <v>6.875</v>
          </cell>
          <cell r="B147">
            <v>102.5898</v>
          </cell>
          <cell r="C147">
            <v>0.97963707029997038</v>
          </cell>
          <cell r="D147">
            <v>103.56943707029997</v>
          </cell>
          <cell r="E147">
            <v>0.435</v>
          </cell>
          <cell r="F147">
            <v>0.375</v>
          </cell>
          <cell r="G147">
            <v>0</v>
          </cell>
          <cell r="H147">
            <v>102.75943707029997</v>
          </cell>
          <cell r="I147">
            <v>0</v>
          </cell>
          <cell r="J147"/>
          <cell r="K147">
            <v>102.75943707029997</v>
          </cell>
        </row>
        <row r="148">
          <cell r="A148">
            <v>6.75</v>
          </cell>
          <cell r="B148">
            <v>102.1172</v>
          </cell>
          <cell r="C148">
            <v>1.0280353823492594</v>
          </cell>
          <cell r="D148">
            <v>103.14523538234926</v>
          </cell>
          <cell r="E148">
            <v>0.435</v>
          </cell>
          <cell r="F148">
            <v>0.375</v>
          </cell>
          <cell r="G148">
            <v>0</v>
          </cell>
          <cell r="H148">
            <v>102.33523538234925</v>
          </cell>
          <cell r="I148">
            <v>0</v>
          </cell>
          <cell r="J148"/>
          <cell r="K148">
            <v>102.33523538234925</v>
          </cell>
        </row>
        <row r="149">
          <cell r="A149">
            <v>6.625</v>
          </cell>
          <cell r="B149">
            <v>101.6722</v>
          </cell>
          <cell r="C149">
            <v>1.0731419487640863</v>
          </cell>
          <cell r="D149">
            <v>102.74534194876409</v>
          </cell>
          <cell r="E149">
            <v>0.435</v>
          </cell>
          <cell r="F149">
            <v>0.375</v>
          </cell>
          <cell r="G149">
            <v>0</v>
          </cell>
          <cell r="H149">
            <v>101.93534194876409</v>
          </cell>
          <cell r="I149">
            <v>0</v>
          </cell>
          <cell r="J149"/>
          <cell r="K149">
            <v>101.93534194876409</v>
          </cell>
        </row>
        <row r="150">
          <cell r="A150">
            <v>6.5</v>
          </cell>
          <cell r="B150">
            <v>101.2359</v>
          </cell>
          <cell r="C150">
            <v>1.1135579725934197</v>
          </cell>
          <cell r="D150">
            <v>102.34945797259343</v>
          </cell>
          <cell r="E150">
            <v>0.435</v>
          </cell>
          <cell r="F150">
            <v>0.375</v>
          </cell>
          <cell r="G150">
            <v>0</v>
          </cell>
          <cell r="H150">
            <v>101.53945797259342</v>
          </cell>
          <cell r="I150">
            <v>0</v>
          </cell>
          <cell r="J150"/>
          <cell r="K150">
            <v>101.53945797259342</v>
          </cell>
        </row>
        <row r="151">
          <cell r="A151">
            <v>6.375</v>
          </cell>
          <cell r="B151">
            <v>100.7534</v>
          </cell>
          <cell r="C151">
            <v>1.1475731089140164</v>
          </cell>
          <cell r="D151">
            <v>101.90097310891402</v>
          </cell>
          <cell r="E151">
            <v>0.435</v>
          </cell>
          <cell r="F151">
            <v>0.375</v>
          </cell>
          <cell r="G151">
            <v>0</v>
          </cell>
          <cell r="H151">
            <v>101.09097310891401</v>
          </cell>
          <cell r="I151">
            <v>0</v>
          </cell>
          <cell r="J151"/>
          <cell r="K151">
            <v>101.09097310891401</v>
          </cell>
        </row>
        <row r="152">
          <cell r="A152">
            <v>6.25</v>
          </cell>
          <cell r="B152">
            <v>100.2359</v>
          </cell>
          <cell r="C152">
            <v>1.1739341544104718</v>
          </cell>
          <cell r="D152">
            <v>101.40983415441048</v>
          </cell>
          <cell r="E152">
            <v>0.435</v>
          </cell>
          <cell r="F152">
            <v>0.375</v>
          </cell>
          <cell r="G152">
            <v>0</v>
          </cell>
          <cell r="H152">
            <v>100.59983415441047</v>
          </cell>
          <cell r="I152">
            <v>0</v>
          </cell>
          <cell r="J152"/>
          <cell r="K152">
            <v>100.59983415441047</v>
          </cell>
        </row>
        <row r="153">
          <cell r="A153">
            <v>6.125</v>
          </cell>
          <cell r="B153">
            <v>99.679699999999997</v>
          </cell>
          <cell r="C153">
            <v>1.1914619382646172</v>
          </cell>
          <cell r="D153">
            <v>100.87116193826462</v>
          </cell>
          <cell r="E153">
            <v>0.435</v>
          </cell>
          <cell r="F153">
            <v>0.27500000000000002</v>
          </cell>
          <cell r="G153">
            <v>0</v>
          </cell>
          <cell r="H153">
            <v>100.16116193826461</v>
          </cell>
          <cell r="I153">
            <v>0</v>
          </cell>
          <cell r="J153"/>
          <cell r="K153">
            <v>100.16116193826461</v>
          </cell>
        </row>
        <row r="154">
          <cell r="A154">
            <v>6</v>
          </cell>
          <cell r="B154">
            <v>99.078400000000002</v>
          </cell>
          <cell r="C154">
            <v>1.2261032992851351</v>
          </cell>
          <cell r="D154">
            <v>100.30450329928513</v>
          </cell>
          <cell r="E154">
            <v>0.435</v>
          </cell>
          <cell r="F154">
            <v>0.375</v>
          </cell>
          <cell r="G154">
            <v>0</v>
          </cell>
          <cell r="H154">
            <v>99.494503299285128</v>
          </cell>
          <cell r="I154">
            <v>0</v>
          </cell>
          <cell r="J154"/>
          <cell r="K154">
            <v>99.494503299285128</v>
          </cell>
        </row>
        <row r="155">
          <cell r="A155">
            <v>5.875</v>
          </cell>
          <cell r="B155">
            <v>98.458399999999997</v>
          </cell>
          <cell r="C155">
            <v>1.2582542829647416</v>
          </cell>
          <cell r="D155">
            <v>99.71665428296474</v>
          </cell>
          <cell r="E155">
            <v>0.435</v>
          </cell>
          <cell r="F155">
            <v>0.375</v>
          </cell>
          <cell r="G155">
            <v>0</v>
          </cell>
          <cell r="H155">
            <v>98.906654282964737</v>
          </cell>
          <cell r="I155">
            <v>0</v>
          </cell>
          <cell r="J155"/>
          <cell r="K155">
            <v>98.906654282964737</v>
          </cell>
        </row>
        <row r="156">
          <cell r="A156">
            <v>5.75</v>
          </cell>
          <cell r="B156">
            <v>97.815899999999999</v>
          </cell>
          <cell r="C156">
            <v>1.2874604346057832</v>
          </cell>
          <cell r="D156">
            <v>99.103360434605776</v>
          </cell>
          <cell r="E156">
            <v>0.435</v>
          </cell>
          <cell r="F156">
            <v>0.375</v>
          </cell>
          <cell r="G156">
            <v>0</v>
          </cell>
          <cell r="H156">
            <v>98.293360434605773</v>
          </cell>
          <cell r="I156">
            <v>0</v>
          </cell>
          <cell r="J156"/>
          <cell r="K156">
            <v>98.293360434605773</v>
          </cell>
        </row>
        <row r="157">
          <cell r="A157">
            <v>5.625</v>
          </cell>
          <cell r="B157">
            <v>97.190600000000003</v>
          </cell>
          <cell r="C157">
            <v>1.3103523159702306</v>
          </cell>
          <cell r="D157">
            <v>98.500952315970238</v>
          </cell>
          <cell r="E157">
            <v>0.435</v>
          </cell>
          <cell r="F157">
            <v>0.375</v>
          </cell>
          <cell r="G157">
            <v>0</v>
          </cell>
          <cell r="H157">
            <v>97.690952315970236</v>
          </cell>
          <cell r="I157">
            <v>0</v>
          </cell>
          <cell r="J157"/>
          <cell r="K157">
            <v>97.690952315970236</v>
          </cell>
        </row>
        <row r="158">
          <cell r="A158">
            <v>5.5</v>
          </cell>
          <cell r="B158">
            <v>96.546899999999994</v>
          </cell>
          <cell r="C158">
            <v>1.332099769761613</v>
          </cell>
          <cell r="D158">
            <v>97.878999769761606</v>
          </cell>
          <cell r="E158">
            <v>0.435</v>
          </cell>
          <cell r="F158">
            <v>0.375</v>
          </cell>
          <cell r="G158">
            <v>0</v>
          </cell>
          <cell r="H158">
            <v>97.068999769761604</v>
          </cell>
          <cell r="I158">
            <v>0</v>
          </cell>
          <cell r="J158"/>
          <cell r="K158">
            <v>97.068999769761604</v>
          </cell>
        </row>
        <row r="159">
          <cell r="A159">
            <v>5.375</v>
          </cell>
          <cell r="B159">
            <v>95.881900000000002</v>
          </cell>
          <cell r="C159">
            <v>1.349396508770641</v>
          </cell>
          <cell r="D159">
            <v>97.23129650877064</v>
          </cell>
          <cell r="E159">
            <v>0.435</v>
          </cell>
          <cell r="F159">
            <v>0.375</v>
          </cell>
          <cell r="G159">
            <v>0</v>
          </cell>
          <cell r="H159">
            <v>96.421296508770638</v>
          </cell>
          <cell r="I159">
            <v>0</v>
          </cell>
          <cell r="J159"/>
          <cell r="K159">
            <v>96.421296508770638</v>
          </cell>
        </row>
        <row r="160">
          <cell r="A160">
            <v>5.25</v>
          </cell>
          <cell r="B160">
            <v>95.189400000000006</v>
          </cell>
          <cell r="C160">
            <v>1.3619320322486328</v>
          </cell>
          <cell r="D160">
            <v>96.551332032248638</v>
          </cell>
          <cell r="E160">
            <v>0.435</v>
          </cell>
          <cell r="F160">
            <v>0.375</v>
          </cell>
          <cell r="G160">
            <v>0</v>
          </cell>
          <cell r="H160">
            <v>95.741332032248636</v>
          </cell>
          <cell r="I160">
            <v>0</v>
          </cell>
          <cell r="J160"/>
          <cell r="K160">
            <v>95.741332032248636</v>
          </cell>
        </row>
        <row r="161">
          <cell r="A161">
            <v>5.125</v>
          </cell>
          <cell r="B161">
            <v>94.657200000000003</v>
          </cell>
          <cell r="C161">
            <v>1.3719680144753188</v>
          </cell>
          <cell r="D161">
            <v>96.029168014475317</v>
          </cell>
          <cell r="E161">
            <v>0.435</v>
          </cell>
          <cell r="F161">
            <v>0.375</v>
          </cell>
          <cell r="G161">
            <v>0</v>
          </cell>
          <cell r="H161">
            <v>95.219168014475315</v>
          </cell>
          <cell r="I161">
            <v>0</v>
          </cell>
          <cell r="J161"/>
          <cell r="K161">
            <v>95.219168014475315</v>
          </cell>
        </row>
        <row r="162">
          <cell r="A162">
            <v>5</v>
          </cell>
          <cell r="B162">
            <v>94.0184</v>
          </cell>
          <cell r="C162">
            <v>1.3849446652924806</v>
          </cell>
          <cell r="D162">
            <v>95.403344665292479</v>
          </cell>
          <cell r="E162">
            <v>0.435</v>
          </cell>
          <cell r="F162">
            <v>0.375</v>
          </cell>
          <cell r="G162">
            <v>0</v>
          </cell>
          <cell r="H162">
            <v>94.593344665292477</v>
          </cell>
          <cell r="I162">
            <v>0</v>
          </cell>
          <cell r="J162"/>
          <cell r="K162">
            <v>94.593344665292477</v>
          </cell>
        </row>
        <row r="163">
          <cell r="A163">
            <v>4.875</v>
          </cell>
          <cell r="B163">
            <v>93.354699999999994</v>
          </cell>
          <cell r="C163">
            <v>1.3980988298836645</v>
          </cell>
          <cell r="D163">
            <v>94.752798829883659</v>
          </cell>
          <cell r="E163">
            <v>0.435</v>
          </cell>
          <cell r="F163">
            <v>0.375</v>
          </cell>
          <cell r="G163">
            <v>0</v>
          </cell>
          <cell r="H163">
            <v>93.942798829883657</v>
          </cell>
          <cell r="I163">
            <v>0</v>
          </cell>
          <cell r="J163"/>
          <cell r="K163">
            <v>93.942798829883657</v>
          </cell>
        </row>
        <row r="164">
          <cell r="A164">
            <v>4.75</v>
          </cell>
          <cell r="B164">
            <v>92.673400000000001</v>
          </cell>
          <cell r="C164">
            <v>1.4114225825536417</v>
          </cell>
          <cell r="D164">
            <v>94.084822582553642</v>
          </cell>
          <cell r="E164">
            <v>0.435</v>
          </cell>
          <cell r="F164">
            <v>0.375</v>
          </cell>
          <cell r="G164">
            <v>0</v>
          </cell>
          <cell r="H164">
            <v>93.274822582553639</v>
          </cell>
          <cell r="I164">
            <v>0</v>
          </cell>
          <cell r="J164"/>
          <cell r="K164">
            <v>93.274822582553639</v>
          </cell>
        </row>
        <row r="167">
          <cell r="A167">
            <v>7.75</v>
          </cell>
          <cell r="B167">
            <v>101.471</v>
          </cell>
          <cell r="C167">
            <v>0.6236258818925321</v>
          </cell>
          <cell r="D167">
            <v>102.09462588189254</v>
          </cell>
          <cell r="E167">
            <v>0.36</v>
          </cell>
          <cell r="F167">
            <v>-0.59708333333332952</v>
          </cell>
          <cell r="G167">
            <v>0</v>
          </cell>
          <cell r="H167">
            <v>102.33170921522587</v>
          </cell>
          <cell r="I167">
            <v>0</v>
          </cell>
          <cell r="J167"/>
          <cell r="K167">
            <v>102.33170921522587</v>
          </cell>
        </row>
        <row r="168">
          <cell r="A168">
            <v>7.625</v>
          </cell>
          <cell r="B168">
            <v>102.154</v>
          </cell>
          <cell r="C168">
            <v>0.67488455781423251</v>
          </cell>
          <cell r="D168">
            <v>102.82888455781423</v>
          </cell>
          <cell r="E168">
            <v>0.36</v>
          </cell>
          <cell r="F168">
            <v>-0.30499999999999883</v>
          </cell>
          <cell r="G168">
            <v>0</v>
          </cell>
          <cell r="H168">
            <v>102.77388455781423</v>
          </cell>
          <cell r="I168">
            <v>0</v>
          </cell>
          <cell r="J168"/>
          <cell r="K168">
            <v>102.77388455781423</v>
          </cell>
        </row>
        <row r="169">
          <cell r="A169">
            <v>7.5</v>
          </cell>
          <cell r="B169">
            <v>101.965</v>
          </cell>
          <cell r="C169">
            <v>0.72379037117104539</v>
          </cell>
          <cell r="D169">
            <v>102.68879037117105</v>
          </cell>
          <cell r="E169">
            <v>0.36</v>
          </cell>
          <cell r="F169">
            <v>-0.27249999999999763</v>
          </cell>
          <cell r="G169">
            <v>0</v>
          </cell>
          <cell r="H169">
            <v>102.60129037117105</v>
          </cell>
          <cell r="I169">
            <v>0</v>
          </cell>
          <cell r="J169"/>
          <cell r="K169">
            <v>102.60129037117105</v>
          </cell>
        </row>
        <row r="170">
          <cell r="A170">
            <v>7.375</v>
          </cell>
          <cell r="B170">
            <v>101.503</v>
          </cell>
          <cell r="C170">
            <v>0.77368308706149624</v>
          </cell>
          <cell r="D170">
            <v>102.2766830870615</v>
          </cell>
          <cell r="E170">
            <v>0.36</v>
          </cell>
          <cell r="F170">
            <v>-0.32708333333333106</v>
          </cell>
          <cell r="G170">
            <v>0</v>
          </cell>
          <cell r="H170">
            <v>102.24376642039483</v>
          </cell>
          <cell r="I170">
            <v>0</v>
          </cell>
          <cell r="J170"/>
          <cell r="K170">
            <v>102.24376642039483</v>
          </cell>
        </row>
        <row r="171">
          <cell r="A171">
            <v>7.25</v>
          </cell>
          <cell r="B171">
            <v>100.98699999999999</v>
          </cell>
          <cell r="C171">
            <v>0.82360853900415887</v>
          </cell>
          <cell r="D171">
            <v>101.81060853900415</v>
          </cell>
          <cell r="E171">
            <v>0.36</v>
          </cell>
          <cell r="F171">
            <v>-0.32041666666666802</v>
          </cell>
          <cell r="G171">
            <v>0</v>
          </cell>
          <cell r="H171">
            <v>101.77102520567082</v>
          </cell>
          <cell r="I171">
            <v>0</v>
          </cell>
          <cell r="J171"/>
          <cell r="K171">
            <v>101.77102520567082</v>
          </cell>
        </row>
        <row r="172">
          <cell r="A172">
            <v>7.125</v>
          </cell>
          <cell r="B172">
            <v>101.511</v>
          </cell>
          <cell r="C172">
            <v>0.87236164847436104</v>
          </cell>
          <cell r="D172">
            <v>102.38336164847436</v>
          </cell>
          <cell r="E172">
            <v>0.36</v>
          </cell>
          <cell r="F172">
            <v>7.9166666666639074E-3</v>
          </cell>
          <cell r="G172">
            <v>0</v>
          </cell>
          <cell r="H172">
            <v>102.0154449818077</v>
          </cell>
          <cell r="I172">
            <v>0</v>
          </cell>
          <cell r="J172"/>
          <cell r="K172">
            <v>102.0154449818077</v>
          </cell>
        </row>
        <row r="173">
          <cell r="A173">
            <v>7</v>
          </cell>
          <cell r="B173">
            <v>101.166</v>
          </cell>
          <cell r="C173">
            <v>0.91849551950415798</v>
          </cell>
          <cell r="D173">
            <v>102.08449551950416</v>
          </cell>
          <cell r="E173">
            <v>0.36</v>
          </cell>
          <cell r="F173">
            <v>2.1666666666664391E-2</v>
          </cell>
          <cell r="G173">
            <v>0</v>
          </cell>
          <cell r="H173">
            <v>101.7028288528375</v>
          </cell>
          <cell r="I173">
            <v>0</v>
          </cell>
          <cell r="J173"/>
          <cell r="K173">
            <v>101.7028288528375</v>
          </cell>
        </row>
        <row r="174">
          <cell r="A174">
            <v>6.875</v>
          </cell>
          <cell r="B174">
            <v>100.69</v>
          </cell>
          <cell r="C174">
            <v>0.96037016523299634</v>
          </cell>
          <cell r="D174">
            <v>101.650370165233</v>
          </cell>
          <cell r="E174">
            <v>0.36</v>
          </cell>
          <cell r="F174">
            <v>-0.21333333333333504</v>
          </cell>
          <cell r="G174">
            <v>0</v>
          </cell>
          <cell r="H174">
            <v>101.50370349856634</v>
          </cell>
          <cell r="I174">
            <v>0</v>
          </cell>
          <cell r="J174"/>
          <cell r="K174">
            <v>101.50370349856634</v>
          </cell>
        </row>
        <row r="175">
          <cell r="A175">
            <v>6.75</v>
          </cell>
          <cell r="B175">
            <v>100.101</v>
          </cell>
          <cell r="C175">
            <v>0.99628142024958177</v>
          </cell>
          <cell r="D175">
            <v>101.09728142024959</v>
          </cell>
          <cell r="E175">
            <v>0.36</v>
          </cell>
          <cell r="F175">
            <v>-0.21333333333333504</v>
          </cell>
          <cell r="G175">
            <v>0</v>
          </cell>
          <cell r="H175">
            <v>100.95061475358293</v>
          </cell>
          <cell r="I175">
            <v>0</v>
          </cell>
          <cell r="J175"/>
          <cell r="K175">
            <v>100.95061475358293</v>
          </cell>
        </row>
        <row r="176">
          <cell r="A176">
            <v>6.625</v>
          </cell>
          <cell r="B176">
            <v>100.232</v>
          </cell>
          <cell r="C176">
            <v>1.0245887605036648</v>
          </cell>
          <cell r="D176">
            <v>101.25658876050366</v>
          </cell>
          <cell r="E176">
            <v>0.36</v>
          </cell>
          <cell r="F176">
            <v>-6.6666666666666707E-2</v>
          </cell>
          <cell r="G176">
            <v>0</v>
          </cell>
          <cell r="H176">
            <v>100.96325542717032</v>
          </cell>
          <cell r="I176">
            <v>0</v>
          </cell>
          <cell r="J176"/>
          <cell r="K176">
            <v>100.96325542717032</v>
          </cell>
        </row>
        <row r="177">
          <cell r="A177">
            <v>6.5</v>
          </cell>
          <cell r="B177">
            <v>99.820999999999998</v>
          </cell>
          <cell r="C177">
            <v>1.0438653664088597</v>
          </cell>
          <cell r="D177">
            <v>100.86486536640886</v>
          </cell>
          <cell r="E177">
            <v>0.36</v>
          </cell>
          <cell r="F177">
            <v>-0.191249999999998</v>
          </cell>
          <cell r="G177">
            <v>0</v>
          </cell>
          <cell r="H177">
            <v>100.69611536640886</v>
          </cell>
          <cell r="I177">
            <v>0</v>
          </cell>
          <cell r="J177"/>
          <cell r="K177">
            <v>100.69611536640886</v>
          </cell>
        </row>
        <row r="178">
          <cell r="A178">
            <v>6.375</v>
          </cell>
          <cell r="B178">
            <v>99.454999999999998</v>
          </cell>
          <cell r="C178">
            <v>1.0813957336768123</v>
          </cell>
          <cell r="D178">
            <v>100.53639573367681</v>
          </cell>
          <cell r="E178">
            <v>0.36</v>
          </cell>
          <cell r="F178">
            <v>-0.26624999999999799</v>
          </cell>
          <cell r="G178">
            <v>0</v>
          </cell>
          <cell r="H178">
            <v>100.44264573367681</v>
          </cell>
          <cell r="I178">
            <v>0</v>
          </cell>
          <cell r="J178"/>
          <cell r="K178">
            <v>100.44264573367681</v>
          </cell>
        </row>
        <row r="179">
          <cell r="A179">
            <v>6.25</v>
          </cell>
          <cell r="B179">
            <v>98.978999999999999</v>
          </cell>
          <cell r="C179">
            <v>1.11673163637932</v>
          </cell>
          <cell r="D179">
            <v>100.09573163637931</v>
          </cell>
          <cell r="E179">
            <v>0.36</v>
          </cell>
          <cell r="F179">
            <v>-0.31666666666666665</v>
          </cell>
          <cell r="G179">
            <v>0</v>
          </cell>
          <cell r="H179">
            <v>100.05239830304598</v>
          </cell>
          <cell r="I179">
            <v>0</v>
          </cell>
          <cell r="J179"/>
          <cell r="K179">
            <v>100.05239830304598</v>
          </cell>
        </row>
        <row r="180">
          <cell r="A180">
            <v>6.125</v>
          </cell>
          <cell r="B180">
            <v>99.296999999999997</v>
          </cell>
          <cell r="C180">
            <v>1.1492095706938446</v>
          </cell>
          <cell r="D180">
            <v>100.44620957069384</v>
          </cell>
          <cell r="E180">
            <v>0.36</v>
          </cell>
          <cell r="F180">
            <v>0.49791666666666673</v>
          </cell>
          <cell r="G180">
            <v>0</v>
          </cell>
          <cell r="H180">
            <v>99.58829290402717</v>
          </cell>
          <cell r="I180">
            <v>0</v>
          </cell>
          <cell r="J180"/>
          <cell r="K180">
            <v>99.58829290402717</v>
          </cell>
        </row>
        <row r="181">
          <cell r="A181">
            <v>6</v>
          </cell>
          <cell r="B181">
            <v>98.81</v>
          </cell>
          <cell r="C181">
            <v>1.175188528653438</v>
          </cell>
          <cell r="D181">
            <v>99.985188528653438</v>
          </cell>
          <cell r="E181">
            <v>0.36</v>
          </cell>
          <cell r="F181">
            <v>0.4483333333333353</v>
          </cell>
          <cell r="G181">
            <v>0</v>
          </cell>
          <cell r="H181">
            <v>99.176855195320101</v>
          </cell>
          <cell r="I181">
            <v>0</v>
          </cell>
          <cell r="J181"/>
          <cell r="K181">
            <v>99.176855195320101</v>
          </cell>
        </row>
        <row r="182">
          <cell r="A182">
            <v>5.875</v>
          </cell>
          <cell r="B182">
            <v>98.33</v>
          </cell>
          <cell r="C182">
            <v>1.2001075198788873</v>
          </cell>
          <cell r="D182">
            <v>99.530107519878882</v>
          </cell>
          <cell r="E182">
            <v>0.36</v>
          </cell>
          <cell r="F182">
            <v>0.44791666666666669</v>
          </cell>
          <cell r="G182">
            <v>0</v>
          </cell>
          <cell r="H182">
            <v>98.722190853212211</v>
          </cell>
          <cell r="I182">
            <v>0</v>
          </cell>
          <cell r="J182"/>
          <cell r="K182">
            <v>98.722190853212211</v>
          </cell>
        </row>
        <row r="183">
          <cell r="A183">
            <v>5.75</v>
          </cell>
          <cell r="B183">
            <v>97.769000000000005</v>
          </cell>
          <cell r="C183">
            <v>1.220373990714686</v>
          </cell>
          <cell r="D183">
            <v>98.989373990714697</v>
          </cell>
          <cell r="E183">
            <v>0.36</v>
          </cell>
          <cell r="F183">
            <v>0.4483333333333353</v>
          </cell>
          <cell r="G183">
            <v>0</v>
          </cell>
          <cell r="H183">
            <v>98.181040657381359</v>
          </cell>
          <cell r="I183">
            <v>0</v>
          </cell>
          <cell r="J183"/>
          <cell r="K183">
            <v>98.181040657381359</v>
          </cell>
        </row>
        <row r="184">
          <cell r="A184">
            <v>5.625</v>
          </cell>
          <cell r="B184">
            <v>97.102999999999994</v>
          </cell>
          <cell r="C184">
            <v>1.2354980652420697</v>
          </cell>
          <cell r="D184">
            <v>98.338498065242064</v>
          </cell>
          <cell r="E184">
            <v>0.36</v>
          </cell>
          <cell r="F184">
            <v>0.40208333333333357</v>
          </cell>
          <cell r="G184">
            <v>0</v>
          </cell>
          <cell r="H184">
            <v>97.576414731908727</v>
          </cell>
          <cell r="I184">
            <v>0</v>
          </cell>
          <cell r="J184"/>
          <cell r="K184">
            <v>97.576414731908727</v>
          </cell>
        </row>
        <row r="185">
          <cell r="A185">
            <v>5.5</v>
          </cell>
          <cell r="B185">
            <v>96.498000000000005</v>
          </cell>
          <cell r="C185">
            <v>1.2479906782557784</v>
          </cell>
          <cell r="D185">
            <v>97.745990678255779</v>
          </cell>
          <cell r="E185">
            <v>0.36</v>
          </cell>
          <cell r="F185">
            <v>0.40083333333333349</v>
          </cell>
          <cell r="G185">
            <v>0</v>
          </cell>
          <cell r="H185">
            <v>96.985157344922442</v>
          </cell>
          <cell r="I185">
            <v>0</v>
          </cell>
          <cell r="J185"/>
          <cell r="K185">
            <v>96.985157344922442</v>
          </cell>
        </row>
        <row r="186">
          <cell r="A186">
            <v>5.375</v>
          </cell>
          <cell r="B186">
            <v>95.909000000000006</v>
          </cell>
          <cell r="C186">
            <v>1.2637998095544902</v>
          </cell>
          <cell r="D186">
            <v>97.17279980955449</v>
          </cell>
          <cell r="E186">
            <v>0.36</v>
          </cell>
          <cell r="F186">
            <v>0.39958333333333346</v>
          </cell>
          <cell r="G186">
            <v>0</v>
          </cell>
          <cell r="H186">
            <v>96.413216476221152</v>
          </cell>
          <cell r="I186">
            <v>0</v>
          </cell>
          <cell r="J186"/>
          <cell r="K186">
            <v>96.413216476221152</v>
          </cell>
        </row>
        <row r="187">
          <cell r="A187">
            <v>5.25</v>
          </cell>
          <cell r="B187">
            <v>95.021000000000001</v>
          </cell>
          <cell r="C187">
            <v>1.2799496190579389</v>
          </cell>
          <cell r="D187">
            <v>96.300949619057945</v>
          </cell>
          <cell r="E187">
            <v>0.36</v>
          </cell>
          <cell r="F187">
            <v>0.44791666666666669</v>
          </cell>
          <cell r="G187">
            <v>0</v>
          </cell>
          <cell r="H187">
            <v>95.493032952391275</v>
          </cell>
          <cell r="I187">
            <v>0</v>
          </cell>
          <cell r="J187"/>
          <cell r="K187">
            <v>95.493032952391275</v>
          </cell>
        </row>
        <row r="188">
          <cell r="A188">
            <v>5.125</v>
          </cell>
          <cell r="B188">
            <v>93.084000000000003</v>
          </cell>
          <cell r="C188">
            <v>1.2964498662264292</v>
          </cell>
          <cell r="D188">
            <v>94.380449866226428</v>
          </cell>
          <cell r="E188">
            <v>0.36</v>
          </cell>
          <cell r="F188">
            <v>-0.35208333333333408</v>
          </cell>
          <cell r="G188">
            <v>0</v>
          </cell>
          <cell r="H188">
            <v>94.372533199559768</v>
          </cell>
          <cell r="I188">
            <v>0</v>
          </cell>
          <cell r="J188"/>
          <cell r="K188">
            <v>94.372533199559768</v>
          </cell>
        </row>
        <row r="189">
          <cell r="A189">
            <v>5</v>
          </cell>
          <cell r="B189">
            <v>92.358000000000004</v>
          </cell>
          <cell r="C189">
            <v>1.3104616881792834</v>
          </cell>
          <cell r="D189">
            <v>93.668461688179292</v>
          </cell>
          <cell r="E189">
            <v>0.36</v>
          </cell>
          <cell r="F189">
            <v>-0.35749999999999704</v>
          </cell>
          <cell r="G189">
            <v>0</v>
          </cell>
          <cell r="H189">
            <v>93.665961688179294</v>
          </cell>
          <cell r="I189">
            <v>0</v>
          </cell>
          <cell r="J189"/>
          <cell r="K189">
            <v>93.665961688179294</v>
          </cell>
        </row>
        <row r="190">
          <cell r="A190">
            <v>4.875</v>
          </cell>
          <cell r="B190">
            <v>91.578000000000003</v>
          </cell>
          <cell r="C190">
            <v>1.3211709877456339</v>
          </cell>
          <cell r="D190">
            <v>92.899170987745634</v>
          </cell>
          <cell r="E190">
            <v>0.36</v>
          </cell>
          <cell r="F190">
            <v>-0.85916666666666575</v>
          </cell>
          <cell r="G190">
            <v>0</v>
          </cell>
          <cell r="H190">
            <v>93.398337654412302</v>
          </cell>
          <cell r="I190">
            <v>0</v>
          </cell>
          <cell r="J190"/>
          <cell r="K190">
            <v>93.398337654412302</v>
          </cell>
        </row>
        <row r="191">
          <cell r="A191">
            <v>4.75</v>
          </cell>
          <cell r="B191">
            <v>90.846000000000004</v>
          </cell>
          <cell r="C191">
            <v>1.3320028590489337</v>
          </cell>
          <cell r="D191">
            <v>92.178002859048931</v>
          </cell>
          <cell r="E191">
            <v>0.36</v>
          </cell>
          <cell r="F191">
            <v>-0.79833333333333201</v>
          </cell>
          <cell r="G191">
            <v>0</v>
          </cell>
          <cell r="H191">
            <v>92.616336192382263</v>
          </cell>
          <cell r="I191">
            <v>0</v>
          </cell>
          <cell r="J191"/>
          <cell r="K191">
            <v>92.616336192382263</v>
          </cell>
        </row>
        <row r="194">
          <cell r="A194">
            <v>7.5</v>
          </cell>
          <cell r="B194">
            <v>103.27800000000001</v>
          </cell>
          <cell r="C194">
            <v>0.43874778089460281</v>
          </cell>
          <cell r="D194">
            <v>103.71674778089461</v>
          </cell>
          <cell r="E194">
            <v>0.748</v>
          </cell>
          <cell r="F194"/>
          <cell r="G194">
            <v>0</v>
          </cell>
          <cell r="H194">
            <v>102.9687477808946</v>
          </cell>
          <cell r="I194">
            <v>0</v>
          </cell>
          <cell r="J194"/>
          <cell r="K194">
            <v>102.9687477808946</v>
          </cell>
        </row>
        <row r="195">
          <cell r="A195">
            <v>7.375</v>
          </cell>
          <cell r="B195">
            <v>103.08</v>
          </cell>
          <cell r="C195">
            <v>0.45588363863471026</v>
          </cell>
          <cell r="D195">
            <v>103.53588363863471</v>
          </cell>
          <cell r="E195">
            <v>0.748</v>
          </cell>
          <cell r="F195"/>
          <cell r="G195">
            <v>0</v>
          </cell>
          <cell r="H195">
            <v>102.78788363863471</v>
          </cell>
          <cell r="I195">
            <v>0</v>
          </cell>
          <cell r="J195"/>
          <cell r="K195">
            <v>102.78788363863471</v>
          </cell>
        </row>
        <row r="196">
          <cell r="A196">
            <v>7.25</v>
          </cell>
          <cell r="B196">
            <v>102.86499999999999</v>
          </cell>
          <cell r="C196">
            <v>0.47526547396421986</v>
          </cell>
          <cell r="D196">
            <v>103.34026547396421</v>
          </cell>
          <cell r="E196">
            <v>0.748</v>
          </cell>
          <cell r="F196"/>
          <cell r="G196">
            <v>0</v>
          </cell>
          <cell r="H196">
            <v>102.5922654739642</v>
          </cell>
          <cell r="I196">
            <v>0</v>
          </cell>
          <cell r="J196"/>
          <cell r="K196">
            <v>102.5922654739642</v>
          </cell>
        </row>
        <row r="197">
          <cell r="A197">
            <v>7.125</v>
          </cell>
          <cell r="B197">
            <v>103.14400000000001</v>
          </cell>
          <cell r="C197">
            <v>0.49681490865003308</v>
          </cell>
          <cell r="D197">
            <v>103.64081490865004</v>
          </cell>
          <cell r="E197">
            <v>0.748</v>
          </cell>
          <cell r="F197"/>
          <cell r="G197">
            <v>0</v>
          </cell>
          <cell r="H197">
            <v>102.89281490865004</v>
          </cell>
          <cell r="I197">
            <v>0</v>
          </cell>
          <cell r="J197"/>
          <cell r="K197">
            <v>102.89281490865004</v>
          </cell>
        </row>
        <row r="198">
          <cell r="A198">
            <v>7</v>
          </cell>
          <cell r="B198">
            <v>102.919</v>
          </cell>
          <cell r="C198">
            <v>0.52037556715897559</v>
          </cell>
          <cell r="D198">
            <v>103.43937556715898</v>
          </cell>
          <cell r="E198">
            <v>0.748</v>
          </cell>
          <cell r="F198"/>
          <cell r="G198">
            <v>0</v>
          </cell>
          <cell r="H198">
            <v>102.69137556715897</v>
          </cell>
          <cell r="I198">
            <v>0</v>
          </cell>
          <cell r="J198"/>
          <cell r="K198">
            <v>102.69137556715897</v>
          </cell>
        </row>
        <row r="199">
          <cell r="A199">
            <v>6.875</v>
          </cell>
          <cell r="B199">
            <v>102.30800000000001</v>
          </cell>
          <cell r="C199">
            <v>0.54564084761869491</v>
          </cell>
          <cell r="D199">
            <v>102.85364084761871</v>
          </cell>
          <cell r="E199">
            <v>0.748</v>
          </cell>
          <cell r="F199"/>
          <cell r="G199">
            <v>0</v>
          </cell>
          <cell r="H199">
            <v>102.1056408476187</v>
          </cell>
          <cell r="I199">
            <v>0</v>
          </cell>
          <cell r="J199"/>
          <cell r="K199">
            <v>102.1056408476187</v>
          </cell>
        </row>
        <row r="200">
          <cell r="A200">
            <v>6.75</v>
          </cell>
          <cell r="B200">
            <v>101.90600000000001</v>
          </cell>
          <cell r="C200">
            <v>0.57220690482506398</v>
          </cell>
          <cell r="D200">
            <v>102.47820690482507</v>
          </cell>
          <cell r="E200">
            <v>0.748</v>
          </cell>
          <cell r="F200"/>
          <cell r="G200">
            <v>0</v>
          </cell>
          <cell r="H200">
            <v>101.73020690482507</v>
          </cell>
          <cell r="I200">
            <v>0</v>
          </cell>
          <cell r="J200"/>
          <cell r="K200">
            <v>101.73020690482507</v>
          </cell>
        </row>
        <row r="201">
          <cell r="A201">
            <v>6.625</v>
          </cell>
          <cell r="B201">
            <v>101.747</v>
          </cell>
          <cell r="C201">
            <v>0.60211237942935858</v>
          </cell>
          <cell r="D201">
            <v>102.34911237942936</v>
          </cell>
          <cell r="E201">
            <v>0.748</v>
          </cell>
          <cell r="F201"/>
          <cell r="G201">
            <v>0</v>
          </cell>
          <cell r="H201">
            <v>101.60111237942935</v>
          </cell>
          <cell r="I201">
            <v>0</v>
          </cell>
          <cell r="J201"/>
          <cell r="K201">
            <v>101.60111237942935</v>
          </cell>
        </row>
        <row r="202">
          <cell r="A202">
            <v>6.5</v>
          </cell>
          <cell r="B202">
            <v>101.49299999999999</v>
          </cell>
          <cell r="C202">
            <v>0.63714431752413758</v>
          </cell>
          <cell r="D202">
            <v>102.13014431752413</v>
          </cell>
          <cell r="E202">
            <v>0.748</v>
          </cell>
          <cell r="F202"/>
          <cell r="G202">
            <v>0</v>
          </cell>
          <cell r="H202">
            <v>101.38214431752412</v>
          </cell>
          <cell r="I202">
            <v>0</v>
          </cell>
          <cell r="J202"/>
          <cell r="K202">
            <v>101.38214431752412</v>
          </cell>
        </row>
        <row r="203">
          <cell r="A203">
            <v>6.375</v>
          </cell>
          <cell r="B203">
            <v>101.2</v>
          </cell>
          <cell r="C203">
            <v>0.67564783686188457</v>
          </cell>
          <cell r="D203">
            <v>101.87564783686189</v>
          </cell>
          <cell r="E203">
            <v>0.748</v>
          </cell>
          <cell r="F203"/>
          <cell r="G203">
            <v>0</v>
          </cell>
          <cell r="H203">
            <v>101.12764783686188</v>
          </cell>
          <cell r="I203">
            <v>0</v>
          </cell>
          <cell r="J203"/>
          <cell r="K203">
            <v>101.12764783686188</v>
          </cell>
        </row>
        <row r="204">
          <cell r="A204">
            <v>6.25</v>
          </cell>
          <cell r="B204">
            <v>100.791</v>
          </cell>
          <cell r="C204">
            <v>0.71500342732241795</v>
          </cell>
          <cell r="D204">
            <v>101.50600342732241</v>
          </cell>
          <cell r="E204">
            <v>0.748</v>
          </cell>
          <cell r="F204"/>
          <cell r="G204">
            <v>0</v>
          </cell>
          <cell r="H204">
            <v>100.75800342732241</v>
          </cell>
          <cell r="I204">
            <v>0</v>
          </cell>
          <cell r="J204"/>
          <cell r="K204">
            <v>100.75800342732241</v>
          </cell>
        </row>
        <row r="205">
          <cell r="A205">
            <v>6.125</v>
          </cell>
          <cell r="B205">
            <v>100.494</v>
          </cell>
          <cell r="C205">
            <v>0.75030594786228078</v>
          </cell>
          <cell r="D205">
            <v>101.24430594786229</v>
          </cell>
          <cell r="E205">
            <v>0.748</v>
          </cell>
          <cell r="F205"/>
          <cell r="G205">
            <v>0</v>
          </cell>
          <cell r="H205">
            <v>100.49630594786228</v>
          </cell>
          <cell r="I205">
            <v>0</v>
          </cell>
          <cell r="J205"/>
          <cell r="K205">
            <v>100.49630594786228</v>
          </cell>
        </row>
        <row r="206">
          <cell r="A206">
            <v>6</v>
          </cell>
          <cell r="B206">
            <v>100.143</v>
          </cell>
          <cell r="C206">
            <v>0.78086101853202361</v>
          </cell>
          <cell r="D206">
            <v>100.92386101853202</v>
          </cell>
          <cell r="E206">
            <v>0.748</v>
          </cell>
          <cell r="F206"/>
          <cell r="G206">
            <v>0</v>
          </cell>
          <cell r="H206">
            <v>100.17586101853202</v>
          </cell>
          <cell r="I206">
            <v>0</v>
          </cell>
          <cell r="J206"/>
          <cell r="K206">
            <v>100.17586101853202</v>
          </cell>
        </row>
        <row r="207">
          <cell r="A207">
            <v>5.875</v>
          </cell>
          <cell r="B207">
            <v>99.825999999999993</v>
          </cell>
          <cell r="C207">
            <v>0.80490800974401167</v>
          </cell>
          <cell r="D207">
            <v>100.630908009744</v>
          </cell>
          <cell r="E207">
            <v>0.748</v>
          </cell>
          <cell r="F207"/>
          <cell r="G207">
            <v>0</v>
          </cell>
          <cell r="H207">
            <v>99.882908009744</v>
          </cell>
          <cell r="I207">
            <v>0</v>
          </cell>
          <cell r="J207"/>
          <cell r="K207">
            <v>99.882908009744</v>
          </cell>
        </row>
        <row r="208">
          <cell r="A208">
            <v>5.75</v>
          </cell>
          <cell r="B208">
            <v>99.331999999999994</v>
          </cell>
          <cell r="C208">
            <v>0.82471406445732209</v>
          </cell>
          <cell r="D208">
            <v>100.15671406445732</v>
          </cell>
          <cell r="E208">
            <v>0.748</v>
          </cell>
          <cell r="F208"/>
          <cell r="G208">
            <v>0</v>
          </cell>
          <cell r="H208">
            <v>99.408714064457314</v>
          </cell>
          <cell r="I208">
            <v>0</v>
          </cell>
          <cell r="J208"/>
          <cell r="K208">
            <v>99.408714064457314</v>
          </cell>
        </row>
        <row r="209">
          <cell r="A209">
            <v>5.625</v>
          </cell>
          <cell r="B209">
            <v>99.247</v>
          </cell>
          <cell r="C209">
            <v>0.84212252907524909</v>
          </cell>
          <cell r="D209">
            <v>100.08912252907525</v>
          </cell>
          <cell r="E209">
            <v>0.748</v>
          </cell>
          <cell r="F209">
            <v>0.25</v>
          </cell>
          <cell r="G209">
            <v>0</v>
          </cell>
          <cell r="H209">
            <v>99.09112252907525</v>
          </cell>
          <cell r="I209">
            <v>0</v>
          </cell>
          <cell r="J209"/>
          <cell r="K209">
            <v>99.09112252907525</v>
          </cell>
        </row>
        <row r="210">
          <cell r="A210">
            <v>5.5</v>
          </cell>
          <cell r="B210">
            <v>98.656999999999996</v>
          </cell>
          <cell r="C210">
            <v>0.85945012668777188</v>
          </cell>
          <cell r="D210">
            <v>99.516450126687772</v>
          </cell>
          <cell r="E210">
            <v>0.748</v>
          </cell>
          <cell r="F210"/>
          <cell r="G210">
            <v>0</v>
          </cell>
          <cell r="H210">
            <v>98.768450126687767</v>
          </cell>
          <cell r="I210">
            <v>0</v>
          </cell>
          <cell r="J210"/>
          <cell r="K210">
            <v>98.768450126687767</v>
          </cell>
        </row>
        <row r="211">
          <cell r="A211">
            <v>5.375</v>
          </cell>
          <cell r="B211">
            <v>98.272999999999996</v>
          </cell>
          <cell r="C211">
            <v>0.87602933051056409</v>
          </cell>
          <cell r="D211">
            <v>99.149029330510558</v>
          </cell>
          <cell r="E211">
            <v>0.748</v>
          </cell>
          <cell r="F211"/>
          <cell r="G211">
            <v>0</v>
          </cell>
          <cell r="H211">
            <v>98.401029330510553</v>
          </cell>
          <cell r="I211">
            <v>0</v>
          </cell>
          <cell r="J211"/>
          <cell r="K211">
            <v>98.401029330510553</v>
          </cell>
        </row>
        <row r="212">
          <cell r="A212">
            <v>5.25</v>
          </cell>
          <cell r="B212">
            <v>97.843000000000004</v>
          </cell>
          <cell r="C212">
            <v>0.88776842760569774</v>
          </cell>
          <cell r="D212">
            <v>98.730768427605696</v>
          </cell>
          <cell r="E212">
            <v>0.748</v>
          </cell>
          <cell r="F212"/>
          <cell r="G212">
            <v>0</v>
          </cell>
          <cell r="H212">
            <v>97.982768427605691</v>
          </cell>
          <cell r="I212">
            <v>0</v>
          </cell>
          <cell r="J212"/>
          <cell r="K212">
            <v>97.982768427605691</v>
          </cell>
        </row>
        <row r="213">
          <cell r="A213">
            <v>5.125</v>
          </cell>
          <cell r="B213">
            <v>97.638000000000005</v>
          </cell>
          <cell r="C213">
            <v>0.89961594178490922</v>
          </cell>
          <cell r="D213">
            <v>98.537615941784921</v>
          </cell>
          <cell r="E213">
            <v>0.748</v>
          </cell>
          <cell r="F213"/>
          <cell r="G213">
            <v>0</v>
          </cell>
          <cell r="H213">
            <v>97.789615941784916</v>
          </cell>
          <cell r="I213">
            <v>0</v>
          </cell>
          <cell r="J213"/>
          <cell r="K213">
            <v>97.789615941784916</v>
          </cell>
        </row>
        <row r="214">
          <cell r="A214">
            <v>5</v>
          </cell>
          <cell r="B214">
            <v>96.918999999999997</v>
          </cell>
          <cell r="C214">
            <v>0.9102688580577174</v>
          </cell>
          <cell r="D214">
            <v>97.829268858057716</v>
          </cell>
          <cell r="E214">
            <v>0.748</v>
          </cell>
          <cell r="F214"/>
          <cell r="G214">
            <v>0</v>
          </cell>
          <cell r="H214">
            <v>97.081268858057712</v>
          </cell>
          <cell r="I214">
            <v>0</v>
          </cell>
          <cell r="J214"/>
          <cell r="K214">
            <v>97.081268858057712</v>
          </cell>
        </row>
        <row r="215">
          <cell r="A215">
            <v>4.875</v>
          </cell>
          <cell r="B215">
            <v>96.528999999999996</v>
          </cell>
          <cell r="C215">
            <v>0.92072833314189895</v>
          </cell>
          <cell r="D215">
            <v>97.449728333141891</v>
          </cell>
          <cell r="E215">
            <v>0.748</v>
          </cell>
          <cell r="F215"/>
          <cell r="G215">
            <v>0</v>
          </cell>
          <cell r="H215">
            <v>96.701728333141887</v>
          </cell>
          <cell r="I215">
            <v>0</v>
          </cell>
          <cell r="J215"/>
          <cell r="K215">
            <v>96.701728333141887</v>
          </cell>
        </row>
        <row r="216">
          <cell r="A216">
            <v>4.75</v>
          </cell>
          <cell r="B216">
            <v>95.88</v>
          </cell>
          <cell r="C216">
            <v>0.92872295036983565</v>
          </cell>
          <cell r="D216">
            <v>96.808722950369827</v>
          </cell>
          <cell r="E216">
            <v>0.748</v>
          </cell>
          <cell r="F216"/>
          <cell r="G216">
            <v>0</v>
          </cell>
          <cell r="H216">
            <v>96.060722950369822</v>
          </cell>
          <cell r="I216">
            <v>0</v>
          </cell>
          <cell r="J216"/>
          <cell r="K216">
            <v>96.060722950369822</v>
          </cell>
        </row>
        <row r="217">
          <cell r="A217">
            <v>4.625</v>
          </cell>
          <cell r="B217">
            <v>95.891999999999996</v>
          </cell>
          <cell r="C217">
            <v>0.93759016306802712</v>
          </cell>
          <cell r="D217">
            <v>96.829590163068019</v>
          </cell>
          <cell r="E217">
            <v>0.748</v>
          </cell>
          <cell r="F217"/>
          <cell r="G217">
            <v>0</v>
          </cell>
          <cell r="H217">
            <v>96.081590163068014</v>
          </cell>
          <cell r="I217">
            <v>0</v>
          </cell>
          <cell r="J217"/>
          <cell r="K217">
            <v>96.081590163068014</v>
          </cell>
        </row>
        <row r="218">
          <cell r="A218">
            <v>4.5</v>
          </cell>
          <cell r="B218">
            <v>95.164000000000001</v>
          </cell>
          <cell r="C218">
            <v>0.9454611666707915</v>
          </cell>
          <cell r="D218">
            <v>96.109461166670798</v>
          </cell>
          <cell r="E218">
            <v>0.748</v>
          </cell>
          <cell r="F218"/>
          <cell r="G218">
            <v>0</v>
          </cell>
          <cell r="H218">
            <v>95.361461166670793</v>
          </cell>
          <cell r="I218">
            <v>0</v>
          </cell>
          <cell r="J218"/>
          <cell r="K218">
            <v>95.361461166670793</v>
          </cell>
        </row>
        <row r="221">
          <cell r="A221">
            <v>7.5</v>
          </cell>
          <cell r="B221">
            <v>101.92930315116976</v>
          </cell>
          <cell r="D221">
            <v>101.92930315116976</v>
          </cell>
          <cell r="E221">
            <v>0.56000000000000005</v>
          </cell>
          <cell r="G221">
            <v>0</v>
          </cell>
          <cell r="H221">
            <v>101.36930315116976</v>
          </cell>
          <cell r="I221">
            <v>0</v>
          </cell>
          <cell r="J221"/>
          <cell r="K221">
            <v>101.36930315116976</v>
          </cell>
        </row>
        <row r="222">
          <cell r="A222">
            <v>7.375</v>
          </cell>
          <cell r="B222">
            <v>101.9404149878191</v>
          </cell>
          <cell r="D222">
            <v>101.9404149878191</v>
          </cell>
          <cell r="E222">
            <v>0.56000000000000005</v>
          </cell>
          <cell r="G222">
            <v>0</v>
          </cell>
          <cell r="H222">
            <v>101.38041498781909</v>
          </cell>
          <cell r="I222">
            <v>0</v>
          </cell>
          <cell r="J222"/>
          <cell r="K222">
            <v>101.38041498781909</v>
          </cell>
        </row>
        <row r="223">
          <cell r="A223">
            <v>7.25</v>
          </cell>
          <cell r="B223">
            <v>101.96040554166582</v>
          </cell>
          <cell r="D223">
            <v>101.96040554166582</v>
          </cell>
          <cell r="E223">
            <v>0.56000000000000005</v>
          </cell>
          <cell r="G223">
            <v>0</v>
          </cell>
          <cell r="H223">
            <v>101.40040554166582</v>
          </cell>
          <cell r="I223">
            <v>0</v>
          </cell>
          <cell r="J223"/>
          <cell r="K223">
            <v>101.40040554166582</v>
          </cell>
        </row>
        <row r="224">
          <cell r="A224">
            <v>7.125</v>
          </cell>
          <cell r="B224">
            <v>101.96580967497985</v>
          </cell>
          <cell r="D224">
            <v>101.96580967497985</v>
          </cell>
          <cell r="E224">
            <v>0.56000000000000005</v>
          </cell>
          <cell r="G224">
            <v>0</v>
          </cell>
          <cell r="H224">
            <v>101.40580967497985</v>
          </cell>
          <cell r="I224">
            <v>0</v>
          </cell>
          <cell r="J224"/>
          <cell r="K224">
            <v>101.40580967497985</v>
          </cell>
        </row>
        <row r="225">
          <cell r="A225">
            <v>7</v>
          </cell>
          <cell r="B225">
            <v>101.97240902465076</v>
          </cell>
          <cell r="D225">
            <v>101.97240902465076</v>
          </cell>
          <cell r="E225">
            <v>0.56000000000000005</v>
          </cell>
          <cell r="G225">
            <v>0</v>
          </cell>
          <cell r="H225">
            <v>101.41240902465076</v>
          </cell>
          <cell r="I225">
            <v>0</v>
          </cell>
          <cell r="J225"/>
          <cell r="K225">
            <v>101.41240902465076</v>
          </cell>
        </row>
        <row r="226">
          <cell r="A226">
            <v>6.875</v>
          </cell>
          <cell r="B226">
            <v>101.97129028202919</v>
          </cell>
          <cell r="D226">
            <v>101.97129028202919</v>
          </cell>
          <cell r="E226">
            <v>0.56000000000000005</v>
          </cell>
          <cell r="G226">
            <v>0</v>
          </cell>
          <cell r="H226">
            <v>101.41129028202919</v>
          </cell>
          <cell r="I226">
            <v>0</v>
          </cell>
          <cell r="J226"/>
          <cell r="K226">
            <v>101.41129028202919</v>
          </cell>
        </row>
        <row r="227">
          <cell r="A227">
            <v>6.75</v>
          </cell>
          <cell r="B227">
            <v>101.97273496040069</v>
          </cell>
          <cell r="D227">
            <v>101.97273496040069</v>
          </cell>
          <cell r="E227">
            <v>0.56000000000000005</v>
          </cell>
          <cell r="G227">
            <v>0</v>
          </cell>
          <cell r="H227">
            <v>101.41273496040068</v>
          </cell>
          <cell r="I227">
            <v>0</v>
          </cell>
          <cell r="J227"/>
          <cell r="K227">
            <v>101.41273496040068</v>
          </cell>
        </row>
        <row r="228">
          <cell r="A228">
            <v>6.625</v>
          </cell>
          <cell r="B228">
            <v>101.92670347867478</v>
          </cell>
          <cell r="D228">
            <v>101.92670347867478</v>
          </cell>
          <cell r="E228">
            <v>0.56000000000000005</v>
          </cell>
          <cell r="G228">
            <v>0</v>
          </cell>
          <cell r="H228">
            <v>101.36670347867478</v>
          </cell>
          <cell r="I228">
            <v>0</v>
          </cell>
          <cell r="J228"/>
          <cell r="K228">
            <v>101.36670347867478</v>
          </cell>
        </row>
        <row r="229">
          <cell r="A229">
            <v>6.5</v>
          </cell>
          <cell r="B229">
            <v>101.85708113263114</v>
          </cell>
          <cell r="D229">
            <v>101.85708113263114</v>
          </cell>
          <cell r="E229">
            <v>0.56000000000000005</v>
          </cell>
          <cell r="G229">
            <v>0</v>
          </cell>
          <cell r="H229">
            <v>101.29708113263113</v>
          </cell>
          <cell r="I229">
            <v>0</v>
          </cell>
          <cell r="J229"/>
          <cell r="K229">
            <v>101.29708113263113</v>
          </cell>
        </row>
        <row r="230">
          <cell r="A230">
            <v>6.375</v>
          </cell>
          <cell r="B230">
            <v>101.75885406954107</v>
          </cell>
          <cell r="D230">
            <v>101.75885406954107</v>
          </cell>
          <cell r="E230">
            <v>0.56000000000000005</v>
          </cell>
          <cell r="G230">
            <v>0</v>
          </cell>
          <cell r="H230">
            <v>101.19885406954107</v>
          </cell>
          <cell r="I230">
            <v>0</v>
          </cell>
          <cell r="J230"/>
          <cell r="K230">
            <v>101.19885406954107</v>
          </cell>
        </row>
        <row r="231">
          <cell r="A231">
            <v>6.25</v>
          </cell>
          <cell r="B231">
            <v>101.64675803371827</v>
          </cell>
          <cell r="D231">
            <v>101.64675803371827</v>
          </cell>
          <cell r="E231">
            <v>0.56000000000000005</v>
          </cell>
          <cell r="G231">
            <v>0</v>
          </cell>
          <cell r="H231">
            <v>101.08675803371827</v>
          </cell>
          <cell r="I231">
            <v>0</v>
          </cell>
          <cell r="J231"/>
          <cell r="K231">
            <v>101.08675803371827</v>
          </cell>
        </row>
        <row r="232">
          <cell r="A232">
            <v>6.125</v>
          </cell>
          <cell r="B232">
            <v>101.5054631049516</v>
          </cell>
          <cell r="D232">
            <v>101.5054631049516</v>
          </cell>
          <cell r="E232">
            <v>0.56000000000000005</v>
          </cell>
          <cell r="G232">
            <v>0</v>
          </cell>
          <cell r="H232">
            <v>100.9454631049516</v>
          </cell>
          <cell r="I232">
            <v>0</v>
          </cell>
          <cell r="J232"/>
          <cell r="K232">
            <v>100.9454631049516</v>
          </cell>
        </row>
        <row r="233">
          <cell r="A233">
            <v>6</v>
          </cell>
          <cell r="B233">
            <v>101.34523004948737</v>
          </cell>
          <cell r="D233">
            <v>101.34523004948737</v>
          </cell>
          <cell r="E233">
            <v>0.56000000000000005</v>
          </cell>
          <cell r="G233">
            <v>0</v>
          </cell>
          <cell r="H233">
            <v>100.78523004948737</v>
          </cell>
          <cell r="I233">
            <v>0</v>
          </cell>
          <cell r="J233"/>
          <cell r="K233">
            <v>100.78523004948737</v>
          </cell>
        </row>
        <row r="234">
          <cell r="A234">
            <v>5.875</v>
          </cell>
          <cell r="B234">
            <v>101.18795447452531</v>
          </cell>
          <cell r="D234">
            <v>101.18795447452531</v>
          </cell>
          <cell r="E234">
            <v>0.56000000000000005</v>
          </cell>
          <cell r="G234">
            <v>0</v>
          </cell>
          <cell r="H234">
            <v>100.62795447452531</v>
          </cell>
          <cell r="I234">
            <v>0</v>
          </cell>
          <cell r="J234"/>
          <cell r="K234">
            <v>100.62795447452531</v>
          </cell>
        </row>
        <row r="235">
          <cell r="A235">
            <v>5.75</v>
          </cell>
          <cell r="B235">
            <v>101.03346296189078</v>
          </cell>
          <cell r="D235">
            <v>101.03346296189078</v>
          </cell>
          <cell r="E235">
            <v>0.56000000000000005</v>
          </cell>
          <cell r="G235">
            <v>0</v>
          </cell>
          <cell r="H235">
            <v>100.47346296189077</v>
          </cell>
          <cell r="I235">
            <v>0</v>
          </cell>
          <cell r="J235"/>
          <cell r="K235">
            <v>100.47346296189077</v>
          </cell>
        </row>
        <row r="236">
          <cell r="A236">
            <v>5.625</v>
          </cell>
          <cell r="B236">
            <v>100.82757125950037</v>
          </cell>
          <cell r="D236">
            <v>100.82757125950037</v>
          </cell>
          <cell r="E236">
            <v>0.56000000000000005</v>
          </cell>
          <cell r="G236">
            <v>0</v>
          </cell>
          <cell r="H236">
            <v>100.26757125950037</v>
          </cell>
          <cell r="I236">
            <v>0</v>
          </cell>
          <cell r="J236"/>
          <cell r="K236">
            <v>100.26757125950037</v>
          </cell>
        </row>
        <row r="237">
          <cell r="A237">
            <v>5.5</v>
          </cell>
          <cell r="B237">
            <v>100.58877780973624</v>
          </cell>
          <cell r="D237">
            <v>100.58877780973624</v>
          </cell>
          <cell r="E237">
            <v>0.56000000000000005</v>
          </cell>
          <cell r="G237">
            <v>0</v>
          </cell>
          <cell r="H237">
            <v>100.02877780973624</v>
          </cell>
          <cell r="I237">
            <v>0</v>
          </cell>
          <cell r="J237"/>
          <cell r="K237">
            <v>100.02877780973624</v>
          </cell>
        </row>
        <row r="238">
          <cell r="A238">
            <v>5.375</v>
          </cell>
          <cell r="B238">
            <v>100.36386910120976</v>
          </cell>
          <cell r="D238">
            <v>100.36386910120976</v>
          </cell>
          <cell r="E238">
            <v>0.56000000000000005</v>
          </cell>
          <cell r="G238">
            <v>0</v>
          </cell>
          <cell r="H238">
            <v>99.803869101209756</v>
          </cell>
          <cell r="I238">
            <v>0</v>
          </cell>
          <cell r="J238"/>
          <cell r="K238">
            <v>99.803869101209756</v>
          </cell>
        </row>
        <row r="239">
          <cell r="A239">
            <v>5.25</v>
          </cell>
          <cell r="B239">
            <v>100.14820355918091</v>
          </cell>
          <cell r="D239">
            <v>100.14820355918091</v>
          </cell>
          <cell r="E239">
            <v>0.56000000000000005</v>
          </cell>
          <cell r="G239">
            <v>0</v>
          </cell>
          <cell r="H239">
            <v>99.588203559180911</v>
          </cell>
          <cell r="I239">
            <v>0</v>
          </cell>
          <cell r="J239"/>
          <cell r="K239">
            <v>99.588203559180911</v>
          </cell>
        </row>
        <row r="240">
          <cell r="A240">
            <v>5.125</v>
          </cell>
          <cell r="B240">
            <v>99.909144572249275</v>
          </cell>
          <cell r="D240">
            <v>99.909144572249275</v>
          </cell>
          <cell r="E240">
            <v>0.56000000000000005</v>
          </cell>
          <cell r="G240">
            <v>0</v>
          </cell>
          <cell r="H240">
            <v>99.349144572249273</v>
          </cell>
          <cell r="I240">
            <v>0</v>
          </cell>
          <cell r="J240"/>
          <cell r="K240">
            <v>99.349144572249273</v>
          </cell>
        </row>
        <row r="243">
          <cell r="A243">
            <v>7.5</v>
          </cell>
          <cell r="B243">
            <v>102.43301800338736</v>
          </cell>
          <cell r="D243">
            <v>102.43301800338736</v>
          </cell>
          <cell r="E243">
            <v>0.56000000000000005</v>
          </cell>
          <cell r="G243">
            <v>0</v>
          </cell>
          <cell r="H243">
            <v>101.87301800338736</v>
          </cell>
          <cell r="I243">
            <v>0</v>
          </cell>
          <cell r="J243"/>
          <cell r="K243">
            <v>101.87301800338736</v>
          </cell>
        </row>
        <row r="244">
          <cell r="A244">
            <v>7.375</v>
          </cell>
          <cell r="B244">
            <v>102.36528825324336</v>
          </cell>
          <cell r="D244">
            <v>102.36528825324336</v>
          </cell>
          <cell r="E244">
            <v>0.56000000000000005</v>
          </cell>
          <cell r="G244">
            <v>0</v>
          </cell>
          <cell r="H244">
            <v>101.80528825324336</v>
          </cell>
          <cell r="I244">
            <v>0</v>
          </cell>
          <cell r="J244"/>
          <cell r="K244">
            <v>101.80528825324336</v>
          </cell>
        </row>
        <row r="245">
          <cell r="A245">
            <v>7.25</v>
          </cell>
          <cell r="B245">
            <v>102.28728288304329</v>
          </cell>
          <cell r="D245">
            <v>102.28728288304329</v>
          </cell>
          <cell r="E245">
            <v>0.56000000000000005</v>
          </cell>
          <cell r="G245">
            <v>0</v>
          </cell>
          <cell r="H245">
            <v>101.72728288304329</v>
          </cell>
          <cell r="I245">
            <v>0</v>
          </cell>
          <cell r="J245"/>
          <cell r="K245">
            <v>101.72728288304329</v>
          </cell>
        </row>
        <row r="246">
          <cell r="A246">
            <v>7.125</v>
          </cell>
          <cell r="B246">
            <v>102.13824907326124</v>
          </cell>
          <cell r="D246">
            <v>102.13824907326124</v>
          </cell>
          <cell r="E246">
            <v>0.56000000000000005</v>
          </cell>
          <cell r="G246">
            <v>0</v>
          </cell>
          <cell r="H246">
            <v>101.57824907326123</v>
          </cell>
          <cell r="I246">
            <v>0</v>
          </cell>
          <cell r="J246"/>
          <cell r="K246">
            <v>101.57824907326123</v>
          </cell>
        </row>
        <row r="247">
          <cell r="A247">
            <v>7</v>
          </cell>
          <cell r="B247">
            <v>101.95542567830158</v>
          </cell>
          <cell r="D247">
            <v>101.95542567830158</v>
          </cell>
          <cell r="E247">
            <v>0.56000000000000005</v>
          </cell>
          <cell r="G247">
            <v>0</v>
          </cell>
          <cell r="H247">
            <v>101.39542567830158</v>
          </cell>
          <cell r="I247">
            <v>0</v>
          </cell>
          <cell r="J247"/>
          <cell r="K247">
            <v>101.39542567830158</v>
          </cell>
        </row>
        <row r="248">
          <cell r="A248">
            <v>6.875</v>
          </cell>
          <cell r="B248">
            <v>101.83200002436351</v>
          </cell>
          <cell r="D248">
            <v>101.83200002436351</v>
          </cell>
          <cell r="E248">
            <v>0.56000000000000005</v>
          </cell>
          <cell r="G248">
            <v>0</v>
          </cell>
          <cell r="H248">
            <v>101.27200002436351</v>
          </cell>
          <cell r="I248">
            <v>0</v>
          </cell>
          <cell r="J248"/>
          <cell r="K248">
            <v>101.27200002436351</v>
          </cell>
        </row>
        <row r="249">
          <cell r="A249">
            <v>6.75</v>
          </cell>
          <cell r="B249">
            <v>101.75787475000631</v>
          </cell>
          <cell r="D249">
            <v>101.75787475000631</v>
          </cell>
          <cell r="E249">
            <v>0.56000000000000005</v>
          </cell>
          <cell r="G249">
            <v>0</v>
          </cell>
          <cell r="H249">
            <v>101.19787475000631</v>
          </cell>
          <cell r="I249">
            <v>0</v>
          </cell>
          <cell r="J249"/>
          <cell r="K249">
            <v>101.19787475000631</v>
          </cell>
        </row>
        <row r="250">
          <cell r="A250">
            <v>6.625</v>
          </cell>
          <cell r="B250">
            <v>101.64545899452686</v>
          </cell>
          <cell r="D250">
            <v>101.64545899452686</v>
          </cell>
          <cell r="E250">
            <v>0.56000000000000005</v>
          </cell>
          <cell r="G250">
            <v>0</v>
          </cell>
          <cell r="H250">
            <v>101.08545899452686</v>
          </cell>
          <cell r="I250">
            <v>0</v>
          </cell>
          <cell r="J250"/>
          <cell r="K250">
            <v>101.08545899452686</v>
          </cell>
        </row>
        <row r="251">
          <cell r="A251">
            <v>6.5</v>
          </cell>
          <cell r="B251">
            <v>101.51866035851911</v>
          </cell>
          <cell r="D251">
            <v>101.51866035851911</v>
          </cell>
          <cell r="E251">
            <v>0.56000000000000005</v>
          </cell>
          <cell r="G251">
            <v>0</v>
          </cell>
          <cell r="H251">
            <v>100.95866035851911</v>
          </cell>
          <cell r="I251">
            <v>0</v>
          </cell>
          <cell r="J251"/>
          <cell r="K251">
            <v>100.95866035851911</v>
          </cell>
        </row>
        <row r="252">
          <cell r="A252">
            <v>6.375</v>
          </cell>
          <cell r="B252">
            <v>101.41669182371787</v>
          </cell>
          <cell r="D252">
            <v>101.41669182371787</v>
          </cell>
          <cell r="E252">
            <v>0.56000000000000005</v>
          </cell>
          <cell r="G252">
            <v>0</v>
          </cell>
          <cell r="H252">
            <v>100.85669182371787</v>
          </cell>
          <cell r="I252">
            <v>0</v>
          </cell>
          <cell r="J252"/>
          <cell r="K252">
            <v>100.85669182371787</v>
          </cell>
        </row>
        <row r="253">
          <cell r="A253">
            <v>6.25</v>
          </cell>
          <cell r="B253">
            <v>101.33818396092022</v>
          </cell>
          <cell r="D253">
            <v>101.33818396092022</v>
          </cell>
          <cell r="E253">
            <v>0.56000000000000005</v>
          </cell>
          <cell r="G253">
            <v>0</v>
          </cell>
          <cell r="H253">
            <v>100.77818396092022</v>
          </cell>
          <cell r="I253">
            <v>0</v>
          </cell>
          <cell r="J253"/>
          <cell r="K253">
            <v>100.77818396092022</v>
          </cell>
        </row>
        <row r="254">
          <cell r="A254">
            <v>6.125</v>
          </cell>
          <cell r="B254">
            <v>101.27690182646994</v>
          </cell>
          <cell r="D254">
            <v>101.27690182646994</v>
          </cell>
          <cell r="E254">
            <v>0.56000000000000005</v>
          </cell>
          <cell r="G254">
            <v>0</v>
          </cell>
          <cell r="H254">
            <v>100.71690182646994</v>
          </cell>
          <cell r="I254">
            <v>0</v>
          </cell>
          <cell r="J254"/>
          <cell r="K254">
            <v>100.71690182646994</v>
          </cell>
        </row>
        <row r="255">
          <cell r="A255">
            <v>6</v>
          </cell>
          <cell r="B255">
            <v>101.22935655993587</v>
          </cell>
          <cell r="D255">
            <v>101.22935655993587</v>
          </cell>
          <cell r="E255">
            <v>0.56000000000000005</v>
          </cell>
          <cell r="G255">
            <v>0</v>
          </cell>
          <cell r="H255">
            <v>100.66935655993586</v>
          </cell>
          <cell r="I255">
            <v>0</v>
          </cell>
          <cell r="J255"/>
          <cell r="K255">
            <v>100.66935655993586</v>
          </cell>
        </row>
        <row r="256">
          <cell r="A256">
            <v>5.875</v>
          </cell>
          <cell r="B256">
            <v>101.05152907637056</v>
          </cell>
          <cell r="D256">
            <v>101.05152907637056</v>
          </cell>
          <cell r="E256">
            <v>0.56000000000000005</v>
          </cell>
          <cell r="G256">
            <v>0</v>
          </cell>
          <cell r="H256">
            <v>100.49152907637055</v>
          </cell>
          <cell r="I256">
            <v>0</v>
          </cell>
          <cell r="J256"/>
          <cell r="K256">
            <v>100.49152907637055</v>
          </cell>
        </row>
        <row r="257">
          <cell r="A257">
            <v>5.75</v>
          </cell>
          <cell r="B257">
            <v>100.79233434350417</v>
          </cell>
          <cell r="D257">
            <v>100.79233434350417</v>
          </cell>
          <cell r="E257">
            <v>0.56000000000000005</v>
          </cell>
          <cell r="G257">
            <v>0</v>
          </cell>
          <cell r="H257">
            <v>100.23233434350416</v>
          </cell>
          <cell r="I257">
            <v>0</v>
          </cell>
          <cell r="J257"/>
          <cell r="K257">
            <v>100.23233434350416</v>
          </cell>
        </row>
        <row r="258">
          <cell r="A258">
            <v>5.625</v>
          </cell>
          <cell r="B258">
            <v>100.57353434350416</v>
          </cell>
          <cell r="D258">
            <v>100.57353434350416</v>
          </cell>
          <cell r="E258">
            <v>0.56000000000000005</v>
          </cell>
          <cell r="G258">
            <v>0</v>
          </cell>
          <cell r="H258">
            <v>100.01353434350416</v>
          </cell>
          <cell r="I258">
            <v>0</v>
          </cell>
          <cell r="J258"/>
          <cell r="K258">
            <v>100.01353434350416</v>
          </cell>
        </row>
        <row r="259">
          <cell r="A259">
            <v>5.5</v>
          </cell>
          <cell r="B259">
            <v>100.39269719897472</v>
          </cell>
          <cell r="D259">
            <v>100.39269719897472</v>
          </cell>
          <cell r="E259">
            <v>0.56000000000000005</v>
          </cell>
          <cell r="G259">
            <v>0</v>
          </cell>
          <cell r="H259">
            <v>99.832697198974714</v>
          </cell>
          <cell r="I259">
            <v>0</v>
          </cell>
          <cell r="J259"/>
          <cell r="K259">
            <v>99.832697198974714</v>
          </cell>
        </row>
        <row r="260">
          <cell r="A260">
            <v>5.375</v>
          </cell>
          <cell r="B260">
            <v>100.15395213864768</v>
          </cell>
          <cell r="D260">
            <v>100.15395213864768</v>
          </cell>
          <cell r="E260">
            <v>0.56000000000000005</v>
          </cell>
          <cell r="G260">
            <v>0</v>
          </cell>
          <cell r="H260">
            <v>99.59395213864768</v>
          </cell>
          <cell r="I260">
            <v>0</v>
          </cell>
          <cell r="J260"/>
          <cell r="K260">
            <v>99.59395213864768</v>
          </cell>
        </row>
        <row r="261">
          <cell r="A261">
            <v>5.25</v>
          </cell>
          <cell r="B261">
            <v>99.877674827269999</v>
          </cell>
          <cell r="D261">
            <v>99.877674827269999</v>
          </cell>
          <cell r="E261">
            <v>0.56000000000000005</v>
          </cell>
          <cell r="G261">
            <v>0</v>
          </cell>
          <cell r="H261">
            <v>99.317674827269997</v>
          </cell>
          <cell r="I261">
            <v>0</v>
          </cell>
          <cell r="J261"/>
          <cell r="K261">
            <v>99.317674827269997</v>
          </cell>
        </row>
        <row r="262">
          <cell r="A262">
            <v>5.125</v>
          </cell>
          <cell r="B262">
            <v>99.592063289268651</v>
          </cell>
          <cell r="C262"/>
          <cell r="D262">
            <v>99.592063289268651</v>
          </cell>
          <cell r="E262">
            <v>0.56000000000000005</v>
          </cell>
          <cell r="G262">
            <v>0</v>
          </cell>
          <cell r="H262">
            <v>99.032063289268649</v>
          </cell>
          <cell r="I262">
            <v>0</v>
          </cell>
          <cell r="J262"/>
          <cell r="K262">
            <v>99.032063289268649</v>
          </cell>
        </row>
        <row r="265">
          <cell r="A265">
            <v>7.5</v>
          </cell>
          <cell r="B265">
            <v>102.0178673517777</v>
          </cell>
          <cell r="D265">
            <v>102.0178673517777</v>
          </cell>
          <cell r="E265">
            <v>0.56000000000000005</v>
          </cell>
          <cell r="G265">
            <v>0</v>
          </cell>
          <cell r="H265">
            <v>101.45786735177769</v>
          </cell>
          <cell r="I265">
            <v>0</v>
          </cell>
          <cell r="J265"/>
          <cell r="K265">
            <v>101.45786735177769</v>
          </cell>
        </row>
        <row r="266">
          <cell r="A266">
            <v>7.375</v>
          </cell>
          <cell r="B266">
            <v>101.99675172391453</v>
          </cell>
          <cell r="D266">
            <v>101.99675172391453</v>
          </cell>
          <cell r="E266">
            <v>0.56000000000000005</v>
          </cell>
          <cell r="G266">
            <v>0</v>
          </cell>
          <cell r="H266">
            <v>101.43675172391453</v>
          </cell>
          <cell r="I266">
            <v>0</v>
          </cell>
          <cell r="J266"/>
          <cell r="K266">
            <v>101.43675172391453</v>
          </cell>
        </row>
        <row r="267">
          <cell r="A267">
            <v>7.25</v>
          </cell>
          <cell r="B267">
            <v>101.96873593421439</v>
          </cell>
          <cell r="D267">
            <v>101.96873593421439</v>
          </cell>
          <cell r="E267">
            <v>0.56000000000000005</v>
          </cell>
          <cell r="G267">
            <v>0</v>
          </cell>
          <cell r="H267">
            <v>101.40873593421439</v>
          </cell>
          <cell r="I267">
            <v>0</v>
          </cell>
          <cell r="J267"/>
          <cell r="K267">
            <v>101.40873593421439</v>
          </cell>
        </row>
        <row r="268">
          <cell r="A268">
            <v>7.125</v>
          </cell>
          <cell r="B268">
            <v>101.95396085647523</v>
          </cell>
          <cell r="D268">
            <v>101.95396085647523</v>
          </cell>
          <cell r="E268">
            <v>0.56000000000000005</v>
          </cell>
          <cell r="G268">
            <v>0</v>
          </cell>
          <cell r="H268">
            <v>101.39396085647523</v>
          </cell>
          <cell r="I268">
            <v>0</v>
          </cell>
          <cell r="J268"/>
          <cell r="K268">
            <v>101.39396085647523</v>
          </cell>
        </row>
        <row r="269">
          <cell r="A269">
            <v>7</v>
          </cell>
          <cell r="B269">
            <v>101.95788224275501</v>
          </cell>
          <cell r="D269">
            <v>101.95788224275501</v>
          </cell>
          <cell r="E269">
            <v>0.56000000000000005</v>
          </cell>
          <cell r="G269">
            <v>0</v>
          </cell>
          <cell r="H269">
            <v>101.397882242755</v>
          </cell>
          <cell r="I269">
            <v>0</v>
          </cell>
          <cell r="J269"/>
          <cell r="K269">
            <v>101.397882242755</v>
          </cell>
        </row>
        <row r="270">
          <cell r="A270">
            <v>6.875</v>
          </cell>
          <cell r="B270">
            <v>101.94604695999944</v>
          </cell>
          <cell r="D270">
            <v>101.94604695999944</v>
          </cell>
          <cell r="E270">
            <v>0.56000000000000005</v>
          </cell>
          <cell r="G270">
            <v>0</v>
          </cell>
          <cell r="H270">
            <v>101.38604695999943</v>
          </cell>
          <cell r="I270">
            <v>0</v>
          </cell>
          <cell r="J270"/>
          <cell r="K270">
            <v>101.38604695999943</v>
          </cell>
        </row>
        <row r="271">
          <cell r="A271">
            <v>6.75</v>
          </cell>
          <cell r="B271">
            <v>101.93085094141284</v>
          </cell>
          <cell r="D271">
            <v>101.93085094141284</v>
          </cell>
          <cell r="E271">
            <v>0.56000000000000005</v>
          </cell>
          <cell r="G271">
            <v>0</v>
          </cell>
          <cell r="H271">
            <v>101.37085094141284</v>
          </cell>
          <cell r="I271">
            <v>0</v>
          </cell>
          <cell r="J271"/>
          <cell r="K271">
            <v>101.37085094141284</v>
          </cell>
        </row>
        <row r="272">
          <cell r="A272">
            <v>6.625</v>
          </cell>
          <cell r="B272">
            <v>101.82641583646738</v>
          </cell>
          <cell r="D272">
            <v>101.82641583646738</v>
          </cell>
          <cell r="E272">
            <v>0.56000000000000005</v>
          </cell>
          <cell r="G272">
            <v>0</v>
          </cell>
          <cell r="H272">
            <v>101.26641583646737</v>
          </cell>
          <cell r="I272">
            <v>0</v>
          </cell>
          <cell r="J272"/>
          <cell r="K272">
            <v>101.26641583646737</v>
          </cell>
        </row>
        <row r="273">
          <cell r="A273">
            <v>6.5</v>
          </cell>
          <cell r="B273">
            <v>101.67185261204634</v>
          </cell>
          <cell r="D273">
            <v>101.67185261204634</v>
          </cell>
          <cell r="E273">
            <v>0.56000000000000005</v>
          </cell>
          <cell r="G273">
            <v>0</v>
          </cell>
          <cell r="H273">
            <v>101.11185261204633</v>
          </cell>
          <cell r="I273">
            <v>0</v>
          </cell>
          <cell r="J273"/>
          <cell r="K273">
            <v>101.11185261204633</v>
          </cell>
        </row>
        <row r="274">
          <cell r="A274">
            <v>6.375</v>
          </cell>
          <cell r="B274">
            <v>101.49405185438833</v>
          </cell>
          <cell r="D274">
            <v>101.49405185438833</v>
          </cell>
          <cell r="E274">
            <v>0.56000000000000005</v>
          </cell>
          <cell r="G274">
            <v>0</v>
          </cell>
          <cell r="H274">
            <v>100.93405185438833</v>
          </cell>
          <cell r="I274">
            <v>0</v>
          </cell>
          <cell r="J274"/>
          <cell r="K274">
            <v>100.93405185438833</v>
          </cell>
        </row>
        <row r="275">
          <cell r="A275">
            <v>6.25</v>
          </cell>
          <cell r="B275">
            <v>101.30634107911546</v>
          </cell>
          <cell r="D275">
            <v>101.30634107911546</v>
          </cell>
          <cell r="E275">
            <v>0.56000000000000005</v>
          </cell>
          <cell r="G275">
            <v>0</v>
          </cell>
          <cell r="H275">
            <v>100.74634107911545</v>
          </cell>
          <cell r="I275">
            <v>0</v>
          </cell>
          <cell r="J275"/>
          <cell r="K275">
            <v>100.74634107911545</v>
          </cell>
        </row>
        <row r="276">
          <cell r="A276">
            <v>6.125</v>
          </cell>
          <cell r="B276">
            <v>101.15107427107395</v>
          </cell>
          <cell r="D276">
            <v>101.15107427107395</v>
          </cell>
          <cell r="E276">
            <v>0.56000000000000005</v>
          </cell>
          <cell r="G276">
            <v>0</v>
          </cell>
          <cell r="H276">
            <v>100.59107427107395</v>
          </cell>
          <cell r="I276">
            <v>0</v>
          </cell>
          <cell r="J276"/>
          <cell r="K276">
            <v>100.59107427107395</v>
          </cell>
        </row>
        <row r="277">
          <cell r="A277">
            <v>6</v>
          </cell>
          <cell r="B277">
            <v>101.02250463348196</v>
          </cell>
          <cell r="D277">
            <v>101.02250463348196</v>
          </cell>
          <cell r="E277">
            <v>0.56000000000000005</v>
          </cell>
          <cell r="G277">
            <v>0</v>
          </cell>
          <cell r="H277">
            <v>100.46250463348196</v>
          </cell>
          <cell r="I277">
            <v>0</v>
          </cell>
          <cell r="J277"/>
          <cell r="K277">
            <v>100.46250463348196</v>
          </cell>
        </row>
        <row r="278">
          <cell r="A278">
            <v>5.875</v>
          </cell>
          <cell r="B278">
            <v>100.79927335327781</v>
          </cell>
          <cell r="D278">
            <v>100.79927335327781</v>
          </cell>
          <cell r="E278">
            <v>0.56000000000000005</v>
          </cell>
          <cell r="G278">
            <v>0</v>
          </cell>
          <cell r="H278">
            <v>100.23927335327781</v>
          </cell>
          <cell r="I278">
            <v>0</v>
          </cell>
          <cell r="J278"/>
          <cell r="K278">
            <v>100.23927335327781</v>
          </cell>
        </row>
        <row r="279">
          <cell r="A279">
            <v>5.75</v>
          </cell>
          <cell r="B279">
            <v>100.51017335327781</v>
          </cell>
          <cell r="D279">
            <v>100.51017335327781</v>
          </cell>
          <cell r="E279">
            <v>0.56000000000000005</v>
          </cell>
          <cell r="G279">
            <v>0</v>
          </cell>
          <cell r="H279">
            <v>99.950173353277805</v>
          </cell>
          <cell r="I279">
            <v>0</v>
          </cell>
          <cell r="J279"/>
          <cell r="K279">
            <v>99.950173353277805</v>
          </cell>
        </row>
        <row r="280">
          <cell r="A280">
            <v>5.625</v>
          </cell>
          <cell r="B280">
            <v>100.23840273632591</v>
          </cell>
          <cell r="D280">
            <v>100.23840273632591</v>
          </cell>
          <cell r="E280">
            <v>0.56000000000000005</v>
          </cell>
          <cell r="G280">
            <v>0</v>
          </cell>
          <cell r="H280">
            <v>99.678402736325907</v>
          </cell>
          <cell r="I280">
            <v>0</v>
          </cell>
          <cell r="J280"/>
          <cell r="K280">
            <v>99.678402736325907</v>
          </cell>
        </row>
        <row r="281">
          <cell r="A281">
            <v>5.5</v>
          </cell>
          <cell r="B281">
            <v>99.968704671574045</v>
          </cell>
          <cell r="D281">
            <v>99.968704671574045</v>
          </cell>
          <cell r="E281">
            <v>0.56000000000000005</v>
          </cell>
          <cell r="G281">
            <v>0</v>
          </cell>
          <cell r="H281">
            <v>99.408704671574043</v>
          </cell>
          <cell r="I281">
            <v>0</v>
          </cell>
          <cell r="J281"/>
          <cell r="K281">
            <v>99.408704671574043</v>
          </cell>
        </row>
        <row r="282">
          <cell r="A282">
            <v>5.375</v>
          </cell>
          <cell r="B282">
            <v>99.651833196948942</v>
          </cell>
          <cell r="D282">
            <v>99.651833196948942</v>
          </cell>
          <cell r="E282">
            <v>0.56000000000000005</v>
          </cell>
          <cell r="G282">
            <v>0</v>
          </cell>
          <cell r="H282">
            <v>99.09183319694894</v>
          </cell>
          <cell r="I282">
            <v>0</v>
          </cell>
          <cell r="J282"/>
          <cell r="K282">
            <v>99.09183319694894</v>
          </cell>
        </row>
        <row r="283">
          <cell r="A283">
            <v>5.25</v>
          </cell>
          <cell r="B283">
            <v>99.306854052145226</v>
          </cell>
          <cell r="D283">
            <v>99.306854052145226</v>
          </cell>
          <cell r="E283">
            <v>0.56000000000000005</v>
          </cell>
          <cell r="G283">
            <v>0</v>
          </cell>
          <cell r="H283">
            <v>98.746854052145224</v>
          </cell>
          <cell r="I283">
            <v>0</v>
          </cell>
          <cell r="J283"/>
          <cell r="K283">
            <v>98.746854052145224</v>
          </cell>
        </row>
        <row r="284">
          <cell r="A284">
            <v>5.125</v>
          </cell>
          <cell r="B284">
            <v>98.891395077364365</v>
          </cell>
          <cell r="C284"/>
          <cell r="D284">
            <v>98.891395077364365</v>
          </cell>
          <cell r="E284">
            <v>0.56000000000000005</v>
          </cell>
          <cell r="G284">
            <v>0</v>
          </cell>
          <cell r="H284">
            <v>98.331395077364363</v>
          </cell>
          <cell r="I284">
            <v>0</v>
          </cell>
          <cell r="J284"/>
          <cell r="K284">
            <v>98.331395077364363</v>
          </cell>
        </row>
        <row r="287">
          <cell r="A287">
            <v>7.625</v>
          </cell>
          <cell r="B287">
            <v>101.84234492754608</v>
          </cell>
          <cell r="C287"/>
          <cell r="D287">
            <v>101.84234492754608</v>
          </cell>
          <cell r="E287">
            <v>0.81</v>
          </cell>
          <cell r="F287"/>
          <cell r="G287">
            <v>0</v>
          </cell>
          <cell r="H287">
            <v>101.03234492754608</v>
          </cell>
          <cell r="I287">
            <v>0</v>
          </cell>
          <cell r="J287"/>
          <cell r="K287">
            <v>101.03234492754608</v>
          </cell>
        </row>
        <row r="288">
          <cell r="A288">
            <v>7.5</v>
          </cell>
          <cell r="B288">
            <v>101.85290165662873</v>
          </cell>
          <cell r="D288">
            <v>101.85290165662873</v>
          </cell>
          <cell r="E288">
            <v>0.81</v>
          </cell>
          <cell r="G288">
            <v>0</v>
          </cell>
          <cell r="H288">
            <v>101.04290165662873</v>
          </cell>
          <cell r="I288">
            <v>0</v>
          </cell>
          <cell r="J288"/>
          <cell r="K288">
            <v>101.04290165662873</v>
          </cell>
        </row>
        <row r="289">
          <cell r="A289">
            <v>7.375</v>
          </cell>
          <cell r="B289">
            <v>101.86370670008296</v>
          </cell>
          <cell r="D289">
            <v>101.86370670008296</v>
          </cell>
          <cell r="E289">
            <v>0.81</v>
          </cell>
          <cell r="G289">
            <v>0</v>
          </cell>
          <cell r="H289">
            <v>101.05370670008296</v>
          </cell>
          <cell r="I289">
            <v>0</v>
          </cell>
          <cell r="J289"/>
          <cell r="K289">
            <v>101.05370670008296</v>
          </cell>
        </row>
        <row r="290">
          <cell r="A290">
            <v>7.25</v>
          </cell>
          <cell r="B290">
            <v>101.88345621046874</v>
          </cell>
          <cell r="D290">
            <v>101.88345621046874</v>
          </cell>
          <cell r="E290">
            <v>0.81</v>
          </cell>
          <cell r="G290">
            <v>0</v>
          </cell>
          <cell r="H290">
            <v>101.07345621046873</v>
          </cell>
          <cell r="I290">
            <v>0</v>
          </cell>
          <cell r="J290"/>
          <cell r="K290">
            <v>101.07345621046873</v>
          </cell>
        </row>
        <row r="291">
          <cell r="A291">
            <v>7.125</v>
          </cell>
          <cell r="B291">
            <v>101.88870991012055</v>
          </cell>
          <cell r="D291">
            <v>101.88870991012055</v>
          </cell>
          <cell r="E291">
            <v>0.81</v>
          </cell>
          <cell r="G291">
            <v>0</v>
          </cell>
          <cell r="H291">
            <v>101.07870991012055</v>
          </cell>
          <cell r="I291">
            <v>0</v>
          </cell>
          <cell r="J291"/>
          <cell r="K291">
            <v>101.07870991012055</v>
          </cell>
        </row>
        <row r="292">
          <cell r="A292">
            <v>7</v>
          </cell>
          <cell r="B292">
            <v>101.89507552063183</v>
          </cell>
          <cell r="D292">
            <v>101.89507552063183</v>
          </cell>
          <cell r="E292">
            <v>0.81</v>
          </cell>
          <cell r="G292">
            <v>0</v>
          </cell>
          <cell r="H292">
            <v>101.08507552063183</v>
          </cell>
          <cell r="I292">
            <v>0</v>
          </cell>
          <cell r="J292"/>
          <cell r="K292">
            <v>101.08507552063183</v>
          </cell>
        </row>
        <row r="293">
          <cell r="A293">
            <v>6.875</v>
          </cell>
          <cell r="B293">
            <v>101.8939710863483</v>
          </cell>
          <cell r="D293">
            <v>101.8939710863483</v>
          </cell>
          <cell r="E293">
            <v>0.81</v>
          </cell>
          <cell r="G293">
            <v>0</v>
          </cell>
          <cell r="H293">
            <v>101.0839710863483</v>
          </cell>
          <cell r="I293">
            <v>0</v>
          </cell>
          <cell r="J293"/>
          <cell r="K293">
            <v>101.0839710863483</v>
          </cell>
        </row>
        <row r="294">
          <cell r="A294">
            <v>6.75</v>
          </cell>
          <cell r="B294">
            <v>101.8955362135129</v>
          </cell>
          <cell r="D294">
            <v>101.8955362135129</v>
          </cell>
          <cell r="E294">
            <v>0.81</v>
          </cell>
          <cell r="G294">
            <v>0</v>
          </cell>
          <cell r="H294">
            <v>101.0855362135129</v>
          </cell>
          <cell r="I294">
            <v>0</v>
          </cell>
          <cell r="J294"/>
          <cell r="K294">
            <v>101.0855362135129</v>
          </cell>
        </row>
        <row r="295">
          <cell r="A295">
            <v>6.625</v>
          </cell>
          <cell r="B295">
            <v>101.84959549314735</v>
          </cell>
          <cell r="D295">
            <v>101.84959549314735</v>
          </cell>
          <cell r="E295">
            <v>0.81</v>
          </cell>
          <cell r="G295">
            <v>0</v>
          </cell>
          <cell r="H295">
            <v>101.03959549314735</v>
          </cell>
          <cell r="I295">
            <v>0</v>
          </cell>
          <cell r="J295"/>
          <cell r="K295">
            <v>101.03959549314735</v>
          </cell>
        </row>
        <row r="296">
          <cell r="A296">
            <v>6.5</v>
          </cell>
          <cell r="B296">
            <v>101.78017490356652</v>
          </cell>
          <cell r="D296">
            <v>101.78017490356652</v>
          </cell>
          <cell r="E296">
            <v>0.81</v>
          </cell>
          <cell r="G296">
            <v>0</v>
          </cell>
          <cell r="H296">
            <v>100.97017490356652</v>
          </cell>
          <cell r="I296">
            <v>0</v>
          </cell>
          <cell r="J296"/>
          <cell r="K296">
            <v>100.97017490356652</v>
          </cell>
        </row>
        <row r="297">
          <cell r="A297">
            <v>6.375</v>
          </cell>
          <cell r="B297">
            <v>101.68219465918993</v>
          </cell>
          <cell r="D297">
            <v>101.68219465918993</v>
          </cell>
          <cell r="E297">
            <v>0.81</v>
          </cell>
          <cell r="G297">
            <v>0</v>
          </cell>
          <cell r="H297">
            <v>100.87219465918993</v>
          </cell>
          <cell r="I297">
            <v>0</v>
          </cell>
          <cell r="J297"/>
          <cell r="K297">
            <v>100.87219465918993</v>
          </cell>
        </row>
        <row r="298">
          <cell r="A298">
            <v>6.25</v>
          </cell>
          <cell r="B298">
            <v>101.57036624709332</v>
          </cell>
          <cell r="D298">
            <v>101.57036624709332</v>
          </cell>
          <cell r="E298">
            <v>0.81</v>
          </cell>
          <cell r="G298">
            <v>0</v>
          </cell>
          <cell r="H298">
            <v>100.76036624709332</v>
          </cell>
          <cell r="I298">
            <v>0</v>
          </cell>
          <cell r="J298"/>
          <cell r="K298">
            <v>100.76036624709332</v>
          </cell>
        </row>
        <row r="299">
          <cell r="A299">
            <v>6.125</v>
          </cell>
          <cell r="B299">
            <v>101.42926817658378</v>
          </cell>
          <cell r="D299">
            <v>101.42926817658378</v>
          </cell>
          <cell r="E299">
            <v>0.81</v>
          </cell>
          <cell r="G299">
            <v>0</v>
          </cell>
          <cell r="H299">
            <v>100.61926817658377</v>
          </cell>
          <cell r="I299">
            <v>0</v>
          </cell>
          <cell r="J299"/>
          <cell r="K299">
            <v>100.61926817658377</v>
          </cell>
        </row>
        <row r="300">
          <cell r="A300">
            <v>6</v>
          </cell>
          <cell r="B300">
            <v>101.26941487939611</v>
          </cell>
          <cell r="D300">
            <v>101.26941487939611</v>
          </cell>
          <cell r="E300">
            <v>0.81</v>
          </cell>
          <cell r="G300">
            <v>0</v>
          </cell>
          <cell r="H300">
            <v>100.45941487939611</v>
          </cell>
          <cell r="I300">
            <v>0</v>
          </cell>
          <cell r="J300"/>
          <cell r="K300">
            <v>100.45941487939611</v>
          </cell>
        </row>
        <row r="301">
          <cell r="A301">
            <v>5.875</v>
          </cell>
          <cell r="B301">
            <v>101.11228715123305</v>
          </cell>
          <cell r="D301">
            <v>101.11228715123305</v>
          </cell>
          <cell r="E301">
            <v>0.81</v>
          </cell>
          <cell r="G301">
            <v>0</v>
          </cell>
          <cell r="H301">
            <v>100.30228715123305</v>
          </cell>
          <cell r="I301">
            <v>0</v>
          </cell>
          <cell r="J301"/>
          <cell r="K301">
            <v>100.30228715123305</v>
          </cell>
        </row>
        <row r="302">
          <cell r="A302">
            <v>5.75</v>
          </cell>
          <cell r="B302">
            <v>100.95808668900867</v>
          </cell>
          <cell r="D302">
            <v>100.95808668900867</v>
          </cell>
          <cell r="E302">
            <v>0.81</v>
          </cell>
          <cell r="G302">
            <v>0</v>
          </cell>
          <cell r="H302">
            <v>100.14808668900866</v>
          </cell>
          <cell r="I302">
            <v>0</v>
          </cell>
          <cell r="J302"/>
          <cell r="K302">
            <v>100.14808668900866</v>
          </cell>
        </row>
        <row r="303">
          <cell r="A303">
            <v>5.625</v>
          </cell>
          <cell r="B303">
            <v>100.75239660014761</v>
          </cell>
          <cell r="D303">
            <v>100.75239660014761</v>
          </cell>
          <cell r="E303">
            <v>0.81</v>
          </cell>
          <cell r="G303">
            <v>0</v>
          </cell>
          <cell r="H303">
            <v>99.942396600147603</v>
          </cell>
          <cell r="I303">
            <v>0</v>
          </cell>
          <cell r="J303"/>
          <cell r="K303">
            <v>99.942396600147603</v>
          </cell>
        </row>
        <row r="304">
          <cell r="A304">
            <v>5.5</v>
          </cell>
          <cell r="B304">
            <v>100.51394524841879</v>
          </cell>
          <cell r="D304">
            <v>100.51394524841879</v>
          </cell>
          <cell r="E304">
            <v>0.81</v>
          </cell>
          <cell r="G304">
            <v>0</v>
          </cell>
          <cell r="H304">
            <v>99.70394524841879</v>
          </cell>
          <cell r="I304">
            <v>0</v>
          </cell>
          <cell r="J304"/>
          <cell r="K304">
            <v>99.70394524841879</v>
          </cell>
        </row>
        <row r="305">
          <cell r="A305">
            <v>5.375</v>
          </cell>
          <cell r="B305">
            <v>100.28930837379649</v>
          </cell>
          <cell r="D305">
            <v>100.28930837379649</v>
          </cell>
          <cell r="E305">
            <v>0.81</v>
          </cell>
          <cell r="G305">
            <v>0</v>
          </cell>
          <cell r="H305">
            <v>99.479308373796485</v>
          </cell>
          <cell r="I305">
            <v>0</v>
          </cell>
          <cell r="J305"/>
          <cell r="K305">
            <v>99.479308373796485</v>
          </cell>
        </row>
        <row r="306">
          <cell r="A306">
            <v>5.25</v>
          </cell>
          <cell r="B306">
            <v>100.07392854980368</v>
          </cell>
          <cell r="C306"/>
          <cell r="D306">
            <v>100.07392854980368</v>
          </cell>
          <cell r="E306">
            <v>0.81</v>
          </cell>
          <cell r="F306"/>
          <cell r="G306">
            <v>0</v>
          </cell>
          <cell r="H306">
            <v>99.26392854980368</v>
          </cell>
          <cell r="I306">
            <v>0</v>
          </cell>
          <cell r="J306"/>
          <cell r="K306">
            <v>99.26392854980368</v>
          </cell>
        </row>
        <row r="309">
          <cell r="A309">
            <v>7.625</v>
          </cell>
          <cell r="B309">
            <v>102.38954130039647</v>
          </cell>
          <cell r="C309"/>
          <cell r="D309">
            <v>102.38954130039647</v>
          </cell>
          <cell r="E309">
            <v>0.81</v>
          </cell>
          <cell r="F309"/>
          <cell r="G309">
            <v>0</v>
          </cell>
          <cell r="H309">
            <v>101.57954130039647</v>
          </cell>
          <cell r="I309">
            <v>0</v>
          </cell>
          <cell r="J309"/>
          <cell r="K309">
            <v>101.57954130039647</v>
          </cell>
        </row>
        <row r="310">
          <cell r="A310">
            <v>7.5</v>
          </cell>
          <cell r="B310">
            <v>102.35298340752659</v>
          </cell>
          <cell r="D310">
            <v>102.35298340752659</v>
          </cell>
          <cell r="E310">
            <v>0.81</v>
          </cell>
          <cell r="G310">
            <v>0</v>
          </cell>
          <cell r="H310">
            <v>101.54298340752659</v>
          </cell>
          <cell r="I310">
            <v>0</v>
          </cell>
          <cell r="J310"/>
          <cell r="K310">
            <v>101.54298340752659</v>
          </cell>
        </row>
        <row r="311">
          <cell r="A311">
            <v>7.375</v>
          </cell>
          <cell r="B311">
            <v>102.28468180975794</v>
          </cell>
          <cell r="D311">
            <v>102.28468180975794</v>
          </cell>
          <cell r="E311">
            <v>0.81</v>
          </cell>
          <cell r="G311">
            <v>0</v>
          </cell>
          <cell r="H311">
            <v>101.47468180975794</v>
          </cell>
          <cell r="I311">
            <v>0</v>
          </cell>
          <cell r="J311"/>
          <cell r="K311">
            <v>101.47468180975794</v>
          </cell>
        </row>
        <row r="312">
          <cell r="A312">
            <v>7.25</v>
          </cell>
          <cell r="B312">
            <v>102.20626041094339</v>
          </cell>
          <cell r="D312">
            <v>102.20626041094339</v>
          </cell>
          <cell r="E312">
            <v>0.81</v>
          </cell>
          <cell r="G312">
            <v>0</v>
          </cell>
          <cell r="H312">
            <v>101.39626041094338</v>
          </cell>
          <cell r="I312">
            <v>0</v>
          </cell>
          <cell r="J312"/>
          <cell r="K312">
            <v>101.39626041094338</v>
          </cell>
        </row>
        <row r="313">
          <cell r="A313">
            <v>7.125</v>
          </cell>
          <cell r="B313">
            <v>102.05698101263293</v>
          </cell>
          <cell r="D313">
            <v>102.05698101263293</v>
          </cell>
          <cell r="E313">
            <v>0.81</v>
          </cell>
          <cell r="G313">
            <v>0</v>
          </cell>
          <cell r="H313">
            <v>101.24698101263293</v>
          </cell>
          <cell r="I313">
            <v>0</v>
          </cell>
          <cell r="J313"/>
          <cell r="K313">
            <v>101.24698101263293</v>
          </cell>
        </row>
        <row r="314">
          <cell r="A314">
            <v>7</v>
          </cell>
          <cell r="B314">
            <v>101.87364957270955</v>
          </cell>
          <cell r="D314">
            <v>101.87364957270955</v>
          </cell>
          <cell r="E314">
            <v>0.81</v>
          </cell>
          <cell r="G314">
            <v>0</v>
          </cell>
          <cell r="H314">
            <v>101.06364957270955</v>
          </cell>
          <cell r="I314">
            <v>0</v>
          </cell>
          <cell r="J314"/>
          <cell r="K314">
            <v>101.06364957270955</v>
          </cell>
        </row>
        <row r="315">
          <cell r="A315">
            <v>6.875</v>
          </cell>
          <cell r="B315">
            <v>101.75025016398457</v>
          </cell>
          <cell r="D315">
            <v>101.75025016398457</v>
          </cell>
          <cell r="E315">
            <v>0.81</v>
          </cell>
          <cell r="G315">
            <v>0</v>
          </cell>
          <cell r="H315">
            <v>100.94025016398457</v>
          </cell>
          <cell r="I315">
            <v>0</v>
          </cell>
          <cell r="J315"/>
          <cell r="K315">
            <v>100.94025016398457</v>
          </cell>
        </row>
        <row r="316">
          <cell r="A316">
            <v>6.75</v>
          </cell>
          <cell r="B316">
            <v>101.67613766417715</v>
          </cell>
          <cell r="D316">
            <v>101.67613766417715</v>
          </cell>
          <cell r="E316">
            <v>0.81</v>
          </cell>
          <cell r="G316">
            <v>0</v>
          </cell>
          <cell r="H316">
            <v>100.86613766417715</v>
          </cell>
          <cell r="I316">
            <v>0</v>
          </cell>
          <cell r="J316"/>
          <cell r="K316">
            <v>100.86613766417715</v>
          </cell>
        </row>
        <row r="317">
          <cell r="A317">
            <v>6.625</v>
          </cell>
          <cell r="B317">
            <v>101.56388690615593</v>
          </cell>
          <cell r="D317">
            <v>101.56388690615593</v>
          </cell>
          <cell r="E317">
            <v>0.81</v>
          </cell>
          <cell r="G317">
            <v>0</v>
          </cell>
          <cell r="H317">
            <v>100.75388690615593</v>
          </cell>
          <cell r="I317">
            <v>0</v>
          </cell>
          <cell r="J317"/>
          <cell r="K317">
            <v>100.75388690615593</v>
          </cell>
        </row>
        <row r="318">
          <cell r="A318">
            <v>6.5</v>
          </cell>
          <cell r="B318">
            <v>101.43729333507704</v>
          </cell>
          <cell r="D318">
            <v>101.43729333507704</v>
          </cell>
          <cell r="E318">
            <v>0.81</v>
          </cell>
          <cell r="G318">
            <v>0</v>
          </cell>
          <cell r="H318">
            <v>100.62729333507704</v>
          </cell>
          <cell r="I318">
            <v>0</v>
          </cell>
          <cell r="J318"/>
          <cell r="K318">
            <v>100.62729333507704</v>
          </cell>
        </row>
        <row r="319">
          <cell r="A319">
            <v>6.375</v>
          </cell>
          <cell r="B319">
            <v>101.33561102503045</v>
          </cell>
          <cell r="D319">
            <v>101.33561102503045</v>
          </cell>
          <cell r="E319">
            <v>0.81</v>
          </cell>
          <cell r="G319">
            <v>0</v>
          </cell>
          <cell r="H319">
            <v>100.52561102503044</v>
          </cell>
          <cell r="I319">
            <v>0</v>
          </cell>
          <cell r="J319"/>
          <cell r="K319">
            <v>100.52561102503044</v>
          </cell>
        </row>
        <row r="320">
          <cell r="A320">
            <v>6.25</v>
          </cell>
          <cell r="B320">
            <v>101.25737206258391</v>
          </cell>
          <cell r="D320">
            <v>101.25737206258391</v>
          </cell>
          <cell r="E320">
            <v>0.81</v>
          </cell>
          <cell r="G320">
            <v>0</v>
          </cell>
          <cell r="H320">
            <v>100.44737206258391</v>
          </cell>
          <cell r="I320">
            <v>0</v>
          </cell>
          <cell r="J320"/>
          <cell r="K320">
            <v>100.44737206258391</v>
          </cell>
        </row>
        <row r="321">
          <cell r="A321">
            <v>6.125</v>
          </cell>
          <cell r="B321">
            <v>101.19645279023692</v>
          </cell>
          <cell r="D321">
            <v>101.19645279023692</v>
          </cell>
          <cell r="E321">
            <v>0.81</v>
          </cell>
          <cell r="G321">
            <v>0</v>
          </cell>
          <cell r="H321">
            <v>100.38645279023692</v>
          </cell>
          <cell r="I321">
            <v>0</v>
          </cell>
          <cell r="J321"/>
          <cell r="K321">
            <v>100.38645279023692</v>
          </cell>
        </row>
        <row r="322">
          <cell r="A322">
            <v>6</v>
          </cell>
          <cell r="B322">
            <v>101.14928456637881</v>
          </cell>
          <cell r="D322">
            <v>101.14928456637881</v>
          </cell>
          <cell r="E322">
            <v>0.81</v>
          </cell>
          <cell r="G322">
            <v>0</v>
          </cell>
          <cell r="H322">
            <v>100.33928456637881</v>
          </cell>
          <cell r="I322">
            <v>0</v>
          </cell>
          <cell r="J322"/>
          <cell r="K322">
            <v>100.33928456637881</v>
          </cell>
        </row>
        <row r="323">
          <cell r="A323">
            <v>5.875</v>
          </cell>
          <cell r="B323">
            <v>100.97188243961475</v>
          </cell>
          <cell r="D323">
            <v>100.97188243961475</v>
          </cell>
          <cell r="E323">
            <v>0.81</v>
          </cell>
          <cell r="G323">
            <v>0</v>
          </cell>
          <cell r="H323">
            <v>100.16188243961474</v>
          </cell>
          <cell r="I323">
            <v>0</v>
          </cell>
          <cell r="J323"/>
          <cell r="K323">
            <v>100.16188243961474</v>
          </cell>
        </row>
        <row r="324">
          <cell r="A324">
            <v>5.75</v>
          </cell>
          <cell r="B324">
            <v>100.71331101978699</v>
          </cell>
          <cell r="D324">
            <v>100.71331101978699</v>
          </cell>
          <cell r="E324">
            <v>0.81</v>
          </cell>
          <cell r="G324">
            <v>0</v>
          </cell>
          <cell r="H324">
            <v>99.903311019786983</v>
          </cell>
          <cell r="I324">
            <v>0</v>
          </cell>
          <cell r="J324"/>
          <cell r="K324">
            <v>99.903311019786983</v>
          </cell>
        </row>
        <row r="325">
          <cell r="A325">
            <v>5.625</v>
          </cell>
          <cell r="B325">
            <v>100.49451101978698</v>
          </cell>
          <cell r="D325">
            <v>100.49451101978698</v>
          </cell>
          <cell r="E325">
            <v>0.81</v>
          </cell>
          <cell r="G325">
            <v>0</v>
          </cell>
          <cell r="H325">
            <v>99.684511019786981</v>
          </cell>
          <cell r="I325">
            <v>0</v>
          </cell>
          <cell r="J325"/>
          <cell r="K325">
            <v>99.684511019786981</v>
          </cell>
        </row>
        <row r="326">
          <cell r="A326">
            <v>5.5</v>
          </cell>
          <cell r="B326">
            <v>100.31420517603939</v>
          </cell>
          <cell r="D326">
            <v>100.31420517603939</v>
          </cell>
          <cell r="E326">
            <v>0.81</v>
          </cell>
          <cell r="G326">
            <v>0</v>
          </cell>
          <cell r="H326">
            <v>99.504205176039392</v>
          </cell>
          <cell r="I326">
            <v>0</v>
          </cell>
          <cell r="J326"/>
          <cell r="K326">
            <v>99.504205176039392</v>
          </cell>
        </row>
        <row r="327">
          <cell r="A327">
            <v>5.375</v>
          </cell>
          <cell r="B327">
            <v>100.07589371031533</v>
          </cell>
          <cell r="C327"/>
          <cell r="D327">
            <v>100.07589371031533</v>
          </cell>
          <cell r="E327">
            <v>0.81</v>
          </cell>
          <cell r="F327"/>
          <cell r="G327">
            <v>0</v>
          </cell>
          <cell r="H327">
            <v>99.265893710315325</v>
          </cell>
          <cell r="I327">
            <v>0</v>
          </cell>
          <cell r="J327"/>
          <cell r="K327">
            <v>99.265893710315325</v>
          </cell>
        </row>
        <row r="328">
          <cell r="A328">
            <v>5.25</v>
          </cell>
          <cell r="B328">
            <v>99.800048390468049</v>
          </cell>
          <cell r="C328"/>
          <cell r="D328">
            <v>99.800048390468049</v>
          </cell>
          <cell r="E328">
            <v>0.81</v>
          </cell>
          <cell r="F328"/>
          <cell r="G328">
            <v>0</v>
          </cell>
          <cell r="H328">
            <v>98.990048390468047</v>
          </cell>
          <cell r="I328">
            <v>0</v>
          </cell>
          <cell r="J328"/>
          <cell r="K328">
            <v>98.990048390468047</v>
          </cell>
        </row>
        <row r="331">
          <cell r="A331">
            <v>7.5</v>
          </cell>
          <cell r="B331">
            <v>101.84827978007164</v>
          </cell>
          <cell r="D331">
            <v>101.84827978007164</v>
          </cell>
          <cell r="E331">
            <v>0.81</v>
          </cell>
          <cell r="G331">
            <v>0</v>
          </cell>
          <cell r="H331">
            <v>101.03827978007163</v>
          </cell>
          <cell r="I331">
            <v>0</v>
          </cell>
          <cell r="J331"/>
          <cell r="K331">
            <v>101.03827978007163</v>
          </cell>
        </row>
        <row r="332">
          <cell r="A332">
            <v>7.375</v>
          </cell>
          <cell r="B332">
            <v>101.82720818247813</v>
          </cell>
          <cell r="D332">
            <v>101.82720818247813</v>
          </cell>
          <cell r="E332">
            <v>0.81</v>
          </cell>
          <cell r="G332">
            <v>0</v>
          </cell>
          <cell r="H332">
            <v>101.01720818247813</v>
          </cell>
          <cell r="I332">
            <v>0</v>
          </cell>
          <cell r="J332"/>
          <cell r="K332">
            <v>101.01720818247813</v>
          </cell>
        </row>
        <row r="333">
          <cell r="A333">
            <v>7.25</v>
          </cell>
          <cell r="B333">
            <v>101.79915242021322</v>
          </cell>
          <cell r="D333">
            <v>101.79915242021322</v>
          </cell>
          <cell r="E333">
            <v>0.81</v>
          </cell>
          <cell r="G333">
            <v>0</v>
          </cell>
          <cell r="H333">
            <v>100.98915242021322</v>
          </cell>
          <cell r="I333">
            <v>0</v>
          </cell>
          <cell r="J333"/>
          <cell r="K333">
            <v>100.98915242021322</v>
          </cell>
        </row>
        <row r="334">
          <cell r="A334">
            <v>7.125</v>
          </cell>
          <cell r="B334">
            <v>101.78442351132139</v>
          </cell>
          <cell r="D334">
            <v>101.78442351132139</v>
          </cell>
          <cell r="E334">
            <v>0.81</v>
          </cell>
          <cell r="G334">
            <v>0</v>
          </cell>
          <cell r="H334">
            <v>100.97442351132139</v>
          </cell>
          <cell r="I334">
            <v>0</v>
          </cell>
          <cell r="J334"/>
          <cell r="K334">
            <v>100.97442351132139</v>
          </cell>
        </row>
        <row r="335">
          <cell r="A335">
            <v>7</v>
          </cell>
          <cell r="B335">
            <v>101.78841525219519</v>
          </cell>
          <cell r="D335">
            <v>101.78841525219519</v>
          </cell>
          <cell r="E335">
            <v>0.81</v>
          </cell>
          <cell r="G335">
            <v>0</v>
          </cell>
          <cell r="H335">
            <v>100.97841525219519</v>
          </cell>
          <cell r="I335">
            <v>0</v>
          </cell>
          <cell r="J335"/>
          <cell r="K335">
            <v>100.97841525219519</v>
          </cell>
        </row>
        <row r="336">
          <cell r="A336">
            <v>6.875</v>
          </cell>
          <cell r="B336">
            <v>101.77682044622519</v>
          </cell>
          <cell r="D336">
            <v>101.77682044622519</v>
          </cell>
          <cell r="E336">
            <v>0.81</v>
          </cell>
          <cell r="G336">
            <v>0</v>
          </cell>
          <cell r="H336">
            <v>100.96682044622519</v>
          </cell>
          <cell r="I336">
            <v>0</v>
          </cell>
          <cell r="J336"/>
          <cell r="K336">
            <v>100.96682044622519</v>
          </cell>
        </row>
        <row r="337">
          <cell r="A337">
            <v>6.75</v>
          </cell>
          <cell r="B337">
            <v>101.76190066490797</v>
          </cell>
          <cell r="D337">
            <v>101.76190066490797</v>
          </cell>
          <cell r="E337">
            <v>0.81</v>
          </cell>
          <cell r="G337">
            <v>0</v>
          </cell>
          <cell r="H337">
            <v>100.95190066490797</v>
          </cell>
          <cell r="I337">
            <v>0</v>
          </cell>
          <cell r="J337"/>
          <cell r="K337">
            <v>100.95190066490797</v>
          </cell>
        </row>
        <row r="338">
          <cell r="A338">
            <v>6.625</v>
          </cell>
          <cell r="B338">
            <v>101.65775115887314</v>
          </cell>
          <cell r="D338">
            <v>101.65775115887314</v>
          </cell>
          <cell r="E338">
            <v>0.81</v>
          </cell>
          <cell r="G338">
            <v>0</v>
          </cell>
          <cell r="H338">
            <v>100.84775115887314</v>
          </cell>
          <cell r="I338">
            <v>0</v>
          </cell>
          <cell r="J338"/>
          <cell r="K338">
            <v>100.84775115887314</v>
          </cell>
        </row>
        <row r="339">
          <cell r="A339">
            <v>6.5</v>
          </cell>
          <cell r="B339">
            <v>101.50357534242288</v>
          </cell>
          <cell r="D339">
            <v>101.50357534242288</v>
          </cell>
          <cell r="E339">
            <v>0.81</v>
          </cell>
          <cell r="G339">
            <v>0</v>
          </cell>
          <cell r="H339">
            <v>100.69357534242287</v>
          </cell>
          <cell r="I339">
            <v>0</v>
          </cell>
          <cell r="J339"/>
          <cell r="K339">
            <v>100.69357534242287</v>
          </cell>
        </row>
        <row r="340">
          <cell r="A340">
            <v>6.375</v>
          </cell>
          <cell r="B340">
            <v>101.32610943388977</v>
          </cell>
          <cell r="D340">
            <v>101.32610943388977</v>
          </cell>
          <cell r="E340">
            <v>0.81</v>
          </cell>
          <cell r="G340">
            <v>0</v>
          </cell>
          <cell r="H340">
            <v>100.51610943388977</v>
          </cell>
          <cell r="I340">
            <v>0</v>
          </cell>
          <cell r="J340"/>
          <cell r="K340">
            <v>100.51610943388977</v>
          </cell>
        </row>
        <row r="341">
          <cell r="A341">
            <v>6.25</v>
          </cell>
          <cell r="B341">
            <v>101.1387504205066</v>
          </cell>
          <cell r="D341">
            <v>101.1387504205066</v>
          </cell>
          <cell r="E341">
            <v>0.81</v>
          </cell>
          <cell r="G341">
            <v>0</v>
          </cell>
          <cell r="H341">
            <v>100.32875042050659</v>
          </cell>
          <cell r="I341">
            <v>0</v>
          </cell>
          <cell r="J341"/>
          <cell r="K341">
            <v>100.32875042050659</v>
          </cell>
        </row>
        <row r="342">
          <cell r="A342">
            <v>6.125</v>
          </cell>
          <cell r="B342">
            <v>100.98383684843677</v>
          </cell>
          <cell r="D342">
            <v>100.98383684843677</v>
          </cell>
          <cell r="E342">
            <v>0.81</v>
          </cell>
          <cell r="G342">
            <v>0</v>
          </cell>
          <cell r="H342">
            <v>100.17383684843676</v>
          </cell>
          <cell r="I342">
            <v>0</v>
          </cell>
          <cell r="J342"/>
          <cell r="K342">
            <v>100.17383684843676</v>
          </cell>
        </row>
        <row r="343">
          <cell r="A343">
            <v>6</v>
          </cell>
          <cell r="B343">
            <v>100.85595203638553</v>
          </cell>
          <cell r="D343">
            <v>100.85595203638553</v>
          </cell>
          <cell r="E343">
            <v>0.81</v>
          </cell>
          <cell r="G343">
            <v>0</v>
          </cell>
          <cell r="H343">
            <v>100.04595203638553</v>
          </cell>
          <cell r="I343">
            <v>0</v>
          </cell>
          <cell r="J343"/>
          <cell r="K343">
            <v>100.04595203638553</v>
          </cell>
        </row>
        <row r="344">
          <cell r="A344">
            <v>5.875</v>
          </cell>
          <cell r="B344">
            <v>100.63317422528004</v>
          </cell>
          <cell r="D344">
            <v>100.63317422528004</v>
          </cell>
          <cell r="E344">
            <v>0.81</v>
          </cell>
          <cell r="G344">
            <v>0</v>
          </cell>
          <cell r="H344">
            <v>99.823174225280042</v>
          </cell>
          <cell r="I344">
            <v>0</v>
          </cell>
          <cell r="J344"/>
          <cell r="K344">
            <v>99.823174225280042</v>
          </cell>
        </row>
        <row r="345">
          <cell r="A345">
            <v>5.75</v>
          </cell>
          <cell r="B345">
            <v>100.34417422528004</v>
          </cell>
          <cell r="D345">
            <v>100.34417422528004</v>
          </cell>
          <cell r="E345">
            <v>0.81</v>
          </cell>
          <cell r="G345">
            <v>0</v>
          </cell>
          <cell r="H345">
            <v>99.53417422528004</v>
          </cell>
          <cell r="I345">
            <v>0</v>
          </cell>
          <cell r="J345"/>
          <cell r="K345">
            <v>99.53417422528004</v>
          </cell>
        </row>
        <row r="346">
          <cell r="A346">
            <v>5.625</v>
          </cell>
          <cell r="B346">
            <v>100.07345322257183</v>
          </cell>
          <cell r="D346">
            <v>100.07345322257183</v>
          </cell>
          <cell r="E346">
            <v>0.81</v>
          </cell>
          <cell r="G346">
            <v>0</v>
          </cell>
          <cell r="H346">
            <v>99.263453222571826</v>
          </cell>
          <cell r="I346">
            <v>0</v>
          </cell>
          <cell r="J346"/>
          <cell r="K346">
            <v>99.263453222571826</v>
          </cell>
        </row>
        <row r="347">
          <cell r="A347">
            <v>5.5</v>
          </cell>
          <cell r="B347">
            <v>99.80444215594423</v>
          </cell>
          <cell r="D347">
            <v>99.80444215594423</v>
          </cell>
          <cell r="E347">
            <v>0.81</v>
          </cell>
          <cell r="G347">
            <v>0</v>
          </cell>
          <cell r="H347">
            <v>98.994442155944228</v>
          </cell>
          <cell r="I347">
            <v>0</v>
          </cell>
          <cell r="J347"/>
          <cell r="K347">
            <v>98.994442155944228</v>
          </cell>
        </row>
        <row r="348">
          <cell r="A348">
            <v>5.375</v>
          </cell>
          <cell r="B348">
            <v>99.488276617955648</v>
          </cell>
          <cell r="D348">
            <v>99.488276617955648</v>
          </cell>
          <cell r="E348">
            <v>0.81</v>
          </cell>
          <cell r="G348">
            <v>0</v>
          </cell>
          <cell r="H348">
            <v>98.678276617955646</v>
          </cell>
          <cell r="I348">
            <v>0</v>
          </cell>
          <cell r="J348"/>
          <cell r="K348">
            <v>98.678276617955646</v>
          </cell>
        </row>
        <row r="349">
          <cell r="A349">
            <v>5.25</v>
          </cell>
          <cell r="B349">
            <v>99.143894722384786</v>
          </cell>
          <cell r="D349">
            <v>99.143894722384786</v>
          </cell>
          <cell r="E349">
            <v>0.81</v>
          </cell>
          <cell r="G349">
            <v>0</v>
          </cell>
          <cell r="H349">
            <v>98.333894722384784</v>
          </cell>
          <cell r="I349">
            <v>0</v>
          </cell>
          <cell r="J349"/>
          <cell r="K349">
            <v>98.333894722384784</v>
          </cell>
        </row>
        <row r="350">
          <cell r="A350">
            <v>5.125</v>
          </cell>
          <cell r="B350">
            <v>98.729201050004136</v>
          </cell>
          <cell r="C350"/>
          <cell r="D350">
            <v>98.729201050004136</v>
          </cell>
          <cell r="E350">
            <v>0.81</v>
          </cell>
          <cell r="F350"/>
          <cell r="G350">
            <v>0</v>
          </cell>
          <cell r="H350">
            <v>97.919201050004133</v>
          </cell>
          <cell r="I350">
            <v>0</v>
          </cell>
          <cell r="J350"/>
          <cell r="K350">
            <v>97.919201050004133</v>
          </cell>
        </row>
        <row r="353">
          <cell r="A353">
            <v>7.5</v>
          </cell>
          <cell r="B353">
            <v>101.92930315116976</v>
          </cell>
          <cell r="D353">
            <v>101.92930315116976</v>
          </cell>
          <cell r="E353">
            <v>0.81</v>
          </cell>
          <cell r="G353">
            <v>0</v>
          </cell>
          <cell r="H353">
            <v>101.11930315116976</v>
          </cell>
          <cell r="I353">
            <v>0</v>
          </cell>
          <cell r="J353"/>
          <cell r="K353">
            <v>101.11930315116976</v>
          </cell>
        </row>
        <row r="354">
          <cell r="A354">
            <v>7.375</v>
          </cell>
          <cell r="B354">
            <v>101.9404149878191</v>
          </cell>
          <cell r="D354">
            <v>101.9404149878191</v>
          </cell>
          <cell r="E354">
            <v>0.81</v>
          </cell>
          <cell r="G354">
            <v>0</v>
          </cell>
          <cell r="H354">
            <v>101.13041498781909</v>
          </cell>
          <cell r="I354">
            <v>0</v>
          </cell>
          <cell r="J354"/>
          <cell r="K354">
            <v>101.13041498781909</v>
          </cell>
        </row>
        <row r="355">
          <cell r="A355">
            <v>7.25</v>
          </cell>
          <cell r="B355">
            <v>101.96040554166582</v>
          </cell>
          <cell r="D355">
            <v>101.96040554166582</v>
          </cell>
          <cell r="E355">
            <v>0.81</v>
          </cell>
          <cell r="G355">
            <v>0</v>
          </cell>
          <cell r="H355">
            <v>101.15040554166582</v>
          </cell>
          <cell r="I355">
            <v>0</v>
          </cell>
          <cell r="J355"/>
          <cell r="K355">
            <v>101.15040554166582</v>
          </cell>
        </row>
        <row r="356">
          <cell r="A356">
            <v>7.125</v>
          </cell>
          <cell r="B356">
            <v>101.96580967497985</v>
          </cell>
          <cell r="D356">
            <v>101.96580967497985</v>
          </cell>
          <cell r="E356">
            <v>0.81</v>
          </cell>
          <cell r="G356">
            <v>0</v>
          </cell>
          <cell r="H356">
            <v>101.15580967497985</v>
          </cell>
          <cell r="I356">
            <v>0</v>
          </cell>
          <cell r="J356"/>
          <cell r="K356">
            <v>101.15580967497985</v>
          </cell>
        </row>
        <row r="357">
          <cell r="A357">
            <v>7</v>
          </cell>
          <cell r="B357">
            <v>101.97240902465076</v>
          </cell>
          <cell r="D357">
            <v>101.97240902465076</v>
          </cell>
          <cell r="E357">
            <v>0.81</v>
          </cell>
          <cell r="G357">
            <v>0</v>
          </cell>
          <cell r="H357">
            <v>101.16240902465076</v>
          </cell>
          <cell r="I357">
            <v>0</v>
          </cell>
          <cell r="J357"/>
          <cell r="K357">
            <v>101.16240902465076</v>
          </cell>
        </row>
        <row r="358">
          <cell r="A358">
            <v>6.875</v>
          </cell>
          <cell r="B358">
            <v>101.97129028202919</v>
          </cell>
          <cell r="D358">
            <v>101.97129028202919</v>
          </cell>
          <cell r="E358">
            <v>0.81</v>
          </cell>
          <cell r="G358">
            <v>0</v>
          </cell>
          <cell r="H358">
            <v>101.16129028202919</v>
          </cell>
          <cell r="I358">
            <v>0</v>
          </cell>
          <cell r="J358"/>
          <cell r="K358">
            <v>101.16129028202919</v>
          </cell>
        </row>
        <row r="359">
          <cell r="A359">
            <v>6.75</v>
          </cell>
          <cell r="B359">
            <v>101.97273496040069</v>
          </cell>
          <cell r="D359">
            <v>101.97273496040069</v>
          </cell>
          <cell r="E359">
            <v>0.81</v>
          </cell>
          <cell r="G359">
            <v>0</v>
          </cell>
          <cell r="H359">
            <v>101.16273496040068</v>
          </cell>
          <cell r="I359">
            <v>0</v>
          </cell>
          <cell r="J359"/>
          <cell r="K359">
            <v>101.16273496040068</v>
          </cell>
        </row>
        <row r="360">
          <cell r="A360">
            <v>6.625</v>
          </cell>
          <cell r="B360">
            <v>101.92670347867478</v>
          </cell>
          <cell r="D360">
            <v>101.92670347867478</v>
          </cell>
          <cell r="E360">
            <v>0.81</v>
          </cell>
          <cell r="G360">
            <v>0</v>
          </cell>
          <cell r="H360">
            <v>101.11670347867478</v>
          </cell>
          <cell r="I360">
            <v>0</v>
          </cell>
          <cell r="J360"/>
          <cell r="K360">
            <v>101.11670347867478</v>
          </cell>
        </row>
        <row r="361">
          <cell r="A361">
            <v>6.5</v>
          </cell>
          <cell r="B361">
            <v>101.85708113263114</v>
          </cell>
          <cell r="D361">
            <v>101.85708113263114</v>
          </cell>
          <cell r="E361">
            <v>0.81</v>
          </cell>
          <cell r="G361">
            <v>0</v>
          </cell>
          <cell r="H361">
            <v>101.04708113263113</v>
          </cell>
          <cell r="I361">
            <v>0</v>
          </cell>
          <cell r="J361"/>
          <cell r="K361">
            <v>101.04708113263113</v>
          </cell>
        </row>
        <row r="362">
          <cell r="A362">
            <v>6.375</v>
          </cell>
          <cell r="B362">
            <v>101.75885406954107</v>
          </cell>
          <cell r="D362">
            <v>101.75885406954107</v>
          </cell>
          <cell r="E362">
            <v>0.81</v>
          </cell>
          <cell r="G362">
            <v>0</v>
          </cell>
          <cell r="H362">
            <v>100.94885406954107</v>
          </cell>
          <cell r="I362">
            <v>0</v>
          </cell>
          <cell r="J362"/>
          <cell r="K362">
            <v>100.94885406954107</v>
          </cell>
        </row>
        <row r="363">
          <cell r="A363">
            <v>6.25</v>
          </cell>
          <cell r="B363">
            <v>101.64675803371827</v>
          </cell>
          <cell r="D363">
            <v>101.64675803371827</v>
          </cell>
          <cell r="E363">
            <v>0.81</v>
          </cell>
          <cell r="G363">
            <v>0</v>
          </cell>
          <cell r="H363">
            <v>100.83675803371827</v>
          </cell>
          <cell r="I363">
            <v>0</v>
          </cell>
          <cell r="J363"/>
          <cell r="K363">
            <v>100.83675803371827</v>
          </cell>
        </row>
        <row r="364">
          <cell r="A364">
            <v>6.125</v>
          </cell>
          <cell r="B364">
            <v>101.5054631049516</v>
          </cell>
          <cell r="D364">
            <v>101.5054631049516</v>
          </cell>
          <cell r="E364">
            <v>0.81</v>
          </cell>
          <cell r="G364">
            <v>0</v>
          </cell>
          <cell r="H364">
            <v>100.6954631049516</v>
          </cell>
          <cell r="I364">
            <v>0</v>
          </cell>
          <cell r="J364"/>
          <cell r="K364">
            <v>100.6954631049516</v>
          </cell>
        </row>
        <row r="365">
          <cell r="A365">
            <v>6</v>
          </cell>
          <cell r="B365">
            <v>101.34523004948737</v>
          </cell>
          <cell r="D365">
            <v>101.34523004948737</v>
          </cell>
          <cell r="E365">
            <v>0.81</v>
          </cell>
          <cell r="G365">
            <v>0</v>
          </cell>
          <cell r="H365">
            <v>100.53523004948737</v>
          </cell>
          <cell r="I365">
            <v>0</v>
          </cell>
          <cell r="J365"/>
          <cell r="K365">
            <v>100.53523004948737</v>
          </cell>
        </row>
        <row r="366">
          <cell r="A366">
            <v>5.875</v>
          </cell>
          <cell r="B366">
            <v>101.18795447452531</v>
          </cell>
          <cell r="D366">
            <v>101.18795447452531</v>
          </cell>
          <cell r="E366">
            <v>0.81</v>
          </cell>
          <cell r="G366">
            <v>0</v>
          </cell>
          <cell r="H366">
            <v>100.37795447452531</v>
          </cell>
          <cell r="I366">
            <v>0</v>
          </cell>
          <cell r="J366"/>
          <cell r="K366">
            <v>100.37795447452531</v>
          </cell>
        </row>
        <row r="367">
          <cell r="A367">
            <v>5.75</v>
          </cell>
          <cell r="B367">
            <v>101.03346296189078</v>
          </cell>
          <cell r="D367">
            <v>101.03346296189078</v>
          </cell>
          <cell r="E367">
            <v>0.81</v>
          </cell>
          <cell r="G367">
            <v>0</v>
          </cell>
          <cell r="H367">
            <v>100.22346296189077</v>
          </cell>
          <cell r="I367">
            <v>0</v>
          </cell>
          <cell r="J367"/>
          <cell r="K367">
            <v>100.22346296189077</v>
          </cell>
        </row>
        <row r="368">
          <cell r="A368">
            <v>5.625</v>
          </cell>
          <cell r="B368">
            <v>100.82757125950037</v>
          </cell>
          <cell r="D368">
            <v>100.82757125950037</v>
          </cell>
          <cell r="E368">
            <v>0.81</v>
          </cell>
          <cell r="G368">
            <v>0</v>
          </cell>
          <cell r="H368">
            <v>100.01757125950037</v>
          </cell>
          <cell r="I368">
            <v>0</v>
          </cell>
          <cell r="J368"/>
          <cell r="K368">
            <v>100.01757125950037</v>
          </cell>
        </row>
        <row r="369">
          <cell r="A369">
            <v>5.5</v>
          </cell>
          <cell r="B369">
            <v>100.58877780973624</v>
          </cell>
          <cell r="D369">
            <v>100.58877780973624</v>
          </cell>
          <cell r="E369">
            <v>0.81</v>
          </cell>
          <cell r="G369">
            <v>0</v>
          </cell>
          <cell r="H369">
            <v>99.778777809736241</v>
          </cell>
          <cell r="I369">
            <v>0</v>
          </cell>
          <cell r="J369"/>
          <cell r="K369">
            <v>99.778777809736241</v>
          </cell>
        </row>
        <row r="370">
          <cell r="A370">
            <v>5.375</v>
          </cell>
          <cell r="B370">
            <v>100.36386910120976</v>
          </cell>
          <cell r="D370">
            <v>100.36386910120976</v>
          </cell>
          <cell r="E370">
            <v>0.81</v>
          </cell>
          <cell r="G370">
            <v>0</v>
          </cell>
          <cell r="H370">
            <v>99.553869101209756</v>
          </cell>
          <cell r="I370">
            <v>0</v>
          </cell>
          <cell r="J370"/>
          <cell r="K370">
            <v>99.553869101209756</v>
          </cell>
        </row>
        <row r="371">
          <cell r="A371">
            <v>5.25</v>
          </cell>
          <cell r="B371">
            <v>100.14820355918091</v>
          </cell>
          <cell r="D371">
            <v>100.14820355918091</v>
          </cell>
          <cell r="E371">
            <v>0.81</v>
          </cell>
          <cell r="G371">
            <v>0</v>
          </cell>
          <cell r="H371">
            <v>99.338203559180911</v>
          </cell>
          <cell r="I371">
            <v>0</v>
          </cell>
          <cell r="J371"/>
          <cell r="K371">
            <v>99.338203559180911</v>
          </cell>
        </row>
        <row r="372">
          <cell r="A372">
            <v>5.125</v>
          </cell>
          <cell r="B372">
            <v>99.909144572249275</v>
          </cell>
          <cell r="C372"/>
          <cell r="D372">
            <v>99.909144572249275</v>
          </cell>
          <cell r="E372">
            <v>0.81</v>
          </cell>
          <cell r="G372">
            <v>0</v>
          </cell>
          <cell r="H372">
            <v>99.099144572249273</v>
          </cell>
          <cell r="I372">
            <v>0</v>
          </cell>
          <cell r="J372"/>
          <cell r="K372">
            <v>99.099144572249273</v>
          </cell>
        </row>
        <row r="375">
          <cell r="A375">
            <v>7.5</v>
          </cell>
          <cell r="B375">
            <v>102.43301800338736</v>
          </cell>
          <cell r="D375">
            <v>102.43301800338736</v>
          </cell>
          <cell r="E375">
            <v>0.81</v>
          </cell>
          <cell r="F375"/>
          <cell r="G375">
            <v>0</v>
          </cell>
          <cell r="H375">
            <v>101.62301800338736</v>
          </cell>
          <cell r="I375">
            <v>0</v>
          </cell>
          <cell r="J375"/>
          <cell r="K375">
            <v>101.62301800338736</v>
          </cell>
        </row>
        <row r="376">
          <cell r="A376">
            <v>7.375</v>
          </cell>
          <cell r="B376">
            <v>102.36528825324336</v>
          </cell>
          <cell r="D376">
            <v>102.36528825324336</v>
          </cell>
          <cell r="E376">
            <v>0.81</v>
          </cell>
          <cell r="G376">
            <v>0</v>
          </cell>
          <cell r="H376">
            <v>101.55528825324336</v>
          </cell>
          <cell r="I376">
            <v>0</v>
          </cell>
          <cell r="J376"/>
          <cell r="K376">
            <v>101.55528825324336</v>
          </cell>
        </row>
        <row r="377">
          <cell r="A377">
            <v>7.25</v>
          </cell>
          <cell r="B377">
            <v>102.28728288304329</v>
          </cell>
          <cell r="D377">
            <v>102.28728288304329</v>
          </cell>
          <cell r="E377">
            <v>0.81</v>
          </cell>
          <cell r="G377">
            <v>0</v>
          </cell>
          <cell r="H377">
            <v>101.47728288304329</v>
          </cell>
          <cell r="I377">
            <v>0</v>
          </cell>
          <cell r="J377"/>
          <cell r="K377">
            <v>101.47728288304329</v>
          </cell>
        </row>
        <row r="378">
          <cell r="A378">
            <v>7.125</v>
          </cell>
          <cell r="B378">
            <v>102.13824907326124</v>
          </cell>
          <cell r="D378">
            <v>102.13824907326124</v>
          </cell>
          <cell r="E378">
            <v>0.81</v>
          </cell>
          <cell r="G378">
            <v>0</v>
          </cell>
          <cell r="H378">
            <v>101.32824907326123</v>
          </cell>
          <cell r="I378">
            <v>0</v>
          </cell>
          <cell r="J378"/>
          <cell r="K378">
            <v>101.32824907326123</v>
          </cell>
        </row>
        <row r="379">
          <cell r="A379">
            <v>7</v>
          </cell>
          <cell r="B379">
            <v>101.95542567830158</v>
          </cell>
          <cell r="D379">
            <v>101.95542567830158</v>
          </cell>
          <cell r="E379">
            <v>0.81</v>
          </cell>
          <cell r="G379">
            <v>0</v>
          </cell>
          <cell r="H379">
            <v>101.14542567830158</v>
          </cell>
          <cell r="I379">
            <v>0</v>
          </cell>
          <cell r="J379"/>
          <cell r="K379">
            <v>101.14542567830158</v>
          </cell>
        </row>
        <row r="380">
          <cell r="A380">
            <v>6.875</v>
          </cell>
          <cell r="B380">
            <v>101.83200002436351</v>
          </cell>
          <cell r="D380">
            <v>101.83200002436351</v>
          </cell>
          <cell r="E380">
            <v>0.81</v>
          </cell>
          <cell r="G380">
            <v>0</v>
          </cell>
          <cell r="H380">
            <v>101.02200002436351</v>
          </cell>
          <cell r="I380">
            <v>0</v>
          </cell>
          <cell r="J380"/>
          <cell r="K380">
            <v>101.02200002436351</v>
          </cell>
        </row>
        <row r="381">
          <cell r="A381">
            <v>6.75</v>
          </cell>
          <cell r="B381">
            <v>101.75787475000631</v>
          </cell>
          <cell r="D381">
            <v>101.75787475000631</v>
          </cell>
          <cell r="E381">
            <v>0.81</v>
          </cell>
          <cell r="G381">
            <v>0</v>
          </cell>
          <cell r="H381">
            <v>100.94787475000631</v>
          </cell>
          <cell r="I381">
            <v>0</v>
          </cell>
          <cell r="J381"/>
          <cell r="K381">
            <v>100.94787475000631</v>
          </cell>
        </row>
        <row r="382">
          <cell r="A382">
            <v>6.625</v>
          </cell>
          <cell r="B382">
            <v>101.64545899452686</v>
          </cell>
          <cell r="D382">
            <v>101.64545899452686</v>
          </cell>
          <cell r="E382">
            <v>0.81</v>
          </cell>
          <cell r="G382">
            <v>0</v>
          </cell>
          <cell r="H382">
            <v>100.83545899452686</v>
          </cell>
          <cell r="I382">
            <v>0</v>
          </cell>
          <cell r="J382"/>
          <cell r="K382">
            <v>100.83545899452686</v>
          </cell>
        </row>
        <row r="383">
          <cell r="A383">
            <v>6.5</v>
          </cell>
          <cell r="B383">
            <v>101.51866035851911</v>
          </cell>
          <cell r="D383">
            <v>101.51866035851911</v>
          </cell>
          <cell r="E383">
            <v>0.81</v>
          </cell>
          <cell r="G383">
            <v>0</v>
          </cell>
          <cell r="H383">
            <v>100.70866035851911</v>
          </cell>
          <cell r="I383">
            <v>0</v>
          </cell>
          <cell r="J383"/>
          <cell r="K383">
            <v>100.70866035851911</v>
          </cell>
        </row>
        <row r="384">
          <cell r="A384">
            <v>6.375</v>
          </cell>
          <cell r="B384">
            <v>101.41669182371787</v>
          </cell>
          <cell r="D384">
            <v>101.41669182371787</v>
          </cell>
          <cell r="E384">
            <v>0.81</v>
          </cell>
          <cell r="G384">
            <v>0</v>
          </cell>
          <cell r="H384">
            <v>100.60669182371787</v>
          </cell>
          <cell r="I384">
            <v>0</v>
          </cell>
          <cell r="J384"/>
          <cell r="K384">
            <v>100.60669182371787</v>
          </cell>
        </row>
        <row r="385">
          <cell r="A385">
            <v>6.25</v>
          </cell>
          <cell r="B385">
            <v>101.33818396092022</v>
          </cell>
          <cell r="D385">
            <v>101.33818396092022</v>
          </cell>
          <cell r="E385">
            <v>0.81</v>
          </cell>
          <cell r="G385">
            <v>0</v>
          </cell>
          <cell r="H385">
            <v>100.52818396092022</v>
          </cell>
          <cell r="I385">
            <v>0</v>
          </cell>
          <cell r="J385"/>
          <cell r="K385">
            <v>100.52818396092022</v>
          </cell>
        </row>
        <row r="386">
          <cell r="A386">
            <v>6.125</v>
          </cell>
          <cell r="B386">
            <v>101.27690182646994</v>
          </cell>
          <cell r="D386">
            <v>101.27690182646994</v>
          </cell>
          <cell r="E386">
            <v>0.81</v>
          </cell>
          <cell r="G386">
            <v>0</v>
          </cell>
          <cell r="H386">
            <v>100.46690182646994</v>
          </cell>
          <cell r="I386">
            <v>0</v>
          </cell>
          <cell r="J386"/>
          <cell r="K386">
            <v>100.46690182646994</v>
          </cell>
        </row>
        <row r="387">
          <cell r="A387">
            <v>6</v>
          </cell>
          <cell r="B387">
            <v>101.22935655993587</v>
          </cell>
          <cell r="D387">
            <v>101.22935655993587</v>
          </cell>
          <cell r="E387">
            <v>0.81</v>
          </cell>
          <cell r="G387">
            <v>0</v>
          </cell>
          <cell r="H387">
            <v>100.41935655993586</v>
          </cell>
          <cell r="I387">
            <v>0</v>
          </cell>
          <cell r="J387"/>
          <cell r="K387">
            <v>100.41935655993586</v>
          </cell>
        </row>
        <row r="388">
          <cell r="A388">
            <v>5.875</v>
          </cell>
          <cell r="B388">
            <v>101.05152907637056</v>
          </cell>
          <cell r="D388">
            <v>101.05152907637056</v>
          </cell>
          <cell r="E388">
            <v>0.81</v>
          </cell>
          <cell r="G388">
            <v>0</v>
          </cell>
          <cell r="H388">
            <v>100.24152907637055</v>
          </cell>
          <cell r="I388">
            <v>0</v>
          </cell>
          <cell r="J388"/>
          <cell r="K388">
            <v>100.24152907637055</v>
          </cell>
        </row>
        <row r="389">
          <cell r="A389">
            <v>5.75</v>
          </cell>
          <cell r="B389">
            <v>100.79233434350417</v>
          </cell>
          <cell r="D389">
            <v>100.79233434350417</v>
          </cell>
          <cell r="E389">
            <v>0.81</v>
          </cell>
          <cell r="G389">
            <v>0</v>
          </cell>
          <cell r="H389">
            <v>99.982334343504164</v>
          </cell>
          <cell r="I389">
            <v>0</v>
          </cell>
          <cell r="J389"/>
          <cell r="K389">
            <v>99.982334343504164</v>
          </cell>
        </row>
        <row r="390">
          <cell r="A390">
            <v>5.625</v>
          </cell>
          <cell r="B390">
            <v>100.57353434350416</v>
          </cell>
          <cell r="D390">
            <v>100.57353434350416</v>
          </cell>
          <cell r="E390">
            <v>0.81</v>
          </cell>
          <cell r="G390">
            <v>0</v>
          </cell>
          <cell r="H390">
            <v>99.763534343504162</v>
          </cell>
          <cell r="I390">
            <v>0</v>
          </cell>
          <cell r="J390"/>
          <cell r="K390">
            <v>99.763534343504162</v>
          </cell>
        </row>
        <row r="391">
          <cell r="A391">
            <v>5.5</v>
          </cell>
          <cell r="B391">
            <v>100.39269719897472</v>
          </cell>
          <cell r="D391">
            <v>100.39269719897472</v>
          </cell>
          <cell r="E391">
            <v>0.81</v>
          </cell>
          <cell r="G391">
            <v>0</v>
          </cell>
          <cell r="H391">
            <v>99.582697198974714</v>
          </cell>
          <cell r="I391">
            <v>0</v>
          </cell>
          <cell r="J391"/>
          <cell r="K391">
            <v>99.582697198974714</v>
          </cell>
        </row>
        <row r="392">
          <cell r="A392">
            <v>5.375</v>
          </cell>
          <cell r="B392">
            <v>100.15395213864768</v>
          </cell>
          <cell r="D392">
            <v>100.15395213864768</v>
          </cell>
          <cell r="E392">
            <v>0.81</v>
          </cell>
          <cell r="G392">
            <v>0</v>
          </cell>
          <cell r="H392">
            <v>99.34395213864768</v>
          </cell>
          <cell r="I392">
            <v>0</v>
          </cell>
          <cell r="J392"/>
          <cell r="K392">
            <v>99.34395213864768</v>
          </cell>
        </row>
        <row r="393">
          <cell r="A393">
            <v>5.25</v>
          </cell>
          <cell r="B393">
            <v>99.877674827269999</v>
          </cell>
          <cell r="D393">
            <v>99.877674827269999</v>
          </cell>
          <cell r="E393">
            <v>0.81</v>
          </cell>
          <cell r="G393">
            <v>0</v>
          </cell>
          <cell r="H393">
            <v>99.067674827269997</v>
          </cell>
          <cell r="I393">
            <v>0</v>
          </cell>
          <cell r="J393"/>
          <cell r="K393">
            <v>99.067674827269997</v>
          </cell>
        </row>
        <row r="394">
          <cell r="A394">
            <v>5.125</v>
          </cell>
          <cell r="B394">
            <v>99.592063289268651</v>
          </cell>
          <cell r="C394"/>
          <cell r="D394">
            <v>99.592063289268651</v>
          </cell>
          <cell r="E394">
            <v>0.81</v>
          </cell>
          <cell r="G394">
            <v>0</v>
          </cell>
          <cell r="H394">
            <v>98.782063289268649</v>
          </cell>
          <cell r="I394">
            <v>0</v>
          </cell>
          <cell r="J394"/>
          <cell r="K394">
            <v>98.782063289268649</v>
          </cell>
        </row>
        <row r="397">
          <cell r="A397">
            <v>7.5</v>
          </cell>
          <cell r="B397">
            <v>102.0178673517777</v>
          </cell>
          <cell r="D397">
            <v>102.0178673517777</v>
          </cell>
          <cell r="E397">
            <v>0.81</v>
          </cell>
          <cell r="F397"/>
          <cell r="G397">
            <v>0</v>
          </cell>
          <cell r="H397">
            <v>101.20786735177769</v>
          </cell>
          <cell r="I397">
            <v>0</v>
          </cell>
          <cell r="J397"/>
          <cell r="K397">
            <v>101.20786735177769</v>
          </cell>
        </row>
        <row r="398">
          <cell r="A398">
            <v>7.375</v>
          </cell>
          <cell r="B398">
            <v>101.99675172391453</v>
          </cell>
          <cell r="D398">
            <v>101.99675172391453</v>
          </cell>
          <cell r="E398">
            <v>0.81</v>
          </cell>
          <cell r="G398">
            <v>0</v>
          </cell>
          <cell r="H398">
            <v>101.18675172391453</v>
          </cell>
          <cell r="I398">
            <v>0</v>
          </cell>
          <cell r="J398"/>
          <cell r="K398">
            <v>101.18675172391453</v>
          </cell>
        </row>
        <row r="399">
          <cell r="A399">
            <v>7.25</v>
          </cell>
          <cell r="B399">
            <v>101.96873593421439</v>
          </cell>
          <cell r="D399">
            <v>101.96873593421439</v>
          </cell>
          <cell r="E399">
            <v>0.81</v>
          </cell>
          <cell r="G399">
            <v>0</v>
          </cell>
          <cell r="H399">
            <v>101.15873593421439</v>
          </cell>
          <cell r="I399">
            <v>0</v>
          </cell>
          <cell r="J399"/>
          <cell r="K399">
            <v>101.15873593421439</v>
          </cell>
        </row>
        <row r="400">
          <cell r="A400">
            <v>7.125</v>
          </cell>
          <cell r="B400">
            <v>101.95396085647523</v>
          </cell>
          <cell r="D400">
            <v>101.95396085647523</v>
          </cell>
          <cell r="E400">
            <v>0.81</v>
          </cell>
          <cell r="G400">
            <v>0</v>
          </cell>
          <cell r="H400">
            <v>101.14396085647523</v>
          </cell>
          <cell r="I400">
            <v>0</v>
          </cell>
          <cell r="J400"/>
          <cell r="K400">
            <v>101.14396085647523</v>
          </cell>
        </row>
        <row r="401">
          <cell r="A401">
            <v>7</v>
          </cell>
          <cell r="B401">
            <v>101.95788224275501</v>
          </cell>
          <cell r="D401">
            <v>101.95788224275501</v>
          </cell>
          <cell r="E401">
            <v>0.81</v>
          </cell>
          <cell r="G401">
            <v>0</v>
          </cell>
          <cell r="H401">
            <v>101.147882242755</v>
          </cell>
          <cell r="I401">
            <v>0</v>
          </cell>
          <cell r="J401"/>
          <cell r="K401">
            <v>101.147882242755</v>
          </cell>
        </row>
        <row r="402">
          <cell r="A402">
            <v>6.875</v>
          </cell>
          <cell r="B402">
            <v>101.94604695999944</v>
          </cell>
          <cell r="D402">
            <v>101.94604695999944</v>
          </cell>
          <cell r="E402">
            <v>0.81</v>
          </cell>
          <cell r="G402">
            <v>0</v>
          </cell>
          <cell r="H402">
            <v>101.13604695999943</v>
          </cell>
          <cell r="I402">
            <v>0</v>
          </cell>
          <cell r="J402"/>
          <cell r="K402">
            <v>101.13604695999943</v>
          </cell>
        </row>
        <row r="403">
          <cell r="A403">
            <v>6.75</v>
          </cell>
          <cell r="B403">
            <v>101.93085094141284</v>
          </cell>
          <cell r="D403">
            <v>101.93085094141284</v>
          </cell>
          <cell r="E403">
            <v>0.81</v>
          </cell>
          <cell r="G403">
            <v>0</v>
          </cell>
          <cell r="H403">
            <v>101.12085094141284</v>
          </cell>
          <cell r="I403">
            <v>0</v>
          </cell>
          <cell r="J403"/>
          <cell r="K403">
            <v>101.12085094141284</v>
          </cell>
        </row>
        <row r="404">
          <cell r="A404">
            <v>6.625</v>
          </cell>
          <cell r="B404">
            <v>101.82641583646738</v>
          </cell>
          <cell r="D404">
            <v>101.82641583646738</v>
          </cell>
          <cell r="E404">
            <v>0.81</v>
          </cell>
          <cell r="G404">
            <v>0</v>
          </cell>
          <cell r="H404">
            <v>101.01641583646737</v>
          </cell>
          <cell r="I404">
            <v>0</v>
          </cell>
          <cell r="J404"/>
          <cell r="K404">
            <v>101.01641583646737</v>
          </cell>
        </row>
        <row r="405">
          <cell r="A405">
            <v>6.5</v>
          </cell>
          <cell r="B405">
            <v>101.67185261204634</v>
          </cell>
          <cell r="D405">
            <v>101.67185261204634</v>
          </cell>
          <cell r="E405">
            <v>0.81</v>
          </cell>
          <cell r="G405">
            <v>0</v>
          </cell>
          <cell r="H405">
            <v>100.86185261204633</v>
          </cell>
          <cell r="I405">
            <v>0</v>
          </cell>
          <cell r="J405"/>
          <cell r="K405">
            <v>100.86185261204633</v>
          </cell>
        </row>
        <row r="406">
          <cell r="A406">
            <v>6.375</v>
          </cell>
          <cell r="B406">
            <v>101.49405185438833</v>
          </cell>
          <cell r="D406">
            <v>101.49405185438833</v>
          </cell>
          <cell r="E406">
            <v>0.81</v>
          </cell>
          <cell r="G406">
            <v>0</v>
          </cell>
          <cell r="H406">
            <v>100.68405185438833</v>
          </cell>
          <cell r="I406">
            <v>0</v>
          </cell>
          <cell r="J406"/>
          <cell r="K406">
            <v>100.68405185438833</v>
          </cell>
        </row>
        <row r="407">
          <cell r="A407">
            <v>6.25</v>
          </cell>
          <cell r="B407">
            <v>101.30634107911546</v>
          </cell>
          <cell r="D407">
            <v>101.30634107911546</v>
          </cell>
          <cell r="E407">
            <v>0.81</v>
          </cell>
          <cell r="G407">
            <v>0</v>
          </cell>
          <cell r="H407">
            <v>100.49634107911545</v>
          </cell>
          <cell r="I407">
            <v>0</v>
          </cell>
          <cell r="J407"/>
          <cell r="K407">
            <v>100.49634107911545</v>
          </cell>
        </row>
        <row r="408">
          <cell r="A408">
            <v>6.125</v>
          </cell>
          <cell r="B408">
            <v>101.15107427107395</v>
          </cell>
          <cell r="D408">
            <v>101.15107427107395</v>
          </cell>
          <cell r="E408">
            <v>0.81</v>
          </cell>
          <cell r="G408">
            <v>0</v>
          </cell>
          <cell r="H408">
            <v>100.34107427107395</v>
          </cell>
          <cell r="I408">
            <v>0</v>
          </cell>
          <cell r="J408"/>
          <cell r="K408">
            <v>100.34107427107395</v>
          </cell>
        </row>
        <row r="409">
          <cell r="A409">
            <v>6</v>
          </cell>
          <cell r="B409">
            <v>101.02250463348196</v>
          </cell>
          <cell r="D409">
            <v>101.02250463348196</v>
          </cell>
          <cell r="E409">
            <v>0.81</v>
          </cell>
          <cell r="G409">
            <v>0</v>
          </cell>
          <cell r="H409">
            <v>100.21250463348196</v>
          </cell>
          <cell r="I409">
            <v>0</v>
          </cell>
          <cell r="J409"/>
          <cell r="K409">
            <v>100.21250463348196</v>
          </cell>
        </row>
        <row r="410">
          <cell r="A410">
            <v>5.875</v>
          </cell>
          <cell r="B410">
            <v>100.79927335327781</v>
          </cell>
          <cell r="D410">
            <v>100.79927335327781</v>
          </cell>
          <cell r="E410">
            <v>0.81</v>
          </cell>
          <cell r="G410">
            <v>0</v>
          </cell>
          <cell r="H410">
            <v>99.98927335327781</v>
          </cell>
          <cell r="I410">
            <v>0</v>
          </cell>
          <cell r="J410"/>
          <cell r="K410">
            <v>99.98927335327781</v>
          </cell>
        </row>
        <row r="411">
          <cell r="A411">
            <v>5.75</v>
          </cell>
          <cell r="B411">
            <v>100.51017335327781</v>
          </cell>
          <cell r="D411">
            <v>100.51017335327781</v>
          </cell>
          <cell r="E411">
            <v>0.81</v>
          </cell>
          <cell r="G411">
            <v>0</v>
          </cell>
          <cell r="H411">
            <v>99.700173353277805</v>
          </cell>
          <cell r="I411">
            <v>0</v>
          </cell>
          <cell r="J411"/>
          <cell r="K411">
            <v>99.700173353277805</v>
          </cell>
        </row>
        <row r="412">
          <cell r="A412">
            <v>5.625</v>
          </cell>
          <cell r="B412">
            <v>100.23840273632591</v>
          </cell>
          <cell r="D412">
            <v>100.23840273632591</v>
          </cell>
          <cell r="E412">
            <v>0.81</v>
          </cell>
          <cell r="G412">
            <v>0</v>
          </cell>
          <cell r="H412">
            <v>99.428402736325907</v>
          </cell>
          <cell r="I412">
            <v>0</v>
          </cell>
          <cell r="J412"/>
          <cell r="K412">
            <v>99.428402736325907</v>
          </cell>
        </row>
        <row r="413">
          <cell r="A413">
            <v>5.5</v>
          </cell>
          <cell r="B413">
            <v>99.968704671574045</v>
          </cell>
          <cell r="D413">
            <v>99.968704671574045</v>
          </cell>
          <cell r="E413">
            <v>0.81</v>
          </cell>
          <cell r="G413">
            <v>0</v>
          </cell>
          <cell r="H413">
            <v>99.158704671574043</v>
          </cell>
          <cell r="I413">
            <v>0</v>
          </cell>
          <cell r="J413"/>
          <cell r="K413">
            <v>99.158704671574043</v>
          </cell>
        </row>
        <row r="414">
          <cell r="A414">
            <v>5.375</v>
          </cell>
          <cell r="B414">
            <v>99.651833196948942</v>
          </cell>
          <cell r="D414">
            <v>99.651833196948942</v>
          </cell>
          <cell r="E414">
            <v>0.81</v>
          </cell>
          <cell r="G414">
            <v>0</v>
          </cell>
          <cell r="H414">
            <v>98.84183319694894</v>
          </cell>
          <cell r="I414">
            <v>0</v>
          </cell>
          <cell r="J414"/>
          <cell r="K414">
            <v>98.84183319694894</v>
          </cell>
        </row>
        <row r="415">
          <cell r="A415">
            <v>5.25</v>
          </cell>
          <cell r="B415">
            <v>99.306854052145226</v>
          </cell>
          <cell r="D415">
            <v>99.306854052145226</v>
          </cell>
          <cell r="E415">
            <v>0.81</v>
          </cell>
          <cell r="G415">
            <v>0</v>
          </cell>
          <cell r="H415">
            <v>98.496854052145224</v>
          </cell>
          <cell r="I415">
            <v>0</v>
          </cell>
          <cell r="J415"/>
          <cell r="K415">
            <v>98.496854052145224</v>
          </cell>
        </row>
        <row r="416">
          <cell r="A416">
            <v>5.125</v>
          </cell>
          <cell r="B416">
            <v>98.891395077364365</v>
          </cell>
          <cell r="C416"/>
          <cell r="D416">
            <v>98.891395077364365</v>
          </cell>
          <cell r="E416">
            <v>0.81</v>
          </cell>
          <cell r="G416">
            <v>0</v>
          </cell>
          <cell r="H416">
            <v>98.081395077364363</v>
          </cell>
          <cell r="I416">
            <v>0</v>
          </cell>
          <cell r="J416"/>
          <cell r="K416">
            <v>98.081395077364363</v>
          </cell>
        </row>
        <row r="419">
          <cell r="A419">
            <v>7.5</v>
          </cell>
          <cell r="B419">
            <v>102.43711612802724</v>
          </cell>
          <cell r="D419">
            <v>102.43711612802724</v>
          </cell>
          <cell r="E419">
            <v>0.56000000000000005</v>
          </cell>
          <cell r="F419"/>
          <cell r="G419">
            <v>0</v>
          </cell>
          <cell r="H419">
            <v>101.87711612802724</v>
          </cell>
          <cell r="I419">
            <v>0</v>
          </cell>
          <cell r="J419"/>
          <cell r="K419">
            <v>101.87711612802724</v>
          </cell>
        </row>
        <row r="420">
          <cell r="A420">
            <v>7.375</v>
          </cell>
          <cell r="B420">
            <v>102.24080103797121</v>
          </cell>
          <cell r="D420">
            <v>102.24080103797121</v>
          </cell>
          <cell r="E420">
            <v>0.56000000000000005</v>
          </cell>
          <cell r="G420">
            <v>0</v>
          </cell>
          <cell r="H420">
            <v>101.68080103797121</v>
          </cell>
          <cell r="I420">
            <v>0</v>
          </cell>
          <cell r="J420"/>
          <cell r="K420">
            <v>101.68080103797121</v>
          </cell>
        </row>
        <row r="421">
          <cell r="A421">
            <v>7.25</v>
          </cell>
          <cell r="B421">
            <v>102.05790315116975</v>
          </cell>
          <cell r="D421">
            <v>102.05790315116975</v>
          </cell>
          <cell r="E421">
            <v>0.56000000000000005</v>
          </cell>
          <cell r="G421">
            <v>0</v>
          </cell>
          <cell r="H421">
            <v>101.49790315116975</v>
          </cell>
          <cell r="I421">
            <v>0</v>
          </cell>
          <cell r="J421"/>
          <cell r="K421">
            <v>101.49790315116975</v>
          </cell>
        </row>
        <row r="422">
          <cell r="A422">
            <v>7.125</v>
          </cell>
          <cell r="B422">
            <v>102.0286149878191</v>
          </cell>
          <cell r="D422">
            <v>102.0286149878191</v>
          </cell>
          <cell r="E422">
            <v>0.56000000000000005</v>
          </cell>
          <cell r="G422">
            <v>0</v>
          </cell>
          <cell r="H422">
            <v>101.46861498781909</v>
          </cell>
          <cell r="I422">
            <v>0</v>
          </cell>
          <cell r="J422"/>
          <cell r="K422">
            <v>101.46861498781909</v>
          </cell>
        </row>
        <row r="423">
          <cell r="A423">
            <v>7</v>
          </cell>
          <cell r="B423">
            <v>102.09380554166583</v>
          </cell>
          <cell r="D423">
            <v>102.09380554166583</v>
          </cell>
          <cell r="E423">
            <v>0.56000000000000005</v>
          </cell>
          <cell r="G423">
            <v>0</v>
          </cell>
          <cell r="H423">
            <v>101.53380554166583</v>
          </cell>
          <cell r="I423">
            <v>0</v>
          </cell>
          <cell r="J423"/>
          <cell r="K423">
            <v>101.53380554166583</v>
          </cell>
        </row>
        <row r="424">
          <cell r="A424">
            <v>6.875</v>
          </cell>
          <cell r="B424">
            <v>102.15940967497986</v>
          </cell>
          <cell r="D424">
            <v>102.15940967497986</v>
          </cell>
          <cell r="E424">
            <v>0.56000000000000005</v>
          </cell>
          <cell r="G424">
            <v>0</v>
          </cell>
          <cell r="H424">
            <v>101.59940967497985</v>
          </cell>
          <cell r="I424">
            <v>0</v>
          </cell>
          <cell r="J424"/>
          <cell r="K424">
            <v>101.59940967497985</v>
          </cell>
        </row>
        <row r="425">
          <cell r="A425">
            <v>6.75</v>
          </cell>
          <cell r="B425">
            <v>102.23460902465077</v>
          </cell>
          <cell r="D425">
            <v>102.23460902465077</v>
          </cell>
          <cell r="E425">
            <v>0.56000000000000005</v>
          </cell>
          <cell r="G425">
            <v>0</v>
          </cell>
          <cell r="H425">
            <v>101.67460902465076</v>
          </cell>
          <cell r="I425">
            <v>0</v>
          </cell>
          <cell r="J425"/>
          <cell r="K425">
            <v>101.67460902465076</v>
          </cell>
        </row>
        <row r="426">
          <cell r="A426">
            <v>6.625</v>
          </cell>
          <cell r="B426">
            <v>102.23449028202918</v>
          </cell>
          <cell r="D426">
            <v>102.23449028202918</v>
          </cell>
          <cell r="E426">
            <v>0.56000000000000005</v>
          </cell>
          <cell r="G426">
            <v>0</v>
          </cell>
          <cell r="H426">
            <v>101.67449028202918</v>
          </cell>
          <cell r="I426">
            <v>0</v>
          </cell>
          <cell r="J426"/>
          <cell r="K426">
            <v>101.67449028202918</v>
          </cell>
        </row>
        <row r="427">
          <cell r="A427">
            <v>6.5</v>
          </cell>
          <cell r="B427">
            <v>102.19873496040069</v>
          </cell>
          <cell r="D427">
            <v>102.19873496040069</v>
          </cell>
          <cell r="E427">
            <v>0.56000000000000005</v>
          </cell>
          <cell r="G427">
            <v>0</v>
          </cell>
          <cell r="H427">
            <v>101.63873496040068</v>
          </cell>
          <cell r="I427">
            <v>0</v>
          </cell>
          <cell r="J427"/>
          <cell r="K427">
            <v>101.63873496040068</v>
          </cell>
        </row>
        <row r="428">
          <cell r="A428">
            <v>6.375</v>
          </cell>
          <cell r="B428">
            <v>102.16240347867478</v>
          </cell>
          <cell r="D428">
            <v>102.16240347867478</v>
          </cell>
          <cell r="E428">
            <v>0.56000000000000005</v>
          </cell>
          <cell r="G428">
            <v>0</v>
          </cell>
          <cell r="H428">
            <v>101.60240347867477</v>
          </cell>
          <cell r="I428">
            <v>0</v>
          </cell>
          <cell r="J428"/>
          <cell r="K428">
            <v>101.60240347867477</v>
          </cell>
        </row>
        <row r="429">
          <cell r="A429">
            <v>6.25</v>
          </cell>
          <cell r="B429">
            <v>102.13368113263114</v>
          </cell>
          <cell r="D429">
            <v>102.13368113263114</v>
          </cell>
          <cell r="E429">
            <v>0.56000000000000005</v>
          </cell>
          <cell r="G429">
            <v>0</v>
          </cell>
          <cell r="H429">
            <v>101.57368113263114</v>
          </cell>
          <cell r="I429">
            <v>0</v>
          </cell>
          <cell r="J429"/>
          <cell r="K429">
            <v>101.57368113263114</v>
          </cell>
        </row>
        <row r="430">
          <cell r="A430">
            <v>6.125</v>
          </cell>
          <cell r="B430">
            <v>101.93315406954108</v>
          </cell>
          <cell r="D430">
            <v>101.93315406954108</v>
          </cell>
          <cell r="E430">
            <v>0.56000000000000005</v>
          </cell>
          <cell r="G430">
            <v>0</v>
          </cell>
          <cell r="H430">
            <v>101.37315406954107</v>
          </cell>
          <cell r="I430">
            <v>0</v>
          </cell>
          <cell r="J430"/>
          <cell r="K430">
            <v>101.37315406954107</v>
          </cell>
        </row>
        <row r="431">
          <cell r="A431">
            <v>6</v>
          </cell>
          <cell r="B431">
            <v>101.64025803371827</v>
          </cell>
          <cell r="D431">
            <v>101.64025803371827</v>
          </cell>
          <cell r="E431">
            <v>0.56000000000000005</v>
          </cell>
          <cell r="G431">
            <v>0</v>
          </cell>
          <cell r="H431">
            <v>101.08025803371827</v>
          </cell>
          <cell r="I431">
            <v>0</v>
          </cell>
          <cell r="J431"/>
          <cell r="K431">
            <v>101.08025803371827</v>
          </cell>
        </row>
        <row r="432">
          <cell r="A432">
            <v>5.875</v>
          </cell>
          <cell r="B432">
            <v>101.3462631049516</v>
          </cell>
          <cell r="D432">
            <v>101.3462631049516</v>
          </cell>
          <cell r="E432">
            <v>0.56000000000000005</v>
          </cell>
          <cell r="G432">
            <v>0</v>
          </cell>
          <cell r="H432">
            <v>100.7862631049516</v>
          </cell>
          <cell r="I432">
            <v>0</v>
          </cell>
          <cell r="J432"/>
          <cell r="K432">
            <v>100.7862631049516</v>
          </cell>
        </row>
        <row r="433">
          <cell r="A433">
            <v>5.75</v>
          </cell>
          <cell r="B433">
            <v>101.05113004948737</v>
          </cell>
          <cell r="D433">
            <v>101.05113004948737</v>
          </cell>
          <cell r="E433">
            <v>0.56000000000000005</v>
          </cell>
          <cell r="G433">
            <v>0</v>
          </cell>
          <cell r="H433">
            <v>100.49113004948737</v>
          </cell>
          <cell r="I433">
            <v>0</v>
          </cell>
          <cell r="J433"/>
          <cell r="K433">
            <v>100.49113004948737</v>
          </cell>
        </row>
        <row r="434">
          <cell r="A434">
            <v>5.625</v>
          </cell>
          <cell r="B434">
            <v>100.73115447452531</v>
          </cell>
          <cell r="D434">
            <v>100.73115447452531</v>
          </cell>
          <cell r="E434">
            <v>0.56000000000000005</v>
          </cell>
          <cell r="G434">
            <v>0</v>
          </cell>
          <cell r="H434">
            <v>100.17115447452531</v>
          </cell>
          <cell r="I434">
            <v>0</v>
          </cell>
          <cell r="J434"/>
          <cell r="K434">
            <v>100.17115447452531</v>
          </cell>
        </row>
        <row r="435">
          <cell r="A435">
            <v>5.5</v>
          </cell>
          <cell r="B435">
            <v>100.39696296189078</v>
          </cell>
          <cell r="D435">
            <v>100.39696296189078</v>
          </cell>
          <cell r="E435">
            <v>0.56000000000000005</v>
          </cell>
          <cell r="G435">
            <v>0</v>
          </cell>
          <cell r="H435">
            <v>99.836962961890777</v>
          </cell>
          <cell r="I435">
            <v>0</v>
          </cell>
          <cell r="J435"/>
          <cell r="K435">
            <v>99.836962961890777</v>
          </cell>
        </row>
        <row r="436">
          <cell r="A436">
            <v>5.375</v>
          </cell>
          <cell r="B436">
            <v>100.06287125950038</v>
          </cell>
          <cell r="D436">
            <v>100.06287125950038</v>
          </cell>
          <cell r="E436">
            <v>0.56000000000000005</v>
          </cell>
          <cell r="G436">
            <v>0</v>
          </cell>
          <cell r="H436">
            <v>99.502871259500381</v>
          </cell>
          <cell r="I436">
            <v>0</v>
          </cell>
          <cell r="J436"/>
          <cell r="K436">
            <v>99.502871259500381</v>
          </cell>
        </row>
        <row r="437">
          <cell r="A437">
            <v>5.25</v>
          </cell>
          <cell r="B437">
            <v>99.731277809736241</v>
          </cell>
          <cell r="D437">
            <v>99.731277809736241</v>
          </cell>
          <cell r="E437">
            <v>0.56000000000000005</v>
          </cell>
          <cell r="G437">
            <v>0</v>
          </cell>
          <cell r="H437">
            <v>99.171277809736239</v>
          </cell>
          <cell r="I437">
            <v>0</v>
          </cell>
          <cell r="J437"/>
          <cell r="K437">
            <v>99.171277809736239</v>
          </cell>
        </row>
        <row r="438">
          <cell r="A438">
            <v>5.125</v>
          </cell>
          <cell r="B438">
            <v>99.427469101209752</v>
          </cell>
          <cell r="C438"/>
          <cell r="D438">
            <v>99.427469101209752</v>
          </cell>
          <cell r="E438">
            <v>0.56000000000000005</v>
          </cell>
          <cell r="G438">
            <v>0</v>
          </cell>
          <cell r="H438">
            <v>98.86746910120975</v>
          </cell>
          <cell r="I438">
            <v>0</v>
          </cell>
          <cell r="J438"/>
          <cell r="K438">
            <v>98.86746910120975</v>
          </cell>
        </row>
        <row r="441">
          <cell r="A441">
            <v>7.5</v>
          </cell>
          <cell r="B441">
            <v>101.98182898254933</v>
          </cell>
          <cell r="D441">
            <v>101.98182898254933</v>
          </cell>
          <cell r="E441">
            <v>0.56000000000000005</v>
          </cell>
          <cell r="F441"/>
          <cell r="G441">
            <v>0</v>
          </cell>
          <cell r="H441">
            <v>101.42182898254933</v>
          </cell>
          <cell r="I441">
            <v>0</v>
          </cell>
          <cell r="J441"/>
          <cell r="K441">
            <v>101.42182898254933</v>
          </cell>
        </row>
        <row r="442">
          <cell r="A442">
            <v>7.375</v>
          </cell>
          <cell r="B442">
            <v>102.03021800338736</v>
          </cell>
          <cell r="D442">
            <v>102.03021800338736</v>
          </cell>
          <cell r="E442">
            <v>0.56000000000000005</v>
          </cell>
          <cell r="G442">
            <v>0</v>
          </cell>
          <cell r="H442">
            <v>101.47021800338736</v>
          </cell>
          <cell r="I442">
            <v>0</v>
          </cell>
          <cell r="J442"/>
          <cell r="K442">
            <v>101.47021800338736</v>
          </cell>
        </row>
        <row r="443">
          <cell r="A443">
            <v>7.25</v>
          </cell>
          <cell r="B443">
            <v>102.05988825324336</v>
          </cell>
          <cell r="D443">
            <v>102.05988825324336</v>
          </cell>
          <cell r="E443">
            <v>0.56000000000000005</v>
          </cell>
          <cell r="G443">
            <v>0</v>
          </cell>
          <cell r="H443">
            <v>101.49988825324336</v>
          </cell>
          <cell r="I443">
            <v>0</v>
          </cell>
          <cell r="J443"/>
          <cell r="K443">
            <v>101.49988825324336</v>
          </cell>
        </row>
        <row r="444">
          <cell r="A444">
            <v>7.125</v>
          </cell>
          <cell r="B444">
            <v>102.15668288304329</v>
          </cell>
          <cell r="D444">
            <v>102.15668288304329</v>
          </cell>
          <cell r="E444">
            <v>0.56000000000000005</v>
          </cell>
          <cell r="G444">
            <v>0</v>
          </cell>
          <cell r="H444">
            <v>101.59668288304329</v>
          </cell>
          <cell r="I444">
            <v>0</v>
          </cell>
          <cell r="J444"/>
          <cell r="K444">
            <v>101.59668288304329</v>
          </cell>
        </row>
        <row r="445">
          <cell r="A445">
            <v>7</v>
          </cell>
          <cell r="B445">
            <v>102.28964907326123</v>
          </cell>
          <cell r="D445">
            <v>102.28964907326123</v>
          </cell>
          <cell r="E445">
            <v>0.56000000000000005</v>
          </cell>
          <cell r="G445">
            <v>0</v>
          </cell>
          <cell r="H445">
            <v>101.72964907326123</v>
          </cell>
          <cell r="I445">
            <v>0</v>
          </cell>
          <cell r="J445"/>
          <cell r="K445">
            <v>101.72964907326123</v>
          </cell>
        </row>
        <row r="446">
          <cell r="A446">
            <v>6.875</v>
          </cell>
          <cell r="B446">
            <v>102.46482567830158</v>
          </cell>
          <cell r="D446">
            <v>102.46482567830158</v>
          </cell>
          <cell r="E446">
            <v>0.56000000000000005</v>
          </cell>
          <cell r="G446">
            <v>0</v>
          </cell>
          <cell r="H446">
            <v>101.90482567830158</v>
          </cell>
          <cell r="I446">
            <v>0</v>
          </cell>
          <cell r="J446"/>
          <cell r="K446">
            <v>101.90482567830158</v>
          </cell>
        </row>
        <row r="447">
          <cell r="A447">
            <v>6.75</v>
          </cell>
          <cell r="B447">
            <v>102.60430002436351</v>
          </cell>
          <cell r="D447">
            <v>102.60430002436351</v>
          </cell>
          <cell r="E447">
            <v>0.56000000000000005</v>
          </cell>
          <cell r="G447">
            <v>0</v>
          </cell>
          <cell r="H447">
            <v>102.04430002436351</v>
          </cell>
          <cell r="I447">
            <v>0</v>
          </cell>
          <cell r="J447"/>
          <cell r="K447">
            <v>102.04430002436351</v>
          </cell>
        </row>
        <row r="448">
          <cell r="A448">
            <v>6.625</v>
          </cell>
          <cell r="B448">
            <v>102.45107475000631</v>
          </cell>
          <cell r="D448">
            <v>102.45107475000631</v>
          </cell>
          <cell r="E448">
            <v>0.56000000000000005</v>
          </cell>
          <cell r="G448">
            <v>0</v>
          </cell>
          <cell r="H448">
            <v>101.89107475000631</v>
          </cell>
          <cell r="I448">
            <v>0</v>
          </cell>
          <cell r="J448"/>
          <cell r="K448">
            <v>101.89107475000631</v>
          </cell>
        </row>
        <row r="449">
          <cell r="A449">
            <v>6.5</v>
          </cell>
          <cell r="B449">
            <v>102.28515899452685</v>
          </cell>
          <cell r="D449">
            <v>102.28515899452685</v>
          </cell>
          <cell r="E449">
            <v>0.56000000000000005</v>
          </cell>
          <cell r="G449">
            <v>0</v>
          </cell>
          <cell r="H449">
            <v>101.72515899452685</v>
          </cell>
          <cell r="I449">
            <v>0</v>
          </cell>
          <cell r="J449"/>
          <cell r="K449">
            <v>101.72515899452685</v>
          </cell>
        </row>
        <row r="450">
          <cell r="A450">
            <v>6.375</v>
          </cell>
          <cell r="B450">
            <v>102.12176035851911</v>
          </cell>
          <cell r="D450">
            <v>102.12176035851911</v>
          </cell>
          <cell r="E450">
            <v>0.56000000000000005</v>
          </cell>
          <cell r="G450">
            <v>0</v>
          </cell>
          <cell r="H450">
            <v>101.56176035851911</v>
          </cell>
          <cell r="I450">
            <v>0</v>
          </cell>
          <cell r="J450"/>
          <cell r="K450">
            <v>101.56176035851911</v>
          </cell>
        </row>
        <row r="451">
          <cell r="A451">
            <v>6.25</v>
          </cell>
          <cell r="B451">
            <v>101.93079182371787</v>
          </cell>
          <cell r="D451">
            <v>101.93079182371787</v>
          </cell>
          <cell r="E451">
            <v>0.56000000000000005</v>
          </cell>
          <cell r="G451">
            <v>0</v>
          </cell>
          <cell r="H451">
            <v>101.37079182371787</v>
          </cell>
          <cell r="I451">
            <v>0</v>
          </cell>
          <cell r="J451"/>
          <cell r="K451">
            <v>101.37079182371787</v>
          </cell>
        </row>
        <row r="452">
          <cell r="A452">
            <v>6.125</v>
          </cell>
          <cell r="B452">
            <v>101.70618396092023</v>
          </cell>
          <cell r="D452">
            <v>101.70618396092023</v>
          </cell>
          <cell r="E452">
            <v>0.56000000000000005</v>
          </cell>
          <cell r="G452">
            <v>0</v>
          </cell>
          <cell r="H452">
            <v>101.14618396092023</v>
          </cell>
          <cell r="I452">
            <v>0</v>
          </cell>
          <cell r="J452"/>
          <cell r="K452">
            <v>101.14618396092023</v>
          </cell>
        </row>
        <row r="453">
          <cell r="A453">
            <v>6</v>
          </cell>
          <cell r="B453">
            <v>101.42010182646995</v>
          </cell>
          <cell r="D453">
            <v>101.42010182646995</v>
          </cell>
          <cell r="E453">
            <v>0.56000000000000005</v>
          </cell>
          <cell r="G453">
            <v>0</v>
          </cell>
          <cell r="H453">
            <v>100.86010182646994</v>
          </cell>
          <cell r="I453">
            <v>0</v>
          </cell>
          <cell r="J453"/>
          <cell r="K453">
            <v>100.86010182646994</v>
          </cell>
        </row>
        <row r="454">
          <cell r="A454">
            <v>5.875</v>
          </cell>
          <cell r="B454">
            <v>101.16225655993587</v>
          </cell>
          <cell r="D454">
            <v>101.16225655993587</v>
          </cell>
          <cell r="E454">
            <v>0.56000000000000005</v>
          </cell>
          <cell r="G454">
            <v>0</v>
          </cell>
          <cell r="H454">
            <v>100.60225655993587</v>
          </cell>
          <cell r="I454">
            <v>0</v>
          </cell>
          <cell r="J454"/>
          <cell r="K454">
            <v>100.60225655993587</v>
          </cell>
        </row>
        <row r="455">
          <cell r="A455">
            <v>5.75</v>
          </cell>
          <cell r="B455">
            <v>100.87862907637056</v>
          </cell>
          <cell r="D455">
            <v>100.87862907637056</v>
          </cell>
          <cell r="E455">
            <v>0.56000000000000005</v>
          </cell>
          <cell r="G455">
            <v>0</v>
          </cell>
          <cell r="H455">
            <v>100.31862907637056</v>
          </cell>
          <cell r="I455">
            <v>0</v>
          </cell>
          <cell r="J455"/>
          <cell r="K455">
            <v>100.31862907637056</v>
          </cell>
        </row>
        <row r="456">
          <cell r="A456">
            <v>5.625</v>
          </cell>
          <cell r="B456">
            <v>100.60403434350417</v>
          </cell>
          <cell r="D456">
            <v>100.60403434350417</v>
          </cell>
          <cell r="E456">
            <v>0.56000000000000005</v>
          </cell>
          <cell r="G456">
            <v>0</v>
          </cell>
          <cell r="H456">
            <v>100.04403434350417</v>
          </cell>
          <cell r="I456">
            <v>0</v>
          </cell>
          <cell r="J456"/>
          <cell r="K456">
            <v>100.04403434350417</v>
          </cell>
        </row>
        <row r="457">
          <cell r="A457">
            <v>5.5</v>
          </cell>
          <cell r="B457">
            <v>100.34803434350417</v>
          </cell>
          <cell r="D457">
            <v>100.34803434350417</v>
          </cell>
          <cell r="E457">
            <v>0.56000000000000005</v>
          </cell>
          <cell r="G457">
            <v>0</v>
          </cell>
          <cell r="H457">
            <v>99.788034343504165</v>
          </cell>
          <cell r="I457">
            <v>0</v>
          </cell>
          <cell r="J457"/>
          <cell r="K457">
            <v>99.788034343504165</v>
          </cell>
        </row>
        <row r="458">
          <cell r="A458">
            <v>5.375</v>
          </cell>
          <cell r="B458">
            <v>100.13269719897471</v>
          </cell>
          <cell r="D458">
            <v>100.13269719897471</v>
          </cell>
          <cell r="E458">
            <v>0.56000000000000005</v>
          </cell>
          <cell r="G458">
            <v>0</v>
          </cell>
          <cell r="H458">
            <v>99.572697198974708</v>
          </cell>
          <cell r="I458">
            <v>0</v>
          </cell>
          <cell r="J458"/>
          <cell r="K458">
            <v>99.572697198974708</v>
          </cell>
        </row>
        <row r="459">
          <cell r="A459">
            <v>5.25</v>
          </cell>
          <cell r="B459">
            <v>99.781652138647686</v>
          </cell>
          <cell r="D459">
            <v>99.781652138647686</v>
          </cell>
          <cell r="E459">
            <v>0.56000000000000005</v>
          </cell>
          <cell r="G459">
            <v>0</v>
          </cell>
          <cell r="H459">
            <v>99.221652138647684</v>
          </cell>
          <cell r="I459">
            <v>0</v>
          </cell>
          <cell r="J459"/>
          <cell r="K459">
            <v>99.221652138647684</v>
          </cell>
        </row>
        <row r="460">
          <cell r="A460">
            <v>5.125</v>
          </cell>
          <cell r="B460">
            <v>99.434674827270001</v>
          </cell>
          <cell r="C460"/>
          <cell r="D460">
            <v>99.434674827270001</v>
          </cell>
          <cell r="E460">
            <v>0.56000000000000005</v>
          </cell>
          <cell r="G460">
            <v>0</v>
          </cell>
          <cell r="H460">
            <v>98.874674827269999</v>
          </cell>
          <cell r="I460">
            <v>0</v>
          </cell>
          <cell r="J460"/>
          <cell r="K460">
            <v>98.874674827269999</v>
          </cell>
        </row>
        <row r="463">
          <cell r="A463">
            <v>7.5</v>
          </cell>
          <cell r="B463">
            <v>100.66092871054198</v>
          </cell>
          <cell r="D463">
            <v>100.66092871054198</v>
          </cell>
          <cell r="E463">
            <v>0.56000000000000005</v>
          </cell>
          <cell r="F463"/>
          <cell r="G463">
            <v>0</v>
          </cell>
          <cell r="H463">
            <v>100.10092871054198</v>
          </cell>
          <cell r="I463">
            <v>0</v>
          </cell>
          <cell r="J463"/>
          <cell r="K463">
            <v>100.10092871054198</v>
          </cell>
        </row>
        <row r="464">
          <cell r="A464">
            <v>7.375</v>
          </cell>
          <cell r="B464">
            <v>100.6460673517777</v>
          </cell>
          <cell r="D464">
            <v>100.6460673517777</v>
          </cell>
          <cell r="E464">
            <v>0.56000000000000005</v>
          </cell>
          <cell r="G464">
            <v>0</v>
          </cell>
          <cell r="H464">
            <v>100.0860673517777</v>
          </cell>
          <cell r="I464">
            <v>0</v>
          </cell>
          <cell r="J464"/>
          <cell r="K464">
            <v>100.0860673517777</v>
          </cell>
        </row>
        <row r="465">
          <cell r="A465">
            <v>7.25</v>
          </cell>
          <cell r="B465">
            <v>100.61785172391453</v>
          </cell>
          <cell r="D465">
            <v>100.61785172391453</v>
          </cell>
          <cell r="E465">
            <v>0.56000000000000005</v>
          </cell>
          <cell r="G465">
            <v>0</v>
          </cell>
          <cell r="H465">
            <v>100.05785172391452</v>
          </cell>
          <cell r="I465">
            <v>0</v>
          </cell>
          <cell r="J465"/>
          <cell r="K465">
            <v>100.05785172391452</v>
          </cell>
        </row>
        <row r="466">
          <cell r="A466">
            <v>7.125</v>
          </cell>
          <cell r="B466">
            <v>100.8678359342144</v>
          </cell>
          <cell r="D466">
            <v>100.8678359342144</v>
          </cell>
          <cell r="E466">
            <v>0.56000000000000005</v>
          </cell>
          <cell r="G466">
            <v>0</v>
          </cell>
          <cell r="H466">
            <v>100.3078359342144</v>
          </cell>
          <cell r="I466">
            <v>0</v>
          </cell>
          <cell r="J466"/>
          <cell r="K466">
            <v>100.3078359342144</v>
          </cell>
        </row>
        <row r="467">
          <cell r="A467">
            <v>7</v>
          </cell>
          <cell r="B467">
            <v>101.27406085647523</v>
          </cell>
          <cell r="D467">
            <v>101.27406085647523</v>
          </cell>
          <cell r="E467">
            <v>0.56000000000000005</v>
          </cell>
          <cell r="G467">
            <v>0</v>
          </cell>
          <cell r="H467">
            <v>100.71406085647523</v>
          </cell>
          <cell r="I467">
            <v>0</v>
          </cell>
          <cell r="J467"/>
          <cell r="K467">
            <v>100.71406085647523</v>
          </cell>
        </row>
        <row r="468">
          <cell r="A468">
            <v>6.875</v>
          </cell>
          <cell r="B468">
            <v>101.68958224275501</v>
          </cell>
          <cell r="D468">
            <v>101.68958224275501</v>
          </cell>
          <cell r="E468">
            <v>0.56000000000000005</v>
          </cell>
          <cell r="G468">
            <v>0</v>
          </cell>
          <cell r="H468">
            <v>101.12958224275501</v>
          </cell>
          <cell r="I468">
            <v>0</v>
          </cell>
          <cell r="J468"/>
          <cell r="K468">
            <v>101.12958224275501</v>
          </cell>
        </row>
        <row r="469">
          <cell r="A469">
            <v>6.75</v>
          </cell>
          <cell r="B469">
            <v>102.09414695999943</v>
          </cell>
          <cell r="D469">
            <v>102.09414695999943</v>
          </cell>
          <cell r="E469">
            <v>0.56000000000000005</v>
          </cell>
          <cell r="G469">
            <v>0</v>
          </cell>
          <cell r="H469">
            <v>101.53414695999943</v>
          </cell>
          <cell r="I469">
            <v>0</v>
          </cell>
          <cell r="J469"/>
          <cell r="K469">
            <v>101.53414695999943</v>
          </cell>
        </row>
        <row r="470">
          <cell r="A470">
            <v>6.625</v>
          </cell>
          <cell r="B470">
            <v>102.17035094141283</v>
          </cell>
          <cell r="D470">
            <v>102.17035094141283</v>
          </cell>
          <cell r="E470">
            <v>0.56000000000000005</v>
          </cell>
          <cell r="G470">
            <v>0</v>
          </cell>
          <cell r="H470">
            <v>101.61035094141283</v>
          </cell>
          <cell r="I470">
            <v>0</v>
          </cell>
          <cell r="J470"/>
          <cell r="K470">
            <v>101.61035094141283</v>
          </cell>
        </row>
        <row r="471">
          <cell r="A471">
            <v>6.5</v>
          </cell>
          <cell r="B471">
            <v>102.06241583646738</v>
          </cell>
          <cell r="D471">
            <v>102.06241583646738</v>
          </cell>
          <cell r="E471">
            <v>0.56000000000000005</v>
          </cell>
          <cell r="G471">
            <v>0</v>
          </cell>
          <cell r="H471">
            <v>101.50241583646738</v>
          </cell>
          <cell r="I471">
            <v>0</v>
          </cell>
          <cell r="J471"/>
          <cell r="K471">
            <v>101.50241583646738</v>
          </cell>
        </row>
        <row r="472">
          <cell r="A472">
            <v>6.375</v>
          </cell>
          <cell r="B472">
            <v>101.96275261204633</v>
          </cell>
          <cell r="D472">
            <v>101.96275261204633</v>
          </cell>
          <cell r="E472">
            <v>0.56000000000000005</v>
          </cell>
          <cell r="G472">
            <v>0</v>
          </cell>
          <cell r="H472">
            <v>101.40275261204633</v>
          </cell>
          <cell r="I472">
            <v>0</v>
          </cell>
          <cell r="J472"/>
          <cell r="K472">
            <v>101.40275261204633</v>
          </cell>
        </row>
        <row r="473">
          <cell r="A473">
            <v>6.25</v>
          </cell>
          <cell r="B473">
            <v>101.85385185438834</v>
          </cell>
          <cell r="D473">
            <v>101.85385185438834</v>
          </cell>
          <cell r="E473">
            <v>0.56000000000000005</v>
          </cell>
          <cell r="G473">
            <v>0</v>
          </cell>
          <cell r="H473">
            <v>101.29385185438834</v>
          </cell>
          <cell r="I473">
            <v>0</v>
          </cell>
          <cell r="J473"/>
          <cell r="K473">
            <v>101.29385185438834</v>
          </cell>
        </row>
        <row r="474">
          <cell r="A474">
            <v>6.125</v>
          </cell>
          <cell r="B474">
            <v>101.57344107911545</v>
          </cell>
          <cell r="D474">
            <v>101.57344107911545</v>
          </cell>
          <cell r="E474">
            <v>0.56000000000000005</v>
          </cell>
          <cell r="G474">
            <v>0</v>
          </cell>
          <cell r="H474">
            <v>101.01344107911545</v>
          </cell>
          <cell r="I474">
            <v>0</v>
          </cell>
          <cell r="J474"/>
          <cell r="K474">
            <v>101.01344107911545</v>
          </cell>
        </row>
        <row r="475">
          <cell r="A475">
            <v>6</v>
          </cell>
          <cell r="B475">
            <v>101.19567427107395</v>
          </cell>
          <cell r="D475">
            <v>101.19567427107395</v>
          </cell>
          <cell r="E475">
            <v>0.56000000000000005</v>
          </cell>
          <cell r="G475">
            <v>0</v>
          </cell>
          <cell r="H475">
            <v>100.63567427107395</v>
          </cell>
          <cell r="I475">
            <v>0</v>
          </cell>
          <cell r="J475"/>
          <cell r="K475">
            <v>100.63567427107395</v>
          </cell>
        </row>
        <row r="476">
          <cell r="A476">
            <v>5.875</v>
          </cell>
          <cell r="B476">
            <v>100.82270463348196</v>
          </cell>
          <cell r="D476">
            <v>100.82270463348196</v>
          </cell>
          <cell r="E476">
            <v>0.56000000000000005</v>
          </cell>
          <cell r="G476">
            <v>0</v>
          </cell>
          <cell r="H476">
            <v>100.26270463348196</v>
          </cell>
          <cell r="I476">
            <v>0</v>
          </cell>
          <cell r="J476"/>
          <cell r="K476">
            <v>100.26270463348196</v>
          </cell>
        </row>
        <row r="477">
          <cell r="A477">
            <v>5.75</v>
          </cell>
          <cell r="B477">
            <v>100.44417335327782</v>
          </cell>
          <cell r="D477">
            <v>100.44417335327782</v>
          </cell>
          <cell r="E477">
            <v>0.56000000000000005</v>
          </cell>
          <cell r="G477">
            <v>0</v>
          </cell>
          <cell r="H477">
            <v>99.884173353277816</v>
          </cell>
          <cell r="I477">
            <v>0</v>
          </cell>
          <cell r="J477"/>
          <cell r="K477">
            <v>99.884173353277816</v>
          </cell>
        </row>
        <row r="478">
          <cell r="A478">
            <v>5.625</v>
          </cell>
          <cell r="B478">
            <v>100.05317335327781</v>
          </cell>
          <cell r="D478">
            <v>100.05317335327781</v>
          </cell>
          <cell r="E478">
            <v>0.56000000000000005</v>
          </cell>
          <cell r="G478">
            <v>0</v>
          </cell>
          <cell r="H478">
            <v>99.493173353277811</v>
          </cell>
          <cell r="I478">
            <v>0</v>
          </cell>
          <cell r="J478"/>
          <cell r="K478">
            <v>99.493173353277811</v>
          </cell>
        </row>
        <row r="479">
          <cell r="A479">
            <v>5.5</v>
          </cell>
          <cell r="B479">
            <v>99.672802736325906</v>
          </cell>
          <cell r="D479">
            <v>99.672802736325906</v>
          </cell>
          <cell r="E479">
            <v>0.56000000000000005</v>
          </cell>
          <cell r="G479">
            <v>0</v>
          </cell>
          <cell r="H479">
            <v>99.112802736325904</v>
          </cell>
          <cell r="I479">
            <v>0</v>
          </cell>
          <cell r="J479"/>
          <cell r="K479">
            <v>99.112802736325904</v>
          </cell>
        </row>
        <row r="480">
          <cell r="A480">
            <v>5.375</v>
          </cell>
          <cell r="B480">
            <v>99.290304671574035</v>
          </cell>
          <cell r="D480">
            <v>99.290304671574035</v>
          </cell>
          <cell r="E480">
            <v>0.56000000000000005</v>
          </cell>
          <cell r="G480">
            <v>0</v>
          </cell>
          <cell r="H480">
            <v>98.730304671574032</v>
          </cell>
          <cell r="I480">
            <v>0</v>
          </cell>
          <cell r="J480"/>
          <cell r="K480">
            <v>98.730304671574032</v>
          </cell>
        </row>
        <row r="481">
          <cell r="A481">
            <v>5.25</v>
          </cell>
          <cell r="B481">
            <v>98.90293319694895</v>
          </cell>
          <cell r="D481">
            <v>98.90293319694895</v>
          </cell>
          <cell r="E481">
            <v>0.56000000000000005</v>
          </cell>
          <cell r="G481">
            <v>0</v>
          </cell>
          <cell r="H481">
            <v>98.342933196948948</v>
          </cell>
          <cell r="I481">
            <v>0</v>
          </cell>
          <cell r="J481"/>
          <cell r="K481">
            <v>98.342933196948948</v>
          </cell>
        </row>
        <row r="482">
          <cell r="A482">
            <v>5.125</v>
          </cell>
          <cell r="B482">
            <v>98.486454052145234</v>
          </cell>
          <cell r="C482"/>
          <cell r="D482">
            <v>98.486454052145234</v>
          </cell>
          <cell r="E482">
            <v>0.56000000000000005</v>
          </cell>
          <cell r="G482">
            <v>0</v>
          </cell>
          <cell r="H482">
            <v>97.926454052145232</v>
          </cell>
          <cell r="I482">
            <v>0</v>
          </cell>
          <cell r="J482"/>
          <cell r="K482">
            <v>97.926454052145232</v>
          </cell>
        </row>
        <row r="485">
          <cell r="A485">
            <v>7.5</v>
          </cell>
          <cell r="B485">
            <v>102.43711612802724</v>
          </cell>
          <cell r="D485">
            <v>102.43711612802724</v>
          </cell>
          <cell r="E485">
            <v>0.81</v>
          </cell>
          <cell r="F485"/>
          <cell r="G485">
            <v>0</v>
          </cell>
          <cell r="H485">
            <v>101.62711612802724</v>
          </cell>
          <cell r="I485">
            <v>0</v>
          </cell>
          <cell r="J485"/>
          <cell r="K485">
            <v>101.62711612802724</v>
          </cell>
        </row>
        <row r="486">
          <cell r="A486">
            <v>7.375</v>
          </cell>
          <cell r="B486">
            <v>102.24080103797121</v>
          </cell>
          <cell r="D486">
            <v>102.24080103797121</v>
          </cell>
          <cell r="E486">
            <v>0.81</v>
          </cell>
          <cell r="G486">
            <v>0</v>
          </cell>
          <cell r="H486">
            <v>101.43080103797121</v>
          </cell>
          <cell r="I486">
            <v>0</v>
          </cell>
          <cell r="J486"/>
          <cell r="K486">
            <v>101.43080103797121</v>
          </cell>
        </row>
        <row r="487">
          <cell r="A487">
            <v>7.25</v>
          </cell>
          <cell r="B487">
            <v>102.05790315116975</v>
          </cell>
          <cell r="D487">
            <v>102.05790315116975</v>
          </cell>
          <cell r="E487">
            <v>0.81</v>
          </cell>
          <cell r="G487">
            <v>0</v>
          </cell>
          <cell r="H487">
            <v>101.24790315116975</v>
          </cell>
          <cell r="I487">
            <v>0</v>
          </cell>
          <cell r="J487"/>
          <cell r="K487">
            <v>101.24790315116975</v>
          </cell>
        </row>
        <row r="488">
          <cell r="A488">
            <v>7.125</v>
          </cell>
          <cell r="B488">
            <v>102.0286149878191</v>
          </cell>
          <cell r="D488">
            <v>102.0286149878191</v>
          </cell>
          <cell r="E488">
            <v>0.81</v>
          </cell>
          <cell r="G488">
            <v>0</v>
          </cell>
          <cell r="H488">
            <v>101.21861498781909</v>
          </cell>
          <cell r="I488">
            <v>0</v>
          </cell>
          <cell r="J488"/>
          <cell r="K488">
            <v>101.21861498781909</v>
          </cell>
        </row>
        <row r="489">
          <cell r="A489">
            <v>7</v>
          </cell>
          <cell r="B489">
            <v>102.09380554166583</v>
          </cell>
          <cell r="D489">
            <v>102.09380554166583</v>
          </cell>
          <cell r="E489">
            <v>0.81</v>
          </cell>
          <cell r="G489">
            <v>0</v>
          </cell>
          <cell r="H489">
            <v>101.28380554166583</v>
          </cell>
          <cell r="I489">
            <v>0</v>
          </cell>
          <cell r="J489"/>
          <cell r="K489">
            <v>101.28380554166583</v>
          </cell>
        </row>
        <row r="490">
          <cell r="A490">
            <v>6.875</v>
          </cell>
          <cell r="B490">
            <v>102.15940967497986</v>
          </cell>
          <cell r="D490">
            <v>102.15940967497986</v>
          </cell>
          <cell r="E490">
            <v>0.81</v>
          </cell>
          <cell r="G490">
            <v>0</v>
          </cell>
          <cell r="H490">
            <v>101.34940967497985</v>
          </cell>
          <cell r="I490">
            <v>0</v>
          </cell>
          <cell r="J490"/>
          <cell r="K490">
            <v>101.34940967497985</v>
          </cell>
        </row>
        <row r="491">
          <cell r="A491">
            <v>6.75</v>
          </cell>
          <cell r="B491">
            <v>102.23460902465077</v>
          </cell>
          <cell r="D491">
            <v>102.23460902465077</v>
          </cell>
          <cell r="E491">
            <v>0.81</v>
          </cell>
          <cell r="G491">
            <v>0</v>
          </cell>
          <cell r="H491">
            <v>101.42460902465076</v>
          </cell>
          <cell r="I491">
            <v>0</v>
          </cell>
          <cell r="J491"/>
          <cell r="K491">
            <v>101.42460902465076</v>
          </cell>
        </row>
        <row r="492">
          <cell r="A492">
            <v>6.625</v>
          </cell>
          <cell r="B492">
            <v>102.23449028202918</v>
          </cell>
          <cell r="D492">
            <v>102.23449028202918</v>
          </cell>
          <cell r="E492">
            <v>0.81</v>
          </cell>
          <cell r="G492">
            <v>0</v>
          </cell>
          <cell r="H492">
            <v>101.42449028202918</v>
          </cell>
          <cell r="I492">
            <v>0</v>
          </cell>
          <cell r="J492"/>
          <cell r="K492">
            <v>101.42449028202918</v>
          </cell>
        </row>
        <row r="493">
          <cell r="A493">
            <v>6.5</v>
          </cell>
          <cell r="B493">
            <v>102.19873496040069</v>
          </cell>
          <cell r="D493">
            <v>102.19873496040069</v>
          </cell>
          <cell r="E493">
            <v>0.81</v>
          </cell>
          <cell r="G493">
            <v>0</v>
          </cell>
          <cell r="H493">
            <v>101.38873496040068</v>
          </cell>
          <cell r="I493">
            <v>0</v>
          </cell>
          <cell r="J493"/>
          <cell r="K493">
            <v>101.38873496040068</v>
          </cell>
        </row>
        <row r="494">
          <cell r="A494">
            <v>6.375</v>
          </cell>
          <cell r="B494">
            <v>102.16240347867478</v>
          </cell>
          <cell r="D494">
            <v>102.16240347867478</v>
          </cell>
          <cell r="E494">
            <v>0.81</v>
          </cell>
          <cell r="G494">
            <v>0</v>
          </cell>
          <cell r="H494">
            <v>101.35240347867477</v>
          </cell>
          <cell r="I494">
            <v>0</v>
          </cell>
          <cell r="J494"/>
          <cell r="K494">
            <v>101.35240347867477</v>
          </cell>
        </row>
        <row r="495">
          <cell r="A495">
            <v>6.25</v>
          </cell>
          <cell r="B495">
            <v>102.13368113263114</v>
          </cell>
          <cell r="D495">
            <v>102.13368113263114</v>
          </cell>
          <cell r="E495">
            <v>0.81</v>
          </cell>
          <cell r="G495">
            <v>0</v>
          </cell>
          <cell r="H495">
            <v>101.32368113263114</v>
          </cell>
          <cell r="I495">
            <v>0</v>
          </cell>
          <cell r="J495"/>
          <cell r="K495">
            <v>101.32368113263114</v>
          </cell>
        </row>
        <row r="496">
          <cell r="A496">
            <v>6.125</v>
          </cell>
          <cell r="B496">
            <v>101.93315406954108</v>
          </cell>
          <cell r="D496">
            <v>101.93315406954108</v>
          </cell>
          <cell r="E496">
            <v>0.81</v>
          </cell>
          <cell r="G496">
            <v>0</v>
          </cell>
          <cell r="H496">
            <v>101.12315406954107</v>
          </cell>
          <cell r="I496">
            <v>0</v>
          </cell>
          <cell r="J496"/>
          <cell r="K496">
            <v>101.12315406954107</v>
          </cell>
        </row>
        <row r="497">
          <cell r="A497">
            <v>6</v>
          </cell>
          <cell r="B497">
            <v>101.64025803371827</v>
          </cell>
          <cell r="D497">
            <v>101.64025803371827</v>
          </cell>
          <cell r="E497">
            <v>0.81</v>
          </cell>
          <cell r="G497">
            <v>0</v>
          </cell>
          <cell r="H497">
            <v>100.83025803371827</v>
          </cell>
          <cell r="I497">
            <v>0</v>
          </cell>
          <cell r="J497"/>
          <cell r="K497">
            <v>100.83025803371827</v>
          </cell>
        </row>
        <row r="498">
          <cell r="A498">
            <v>5.875</v>
          </cell>
          <cell r="B498">
            <v>101.3462631049516</v>
          </cell>
          <cell r="D498">
            <v>101.3462631049516</v>
          </cell>
          <cell r="E498">
            <v>0.81</v>
          </cell>
          <cell r="G498">
            <v>0</v>
          </cell>
          <cell r="H498">
            <v>100.5362631049516</v>
          </cell>
          <cell r="I498">
            <v>0</v>
          </cell>
          <cell r="J498"/>
          <cell r="K498">
            <v>100.5362631049516</v>
          </cell>
        </row>
        <row r="499">
          <cell r="A499">
            <v>5.75</v>
          </cell>
          <cell r="B499">
            <v>101.05113004948737</v>
          </cell>
          <cell r="D499">
            <v>101.05113004948737</v>
          </cell>
          <cell r="E499">
            <v>0.81</v>
          </cell>
          <cell r="G499">
            <v>0</v>
          </cell>
          <cell r="H499">
            <v>100.24113004948737</v>
          </cell>
          <cell r="I499">
            <v>0</v>
          </cell>
          <cell r="J499"/>
          <cell r="K499">
            <v>100.24113004948737</v>
          </cell>
        </row>
        <row r="500">
          <cell r="A500">
            <v>5.625</v>
          </cell>
          <cell r="B500">
            <v>100.73115447452531</v>
          </cell>
          <cell r="D500">
            <v>100.73115447452531</v>
          </cell>
          <cell r="E500">
            <v>0.81</v>
          </cell>
          <cell r="G500">
            <v>0</v>
          </cell>
          <cell r="H500">
            <v>99.921154474525309</v>
          </cell>
          <cell r="I500">
            <v>0</v>
          </cell>
          <cell r="J500"/>
          <cell r="K500">
            <v>99.921154474525309</v>
          </cell>
        </row>
        <row r="501">
          <cell r="A501">
            <v>5.5</v>
          </cell>
          <cell r="B501">
            <v>100.39696296189078</v>
          </cell>
          <cell r="D501">
            <v>100.39696296189078</v>
          </cell>
          <cell r="E501">
            <v>0.81</v>
          </cell>
          <cell r="G501">
            <v>0</v>
          </cell>
          <cell r="H501">
            <v>99.586962961890777</v>
          </cell>
          <cell r="I501">
            <v>0</v>
          </cell>
          <cell r="J501"/>
          <cell r="K501">
            <v>99.586962961890777</v>
          </cell>
        </row>
        <row r="502">
          <cell r="A502">
            <v>5.375</v>
          </cell>
          <cell r="B502">
            <v>100.06287125950038</v>
          </cell>
          <cell r="D502">
            <v>100.06287125950038</v>
          </cell>
          <cell r="E502">
            <v>0.81</v>
          </cell>
          <cell r="G502">
            <v>0</v>
          </cell>
          <cell r="H502">
            <v>99.252871259500381</v>
          </cell>
          <cell r="I502">
            <v>0</v>
          </cell>
          <cell r="J502"/>
          <cell r="K502">
            <v>99.252871259500381</v>
          </cell>
        </row>
        <row r="503">
          <cell r="A503">
            <v>5.25</v>
          </cell>
          <cell r="B503">
            <v>99.731277809736241</v>
          </cell>
          <cell r="D503">
            <v>99.731277809736241</v>
          </cell>
          <cell r="E503">
            <v>0.81</v>
          </cell>
          <cell r="G503">
            <v>0</v>
          </cell>
          <cell r="H503">
            <v>98.921277809736239</v>
          </cell>
          <cell r="I503">
            <v>0</v>
          </cell>
          <cell r="J503"/>
          <cell r="K503">
            <v>98.921277809736239</v>
          </cell>
        </row>
        <row r="504">
          <cell r="A504">
            <v>5.125</v>
          </cell>
          <cell r="B504">
            <v>99.427469101209752</v>
          </cell>
          <cell r="C504"/>
          <cell r="D504">
            <v>99.427469101209752</v>
          </cell>
          <cell r="E504">
            <v>0.81</v>
          </cell>
          <cell r="G504">
            <v>0</v>
          </cell>
          <cell r="H504">
            <v>98.61746910120975</v>
          </cell>
          <cell r="I504">
            <v>0</v>
          </cell>
          <cell r="J504"/>
          <cell r="K504">
            <v>98.61746910120975</v>
          </cell>
        </row>
        <row r="507">
          <cell r="A507">
            <v>7.5</v>
          </cell>
          <cell r="B507">
            <v>101.98182898254933</v>
          </cell>
          <cell r="D507">
            <v>101.98182898254933</v>
          </cell>
          <cell r="E507">
            <v>0.81</v>
          </cell>
          <cell r="F507"/>
          <cell r="G507">
            <v>0</v>
          </cell>
          <cell r="H507">
            <v>101.17182898254933</v>
          </cell>
          <cell r="I507">
            <v>0</v>
          </cell>
          <cell r="J507"/>
          <cell r="K507">
            <v>101.17182898254933</v>
          </cell>
        </row>
        <row r="508">
          <cell r="A508">
            <v>7.375</v>
          </cell>
          <cell r="B508">
            <v>102.03021800338736</v>
          </cell>
          <cell r="D508">
            <v>102.03021800338736</v>
          </cell>
          <cell r="E508">
            <v>0.81</v>
          </cell>
          <cell r="G508">
            <v>0</v>
          </cell>
          <cell r="H508">
            <v>101.22021800338736</v>
          </cell>
          <cell r="I508">
            <v>0</v>
          </cell>
          <cell r="J508"/>
          <cell r="K508">
            <v>101.22021800338736</v>
          </cell>
        </row>
        <row r="509">
          <cell r="A509">
            <v>7.25</v>
          </cell>
          <cell r="B509">
            <v>102.05988825324336</v>
          </cell>
          <cell r="D509">
            <v>102.05988825324336</v>
          </cell>
          <cell r="E509">
            <v>0.81</v>
          </cell>
          <cell r="G509">
            <v>0</v>
          </cell>
          <cell r="H509">
            <v>101.24988825324336</v>
          </cell>
          <cell r="I509">
            <v>0</v>
          </cell>
          <cell r="J509"/>
          <cell r="K509">
            <v>101.24988825324336</v>
          </cell>
        </row>
        <row r="510">
          <cell r="A510">
            <v>7.125</v>
          </cell>
          <cell r="B510">
            <v>102.15668288304329</v>
          </cell>
          <cell r="D510">
            <v>102.15668288304329</v>
          </cell>
          <cell r="E510">
            <v>0.81</v>
          </cell>
          <cell r="G510">
            <v>0</v>
          </cell>
          <cell r="H510">
            <v>101.34668288304329</v>
          </cell>
          <cell r="I510">
            <v>0</v>
          </cell>
          <cell r="J510"/>
          <cell r="K510">
            <v>101.34668288304329</v>
          </cell>
        </row>
        <row r="511">
          <cell r="A511">
            <v>7</v>
          </cell>
          <cell r="B511">
            <v>102.28964907326123</v>
          </cell>
          <cell r="D511">
            <v>102.28964907326123</v>
          </cell>
          <cell r="E511">
            <v>0.81</v>
          </cell>
          <cell r="G511">
            <v>0</v>
          </cell>
          <cell r="H511">
            <v>101.47964907326123</v>
          </cell>
          <cell r="I511">
            <v>0</v>
          </cell>
          <cell r="J511"/>
          <cell r="K511">
            <v>101.47964907326123</v>
          </cell>
        </row>
        <row r="512">
          <cell r="A512">
            <v>6.875</v>
          </cell>
          <cell r="B512">
            <v>102.46482567830158</v>
          </cell>
          <cell r="D512">
            <v>102.46482567830158</v>
          </cell>
          <cell r="E512">
            <v>0.81</v>
          </cell>
          <cell r="G512">
            <v>0</v>
          </cell>
          <cell r="H512">
            <v>101.65482567830158</v>
          </cell>
          <cell r="I512">
            <v>0</v>
          </cell>
          <cell r="J512"/>
          <cell r="K512">
            <v>101.65482567830158</v>
          </cell>
        </row>
        <row r="513">
          <cell r="A513">
            <v>6.75</v>
          </cell>
          <cell r="B513">
            <v>102.60430002436351</v>
          </cell>
          <cell r="D513">
            <v>102.60430002436351</v>
          </cell>
          <cell r="E513">
            <v>0.81</v>
          </cell>
          <cell r="G513">
            <v>0</v>
          </cell>
          <cell r="H513">
            <v>101.79430002436351</v>
          </cell>
          <cell r="I513">
            <v>0</v>
          </cell>
          <cell r="J513"/>
          <cell r="K513">
            <v>101.79430002436351</v>
          </cell>
        </row>
        <row r="514">
          <cell r="A514">
            <v>6.625</v>
          </cell>
          <cell r="B514">
            <v>102.45107475000631</v>
          </cell>
          <cell r="D514">
            <v>102.45107475000631</v>
          </cell>
          <cell r="E514">
            <v>0.81</v>
          </cell>
          <cell r="G514">
            <v>0</v>
          </cell>
          <cell r="H514">
            <v>101.64107475000631</v>
          </cell>
          <cell r="I514">
            <v>0</v>
          </cell>
          <cell r="J514"/>
          <cell r="K514">
            <v>101.64107475000631</v>
          </cell>
        </row>
        <row r="515">
          <cell r="A515">
            <v>6.5</v>
          </cell>
          <cell r="B515">
            <v>102.28515899452685</v>
          </cell>
          <cell r="D515">
            <v>102.28515899452685</v>
          </cell>
          <cell r="E515">
            <v>0.81</v>
          </cell>
          <cell r="G515">
            <v>0</v>
          </cell>
          <cell r="H515">
            <v>101.47515899452685</v>
          </cell>
          <cell r="I515">
            <v>0</v>
          </cell>
          <cell r="J515"/>
          <cell r="K515">
            <v>101.47515899452685</v>
          </cell>
        </row>
        <row r="516">
          <cell r="A516">
            <v>6.375</v>
          </cell>
          <cell r="B516">
            <v>102.12176035851911</v>
          </cell>
          <cell r="D516">
            <v>102.12176035851911</v>
          </cell>
          <cell r="E516">
            <v>0.81</v>
          </cell>
          <cell r="G516">
            <v>0</v>
          </cell>
          <cell r="H516">
            <v>101.31176035851911</v>
          </cell>
          <cell r="I516">
            <v>0</v>
          </cell>
          <cell r="J516"/>
          <cell r="K516">
            <v>101.31176035851911</v>
          </cell>
        </row>
        <row r="517">
          <cell r="A517">
            <v>6.25</v>
          </cell>
          <cell r="B517">
            <v>101.93079182371787</v>
          </cell>
          <cell r="D517">
            <v>101.93079182371787</v>
          </cell>
          <cell r="E517">
            <v>0.81</v>
          </cell>
          <cell r="G517">
            <v>0</v>
          </cell>
          <cell r="H517">
            <v>101.12079182371787</v>
          </cell>
          <cell r="I517">
            <v>0</v>
          </cell>
          <cell r="J517"/>
          <cell r="K517">
            <v>101.12079182371787</v>
          </cell>
        </row>
        <row r="518">
          <cell r="A518">
            <v>6.125</v>
          </cell>
          <cell r="B518">
            <v>101.70618396092023</v>
          </cell>
          <cell r="D518">
            <v>101.70618396092023</v>
          </cell>
          <cell r="E518">
            <v>0.81</v>
          </cell>
          <cell r="G518">
            <v>0</v>
          </cell>
          <cell r="H518">
            <v>100.89618396092023</v>
          </cell>
          <cell r="I518">
            <v>0</v>
          </cell>
          <cell r="J518"/>
          <cell r="K518">
            <v>100.89618396092023</v>
          </cell>
        </row>
        <row r="519">
          <cell r="A519">
            <v>6</v>
          </cell>
          <cell r="B519">
            <v>101.42010182646995</v>
          </cell>
          <cell r="D519">
            <v>101.42010182646995</v>
          </cell>
          <cell r="E519">
            <v>0.81</v>
          </cell>
          <cell r="G519">
            <v>0</v>
          </cell>
          <cell r="H519">
            <v>100.61010182646994</v>
          </cell>
          <cell r="I519">
            <v>0</v>
          </cell>
          <cell r="J519"/>
          <cell r="K519">
            <v>100.61010182646994</v>
          </cell>
        </row>
        <row r="520">
          <cell r="A520">
            <v>5.875</v>
          </cell>
          <cell r="B520">
            <v>101.16225655993587</v>
          </cell>
          <cell r="D520">
            <v>101.16225655993587</v>
          </cell>
          <cell r="E520">
            <v>0.81</v>
          </cell>
          <cell r="G520">
            <v>0</v>
          </cell>
          <cell r="H520">
            <v>100.35225655993587</v>
          </cell>
          <cell r="I520">
            <v>0</v>
          </cell>
          <cell r="J520"/>
          <cell r="K520">
            <v>100.35225655993587</v>
          </cell>
        </row>
        <row r="521">
          <cell r="A521">
            <v>5.75</v>
          </cell>
          <cell r="B521">
            <v>100.87862907637056</v>
          </cell>
          <cell r="D521">
            <v>100.87862907637056</v>
          </cell>
          <cell r="E521">
            <v>0.81</v>
          </cell>
          <cell r="G521">
            <v>0</v>
          </cell>
          <cell r="H521">
            <v>100.06862907637056</v>
          </cell>
          <cell r="I521">
            <v>0</v>
          </cell>
          <cell r="J521"/>
          <cell r="K521">
            <v>100.06862907637056</v>
          </cell>
        </row>
        <row r="522">
          <cell r="A522">
            <v>5.625</v>
          </cell>
          <cell r="B522">
            <v>100.60403434350417</v>
          </cell>
          <cell r="D522">
            <v>100.60403434350417</v>
          </cell>
          <cell r="E522">
            <v>0.81</v>
          </cell>
          <cell r="G522">
            <v>0</v>
          </cell>
          <cell r="H522">
            <v>99.794034343504165</v>
          </cell>
          <cell r="I522">
            <v>0</v>
          </cell>
          <cell r="J522"/>
          <cell r="K522">
            <v>99.794034343504165</v>
          </cell>
        </row>
        <row r="523">
          <cell r="A523">
            <v>5.5</v>
          </cell>
          <cell r="B523">
            <v>100.34803434350417</v>
          </cell>
          <cell r="D523">
            <v>100.34803434350417</v>
          </cell>
          <cell r="E523">
            <v>0.81</v>
          </cell>
          <cell r="G523">
            <v>0</v>
          </cell>
          <cell r="H523">
            <v>99.538034343504165</v>
          </cell>
          <cell r="I523">
            <v>0</v>
          </cell>
          <cell r="J523"/>
          <cell r="K523">
            <v>99.538034343504165</v>
          </cell>
        </row>
        <row r="524">
          <cell r="A524">
            <v>5.375</v>
          </cell>
          <cell r="B524">
            <v>100.13269719897471</v>
          </cell>
          <cell r="D524">
            <v>100.13269719897471</v>
          </cell>
          <cell r="E524">
            <v>0.81</v>
          </cell>
          <cell r="G524">
            <v>0</v>
          </cell>
          <cell r="H524">
            <v>99.322697198974708</v>
          </cell>
          <cell r="I524">
            <v>0</v>
          </cell>
          <cell r="J524"/>
          <cell r="K524">
            <v>99.322697198974708</v>
          </cell>
        </row>
        <row r="525">
          <cell r="A525">
            <v>5.25</v>
          </cell>
          <cell r="B525">
            <v>99.781652138647686</v>
          </cell>
          <cell r="D525">
            <v>99.781652138647686</v>
          </cell>
          <cell r="E525">
            <v>0.81</v>
          </cell>
          <cell r="G525">
            <v>0</v>
          </cell>
          <cell r="H525">
            <v>98.971652138647684</v>
          </cell>
          <cell r="I525">
            <v>0</v>
          </cell>
          <cell r="J525"/>
          <cell r="K525">
            <v>98.971652138647684</v>
          </cell>
        </row>
        <row r="526">
          <cell r="A526">
            <v>5.125</v>
          </cell>
          <cell r="B526">
            <v>99.434674827270001</v>
          </cell>
          <cell r="D526">
            <v>99.434674827270001</v>
          </cell>
          <cell r="E526">
            <v>0.81</v>
          </cell>
          <cell r="G526">
            <v>0</v>
          </cell>
          <cell r="H526">
            <v>98.624674827269999</v>
          </cell>
          <cell r="I526">
            <v>0</v>
          </cell>
          <cell r="J526"/>
          <cell r="K526">
            <v>98.624674827269999</v>
          </cell>
        </row>
        <row r="529">
          <cell r="A529">
            <v>7.5</v>
          </cell>
          <cell r="B529">
            <v>100.66092871054198</v>
          </cell>
          <cell r="D529">
            <v>100.66092871054198</v>
          </cell>
          <cell r="E529">
            <v>0.81</v>
          </cell>
          <cell r="G529">
            <v>0</v>
          </cell>
          <cell r="H529">
            <v>99.850928710541979</v>
          </cell>
          <cell r="I529">
            <v>0</v>
          </cell>
          <cell r="J529"/>
          <cell r="K529">
            <v>99.850928710541979</v>
          </cell>
        </row>
        <row r="530">
          <cell r="A530">
            <v>7.375</v>
          </cell>
          <cell r="B530">
            <v>100.6460673517777</v>
          </cell>
          <cell r="D530">
            <v>100.6460673517777</v>
          </cell>
          <cell r="E530">
            <v>0.81</v>
          </cell>
          <cell r="G530">
            <v>0</v>
          </cell>
          <cell r="H530">
            <v>99.8360673517777</v>
          </cell>
          <cell r="I530">
            <v>0</v>
          </cell>
          <cell r="J530"/>
          <cell r="K530">
            <v>99.8360673517777</v>
          </cell>
        </row>
        <row r="531">
          <cell r="A531">
            <v>7.25</v>
          </cell>
          <cell r="B531">
            <v>100.61785172391453</v>
          </cell>
          <cell r="D531">
            <v>100.61785172391453</v>
          </cell>
          <cell r="E531">
            <v>0.81</v>
          </cell>
          <cell r="G531">
            <v>0</v>
          </cell>
          <cell r="H531">
            <v>99.807851723914524</v>
          </cell>
          <cell r="I531">
            <v>0</v>
          </cell>
          <cell r="J531"/>
          <cell r="K531">
            <v>99.807851723914524</v>
          </cell>
        </row>
        <row r="532">
          <cell r="A532">
            <v>7.125</v>
          </cell>
          <cell r="B532">
            <v>100.8678359342144</v>
          </cell>
          <cell r="D532">
            <v>100.8678359342144</v>
          </cell>
          <cell r="E532">
            <v>0.81</v>
          </cell>
          <cell r="G532">
            <v>0</v>
          </cell>
          <cell r="H532">
            <v>100.0578359342144</v>
          </cell>
          <cell r="I532">
            <v>0</v>
          </cell>
          <cell r="J532"/>
          <cell r="K532">
            <v>100.0578359342144</v>
          </cell>
        </row>
        <row r="533">
          <cell r="A533">
            <v>7</v>
          </cell>
          <cell r="B533">
            <v>101.27406085647523</v>
          </cell>
          <cell r="D533">
            <v>101.27406085647523</v>
          </cell>
          <cell r="E533">
            <v>0.81</v>
          </cell>
          <cell r="G533">
            <v>0</v>
          </cell>
          <cell r="H533">
            <v>100.46406085647523</v>
          </cell>
          <cell r="I533">
            <v>0</v>
          </cell>
          <cell r="J533"/>
          <cell r="K533">
            <v>100.46406085647523</v>
          </cell>
        </row>
        <row r="534">
          <cell r="A534">
            <v>6.875</v>
          </cell>
          <cell r="B534">
            <v>101.68958224275501</v>
          </cell>
          <cell r="D534">
            <v>101.68958224275501</v>
          </cell>
          <cell r="E534">
            <v>0.81</v>
          </cell>
          <cell r="G534">
            <v>0</v>
          </cell>
          <cell r="H534">
            <v>100.87958224275501</v>
          </cell>
          <cell r="I534">
            <v>0</v>
          </cell>
          <cell r="J534"/>
          <cell r="K534">
            <v>100.87958224275501</v>
          </cell>
        </row>
        <row r="535">
          <cell r="A535">
            <v>6.75</v>
          </cell>
          <cell r="B535">
            <v>102.09414695999943</v>
          </cell>
          <cell r="D535">
            <v>102.09414695999943</v>
          </cell>
          <cell r="E535">
            <v>0.81</v>
          </cell>
          <cell r="G535">
            <v>0</v>
          </cell>
          <cell r="H535">
            <v>101.28414695999943</v>
          </cell>
          <cell r="I535">
            <v>0</v>
          </cell>
          <cell r="J535"/>
          <cell r="K535">
            <v>101.28414695999943</v>
          </cell>
        </row>
        <row r="536">
          <cell r="A536">
            <v>6.625</v>
          </cell>
          <cell r="B536">
            <v>102.17035094141283</v>
          </cell>
          <cell r="D536">
            <v>102.17035094141283</v>
          </cell>
          <cell r="E536">
            <v>0.81</v>
          </cell>
          <cell r="G536">
            <v>0</v>
          </cell>
          <cell r="H536">
            <v>101.36035094141283</v>
          </cell>
          <cell r="I536">
            <v>0</v>
          </cell>
          <cell r="J536"/>
          <cell r="K536">
            <v>101.36035094141283</v>
          </cell>
        </row>
        <row r="537">
          <cell r="A537">
            <v>6.5</v>
          </cell>
          <cell r="B537">
            <v>102.06241583646738</v>
          </cell>
          <cell r="D537">
            <v>102.06241583646738</v>
          </cell>
          <cell r="E537">
            <v>0.81</v>
          </cell>
          <cell r="G537">
            <v>0</v>
          </cell>
          <cell r="H537">
            <v>101.25241583646738</v>
          </cell>
          <cell r="I537">
            <v>0</v>
          </cell>
          <cell r="J537"/>
          <cell r="K537">
            <v>101.25241583646738</v>
          </cell>
        </row>
        <row r="538">
          <cell r="A538">
            <v>6.375</v>
          </cell>
          <cell r="B538">
            <v>101.96275261204633</v>
          </cell>
          <cell r="D538">
            <v>101.96275261204633</v>
          </cell>
          <cell r="E538">
            <v>0.81</v>
          </cell>
          <cell r="G538">
            <v>0</v>
          </cell>
          <cell r="H538">
            <v>101.15275261204633</v>
          </cell>
          <cell r="I538">
            <v>0</v>
          </cell>
          <cell r="J538"/>
          <cell r="K538">
            <v>101.15275261204633</v>
          </cell>
        </row>
        <row r="539">
          <cell r="A539">
            <v>6.25</v>
          </cell>
          <cell r="B539">
            <v>101.85385185438834</v>
          </cell>
          <cell r="D539">
            <v>101.85385185438834</v>
          </cell>
          <cell r="E539">
            <v>0.81</v>
          </cell>
          <cell r="G539">
            <v>0</v>
          </cell>
          <cell r="H539">
            <v>101.04385185438834</v>
          </cell>
          <cell r="I539">
            <v>0</v>
          </cell>
          <cell r="J539"/>
          <cell r="K539">
            <v>101.04385185438834</v>
          </cell>
        </row>
        <row r="540">
          <cell r="A540">
            <v>6.125</v>
          </cell>
          <cell r="B540">
            <v>101.57344107911545</v>
          </cell>
          <cell r="D540">
            <v>101.57344107911545</v>
          </cell>
          <cell r="E540">
            <v>0.81</v>
          </cell>
          <cell r="G540">
            <v>0</v>
          </cell>
          <cell r="H540">
            <v>100.76344107911545</v>
          </cell>
          <cell r="I540">
            <v>0</v>
          </cell>
          <cell r="J540"/>
          <cell r="K540">
            <v>100.76344107911545</v>
          </cell>
        </row>
        <row r="541">
          <cell r="A541">
            <v>6</v>
          </cell>
          <cell r="B541">
            <v>101.19567427107395</v>
          </cell>
          <cell r="D541">
            <v>101.19567427107395</v>
          </cell>
          <cell r="E541">
            <v>0.81</v>
          </cell>
          <cell r="G541">
            <v>0</v>
          </cell>
          <cell r="H541">
            <v>100.38567427107395</v>
          </cell>
          <cell r="I541">
            <v>0</v>
          </cell>
          <cell r="J541"/>
          <cell r="K541">
            <v>100.38567427107395</v>
          </cell>
        </row>
        <row r="542">
          <cell r="A542">
            <v>5.875</v>
          </cell>
          <cell r="B542">
            <v>100.82270463348196</v>
          </cell>
          <cell r="D542">
            <v>100.82270463348196</v>
          </cell>
          <cell r="E542">
            <v>0.81</v>
          </cell>
          <cell r="G542">
            <v>0</v>
          </cell>
          <cell r="H542">
            <v>100.01270463348196</v>
          </cell>
          <cell r="I542">
            <v>0</v>
          </cell>
          <cell r="J542"/>
          <cell r="K542">
            <v>100.01270463348196</v>
          </cell>
        </row>
        <row r="543">
          <cell r="A543">
            <v>5.75</v>
          </cell>
          <cell r="B543">
            <v>100.44417335327782</v>
          </cell>
          <cell r="D543">
            <v>100.44417335327782</v>
          </cell>
          <cell r="E543">
            <v>0.81</v>
          </cell>
          <cell r="G543">
            <v>0</v>
          </cell>
          <cell r="H543">
            <v>99.634173353277816</v>
          </cell>
          <cell r="I543">
            <v>0</v>
          </cell>
          <cell r="J543"/>
          <cell r="K543">
            <v>99.634173353277816</v>
          </cell>
        </row>
        <row r="544">
          <cell r="A544">
            <v>5.625</v>
          </cell>
          <cell r="B544">
            <v>100.05317335327781</v>
          </cell>
          <cell r="D544">
            <v>100.05317335327781</v>
          </cell>
          <cell r="E544">
            <v>0.81</v>
          </cell>
          <cell r="G544">
            <v>0</v>
          </cell>
          <cell r="H544">
            <v>99.243173353277811</v>
          </cell>
          <cell r="I544">
            <v>0</v>
          </cell>
          <cell r="J544"/>
          <cell r="K544">
            <v>99.243173353277811</v>
          </cell>
        </row>
        <row r="545">
          <cell r="A545">
            <v>5.5</v>
          </cell>
          <cell r="B545">
            <v>99.672802736325906</v>
          </cell>
          <cell r="D545">
            <v>99.672802736325906</v>
          </cell>
          <cell r="E545">
            <v>0.81</v>
          </cell>
          <cell r="G545">
            <v>0</v>
          </cell>
          <cell r="H545">
            <v>98.862802736325904</v>
          </cell>
          <cell r="I545">
            <v>0</v>
          </cell>
          <cell r="J545"/>
          <cell r="K545">
            <v>98.862802736325904</v>
          </cell>
        </row>
        <row r="546">
          <cell r="A546">
            <v>5.375</v>
          </cell>
          <cell r="B546">
            <v>99.290304671574035</v>
          </cell>
          <cell r="D546">
            <v>99.290304671574035</v>
          </cell>
          <cell r="E546">
            <v>0.81</v>
          </cell>
          <cell r="G546">
            <v>0</v>
          </cell>
          <cell r="H546">
            <v>98.480304671574032</v>
          </cell>
          <cell r="I546">
            <v>0</v>
          </cell>
          <cell r="J546"/>
          <cell r="K546">
            <v>98.480304671574032</v>
          </cell>
        </row>
        <row r="547">
          <cell r="A547">
            <v>5.25</v>
          </cell>
          <cell r="B547">
            <v>98.90293319694895</v>
          </cell>
          <cell r="D547">
            <v>98.90293319694895</v>
          </cell>
          <cell r="E547">
            <v>0.81</v>
          </cell>
          <cell r="G547">
            <v>0</v>
          </cell>
          <cell r="H547">
            <v>98.092933196948948</v>
          </cell>
          <cell r="I547">
            <v>0</v>
          </cell>
          <cell r="J547"/>
          <cell r="K547">
            <v>98.092933196948948</v>
          </cell>
        </row>
        <row r="548">
          <cell r="A548">
            <v>5.125</v>
          </cell>
          <cell r="B548">
            <v>98.486454052145234</v>
          </cell>
          <cell r="C548"/>
          <cell r="D548">
            <v>98.486454052145234</v>
          </cell>
          <cell r="E548">
            <v>0.81</v>
          </cell>
          <cell r="G548">
            <v>0</v>
          </cell>
          <cell r="H548">
            <v>97.676454052145232</v>
          </cell>
          <cell r="I548">
            <v>0</v>
          </cell>
          <cell r="J548"/>
          <cell r="K548">
            <v>97.676454052145232</v>
          </cell>
        </row>
        <row r="566">
          <cell r="A566">
            <v>7.875</v>
          </cell>
          <cell r="B566">
            <v>104.64700000000001</v>
          </cell>
          <cell r="C566">
            <v>0.55833102735023488</v>
          </cell>
          <cell r="D566">
            <v>105.20533102735024</v>
          </cell>
          <cell r="E566">
            <v>0.32999999999999996</v>
          </cell>
          <cell r="F566">
            <v>0.375</v>
          </cell>
          <cell r="G566">
            <v>0</v>
          </cell>
          <cell r="H566">
            <v>104.50033102735024</v>
          </cell>
          <cell r="I566">
            <v>0</v>
          </cell>
          <cell r="J566"/>
          <cell r="K566">
            <v>104.50033102735024</v>
          </cell>
        </row>
        <row r="567">
          <cell r="A567">
            <v>7.75</v>
          </cell>
          <cell r="B567">
            <v>104.34399999999999</v>
          </cell>
          <cell r="C567">
            <v>0.60012653450037634</v>
          </cell>
          <cell r="D567">
            <v>104.94412653450037</v>
          </cell>
          <cell r="E567">
            <v>0.32999999999999996</v>
          </cell>
          <cell r="F567">
            <v>0.375</v>
          </cell>
          <cell r="G567">
            <v>0</v>
          </cell>
          <cell r="H567">
            <v>104.23912653450037</v>
          </cell>
          <cell r="I567">
            <v>0</v>
          </cell>
          <cell r="J567"/>
          <cell r="K567">
            <v>104.23912653450037</v>
          </cell>
        </row>
        <row r="568">
          <cell r="A568">
            <v>7.625</v>
          </cell>
          <cell r="B568">
            <v>104.32599999999999</v>
          </cell>
          <cell r="C568">
            <v>0.65472031167613554</v>
          </cell>
          <cell r="D568">
            <v>104.98072031167612</v>
          </cell>
          <cell r="E568">
            <v>0.32999999999999996</v>
          </cell>
          <cell r="F568">
            <v>0.375</v>
          </cell>
          <cell r="G568">
            <v>0</v>
          </cell>
          <cell r="H568">
            <v>104.27572031167612</v>
          </cell>
          <cell r="I568">
            <v>0</v>
          </cell>
          <cell r="J568"/>
          <cell r="K568">
            <v>104.27572031167612</v>
          </cell>
        </row>
        <row r="569">
          <cell r="A569">
            <v>7.5</v>
          </cell>
          <cell r="B569">
            <v>104.059</v>
          </cell>
          <cell r="C569">
            <v>0.71320601804099537</v>
          </cell>
          <cell r="D569">
            <v>104.77220601804099</v>
          </cell>
          <cell r="E569">
            <v>0.32999999999999996</v>
          </cell>
          <cell r="F569">
            <v>0.375</v>
          </cell>
          <cell r="G569">
            <v>0</v>
          </cell>
          <cell r="H569">
            <v>104.06720601804099</v>
          </cell>
          <cell r="I569">
            <v>0</v>
          </cell>
          <cell r="J569"/>
          <cell r="K569">
            <v>104.06720601804099</v>
          </cell>
        </row>
        <row r="570">
          <cell r="A570">
            <v>7.375</v>
          </cell>
          <cell r="B570">
            <v>103.72799999999999</v>
          </cell>
          <cell r="C570">
            <v>0.7747793530222602</v>
          </cell>
          <cell r="D570">
            <v>104.50277935302225</v>
          </cell>
          <cell r="E570">
            <v>0.32999999999999996</v>
          </cell>
          <cell r="F570">
            <v>0.375</v>
          </cell>
          <cell r="G570">
            <v>0</v>
          </cell>
          <cell r="H570">
            <v>103.79777935302225</v>
          </cell>
          <cell r="I570">
            <v>0</v>
          </cell>
          <cell r="J570"/>
          <cell r="K570">
            <v>103.79777935302225</v>
          </cell>
        </row>
        <row r="571">
          <cell r="A571">
            <v>7.25</v>
          </cell>
          <cell r="B571">
            <v>103.196</v>
          </cell>
          <cell r="C571">
            <v>0.82822321807392485</v>
          </cell>
          <cell r="D571">
            <v>104.02422321807393</v>
          </cell>
          <cell r="E571">
            <v>0.32999999999999996</v>
          </cell>
          <cell r="F571">
            <v>0.375</v>
          </cell>
          <cell r="G571">
            <v>0</v>
          </cell>
          <cell r="H571">
            <v>103.31922321807393</v>
          </cell>
          <cell r="I571">
            <v>0</v>
          </cell>
          <cell r="J571"/>
          <cell r="K571">
            <v>103.31922321807393</v>
          </cell>
        </row>
        <row r="572">
          <cell r="A572">
            <v>7.125</v>
          </cell>
          <cell r="B572">
            <v>102.932</v>
          </cell>
          <cell r="C572">
            <v>0.87863429865376697</v>
          </cell>
          <cell r="D572">
            <v>103.81063429865377</v>
          </cell>
          <cell r="E572">
            <v>0.32999999999999996</v>
          </cell>
          <cell r="F572">
            <v>0.375</v>
          </cell>
          <cell r="G572">
            <v>0</v>
          </cell>
          <cell r="H572">
            <v>103.10563429865377</v>
          </cell>
          <cell r="I572">
            <v>0</v>
          </cell>
          <cell r="J572"/>
          <cell r="K572">
            <v>103.10563429865377</v>
          </cell>
        </row>
        <row r="573">
          <cell r="A573">
            <v>7</v>
          </cell>
          <cell r="B573">
            <v>102.554</v>
          </cell>
          <cell r="C573">
            <v>0.92941882148098509</v>
          </cell>
          <cell r="D573">
            <v>103.48341882148098</v>
          </cell>
          <cell r="E573">
            <v>0.32999999999999996</v>
          </cell>
          <cell r="F573">
            <v>0.375</v>
          </cell>
          <cell r="G573">
            <v>0</v>
          </cell>
          <cell r="H573">
            <v>102.77841882148098</v>
          </cell>
          <cell r="I573">
            <v>0</v>
          </cell>
          <cell r="J573"/>
          <cell r="K573">
            <v>102.77841882148098</v>
          </cell>
        </row>
        <row r="574">
          <cell r="A574">
            <v>6.875</v>
          </cell>
          <cell r="B574">
            <v>102.042</v>
          </cell>
          <cell r="C574">
            <v>0.97963707029997038</v>
          </cell>
          <cell r="D574">
            <v>103.02163707029997</v>
          </cell>
          <cell r="E574">
            <v>0.32999999999999996</v>
          </cell>
          <cell r="F574">
            <v>0.375</v>
          </cell>
          <cell r="G574">
            <v>0</v>
          </cell>
          <cell r="H574">
            <v>102.31663707029998</v>
          </cell>
          <cell r="I574">
            <v>0</v>
          </cell>
          <cell r="J574"/>
          <cell r="K574">
            <v>102.31663707029998</v>
          </cell>
        </row>
        <row r="575">
          <cell r="A575">
            <v>6.75</v>
          </cell>
          <cell r="B575">
            <v>101.453</v>
          </cell>
          <cell r="C575">
            <v>1.0280353823492594</v>
          </cell>
          <cell r="D575">
            <v>102.48103538234926</v>
          </cell>
          <cell r="E575">
            <v>0.32999999999999996</v>
          </cell>
          <cell r="F575">
            <v>0.375</v>
          </cell>
          <cell r="G575">
            <v>0</v>
          </cell>
          <cell r="H575">
            <v>101.77603538234926</v>
          </cell>
          <cell r="I575">
            <v>0</v>
          </cell>
          <cell r="J575"/>
          <cell r="K575">
            <v>101.77603538234926</v>
          </cell>
        </row>
        <row r="576">
          <cell r="A576">
            <v>6.625</v>
          </cell>
          <cell r="B576">
            <v>101.232</v>
          </cell>
          <cell r="C576">
            <v>1.0731419487640863</v>
          </cell>
          <cell r="D576">
            <v>102.30514194876409</v>
          </cell>
          <cell r="E576">
            <v>0.32999999999999996</v>
          </cell>
          <cell r="F576">
            <v>0.375</v>
          </cell>
          <cell r="G576">
            <v>0</v>
          </cell>
          <cell r="H576">
            <v>101.60014194876409</v>
          </cell>
          <cell r="I576">
            <v>0</v>
          </cell>
          <cell r="J576"/>
          <cell r="K576">
            <v>101.60014194876409</v>
          </cell>
        </row>
        <row r="577">
          <cell r="A577">
            <v>6.5</v>
          </cell>
          <cell r="B577">
            <v>100.82</v>
          </cell>
          <cell r="C577">
            <v>1.1135579725934197</v>
          </cell>
          <cell r="D577">
            <v>101.93355797259342</v>
          </cell>
          <cell r="E577">
            <v>0.32999999999999996</v>
          </cell>
          <cell r="F577">
            <v>0.375</v>
          </cell>
          <cell r="G577">
            <v>0</v>
          </cell>
          <cell r="H577">
            <v>101.22855797259342</v>
          </cell>
          <cell r="I577">
            <v>0</v>
          </cell>
          <cell r="J577"/>
          <cell r="K577">
            <v>101.22855797259342</v>
          </cell>
        </row>
        <row r="578">
          <cell r="A578">
            <v>6.375</v>
          </cell>
          <cell r="B578">
            <v>100.45399999999999</v>
          </cell>
          <cell r="C578">
            <v>1.1475731089140164</v>
          </cell>
          <cell r="D578">
            <v>101.60157310891401</v>
          </cell>
          <cell r="E578">
            <v>0.32999999999999996</v>
          </cell>
          <cell r="F578">
            <v>0.375</v>
          </cell>
          <cell r="G578">
            <v>0</v>
          </cell>
          <cell r="H578">
            <v>100.89657310891401</v>
          </cell>
          <cell r="I578">
            <v>0</v>
          </cell>
          <cell r="J578"/>
          <cell r="K578">
            <v>100.89657310891401</v>
          </cell>
        </row>
        <row r="579">
          <cell r="A579">
            <v>6.25</v>
          </cell>
          <cell r="B579">
            <v>99.978999999999999</v>
          </cell>
          <cell r="C579">
            <v>1.1739341544104718</v>
          </cell>
          <cell r="D579">
            <v>101.15293415441047</v>
          </cell>
          <cell r="E579">
            <v>0.32999999999999996</v>
          </cell>
          <cell r="F579">
            <v>0.375</v>
          </cell>
          <cell r="G579">
            <v>0</v>
          </cell>
          <cell r="H579">
            <v>100.44793415441048</v>
          </cell>
          <cell r="I579">
            <v>0</v>
          </cell>
          <cell r="J579"/>
          <cell r="K579">
            <v>100.44793415441048</v>
          </cell>
        </row>
        <row r="580">
          <cell r="A580">
            <v>6.125</v>
          </cell>
          <cell r="B580">
            <v>99.421999999999997</v>
          </cell>
          <cell r="C580">
            <v>1.1914619382646172</v>
          </cell>
          <cell r="D580">
            <v>100.61346193826462</v>
          </cell>
          <cell r="E580">
            <v>0.32999999999999996</v>
          </cell>
          <cell r="F580">
            <v>0.27500000000000002</v>
          </cell>
          <cell r="G580">
            <v>0</v>
          </cell>
          <cell r="H580">
            <v>100.00846193826462</v>
          </cell>
          <cell r="I580">
            <v>0</v>
          </cell>
          <cell r="J580"/>
          <cell r="K580">
            <v>100.00846193826462</v>
          </cell>
        </row>
        <row r="581">
          <cell r="A581">
            <v>6</v>
          </cell>
          <cell r="B581">
            <v>98.933999999999997</v>
          </cell>
          <cell r="C581">
            <v>1.2261032992851351</v>
          </cell>
          <cell r="D581">
            <v>100.16010329928513</v>
          </cell>
          <cell r="E581">
            <v>0.32999999999999996</v>
          </cell>
          <cell r="F581">
            <v>0.375</v>
          </cell>
          <cell r="G581">
            <v>0</v>
          </cell>
          <cell r="H581">
            <v>99.455103299285128</v>
          </cell>
          <cell r="I581">
            <v>0</v>
          </cell>
          <cell r="J581"/>
          <cell r="K581">
            <v>99.455103299285128</v>
          </cell>
        </row>
        <row r="582">
          <cell r="A582">
            <v>5.99</v>
          </cell>
          <cell r="B582">
            <v>98.783999999999992</v>
          </cell>
          <cell r="C582">
            <v>1.2261032992851351</v>
          </cell>
          <cell r="D582">
            <v>100.01010329928512</v>
          </cell>
          <cell r="E582">
            <v>0.32999999999999996</v>
          </cell>
          <cell r="F582">
            <v>0.375</v>
          </cell>
          <cell r="G582">
            <v>0</v>
          </cell>
          <cell r="H582">
            <v>99.305103299285122</v>
          </cell>
          <cell r="I582">
            <v>0</v>
          </cell>
          <cell r="J582"/>
          <cell r="K582">
            <v>99.305103299285122</v>
          </cell>
        </row>
        <row r="583">
          <cell r="A583">
            <v>5.875</v>
          </cell>
          <cell r="B583">
            <v>98.454999999999998</v>
          </cell>
          <cell r="C583">
            <v>1.2582542829647416</v>
          </cell>
          <cell r="D583">
            <v>99.713254282964741</v>
          </cell>
          <cell r="E583">
            <v>0.32999999999999996</v>
          </cell>
          <cell r="F583">
            <v>0.375</v>
          </cell>
          <cell r="G583">
            <v>0</v>
          </cell>
          <cell r="H583">
            <v>99.008254282964742</v>
          </cell>
          <cell r="I583">
            <v>0</v>
          </cell>
          <cell r="J583"/>
          <cell r="K583">
            <v>99.008254282964742</v>
          </cell>
        </row>
        <row r="584">
          <cell r="A584">
            <v>5.75</v>
          </cell>
          <cell r="B584">
            <v>97.893000000000001</v>
          </cell>
          <cell r="C584">
            <v>1.2874604346057832</v>
          </cell>
          <cell r="D584">
            <v>99.180460434605777</v>
          </cell>
          <cell r="E584">
            <v>0.32999999999999996</v>
          </cell>
          <cell r="F584">
            <v>0.375</v>
          </cell>
          <cell r="G584">
            <v>0</v>
          </cell>
          <cell r="H584">
            <v>98.475460434605779</v>
          </cell>
          <cell r="I584">
            <v>0</v>
          </cell>
          <cell r="J584"/>
          <cell r="K584">
            <v>98.475460434605779</v>
          </cell>
        </row>
        <row r="585">
          <cell r="A585">
            <v>5.625</v>
          </cell>
          <cell r="B585">
            <v>97.337999999999994</v>
          </cell>
          <cell r="C585">
            <v>1.3103523159702306</v>
          </cell>
          <cell r="D585">
            <v>98.648352315970229</v>
          </cell>
          <cell r="E585">
            <v>0.32999999999999996</v>
          </cell>
          <cell r="F585">
            <v>0.375</v>
          </cell>
          <cell r="G585">
            <v>0</v>
          </cell>
          <cell r="H585">
            <v>97.94335231597023</v>
          </cell>
          <cell r="I585">
            <v>0</v>
          </cell>
          <cell r="J585"/>
          <cell r="K585">
            <v>97.94335231597023</v>
          </cell>
        </row>
        <row r="586">
          <cell r="A586">
            <v>5.5</v>
          </cell>
          <cell r="B586">
            <v>96.736000000000004</v>
          </cell>
          <cell r="C586">
            <v>1.332099769761613</v>
          </cell>
          <cell r="D586">
            <v>98.068099769761616</v>
          </cell>
          <cell r="E586">
            <v>0.32999999999999996</v>
          </cell>
          <cell r="F586">
            <v>0.375</v>
          </cell>
          <cell r="G586">
            <v>0</v>
          </cell>
          <cell r="H586">
            <v>97.363099769761618</v>
          </cell>
          <cell r="I586">
            <v>0</v>
          </cell>
          <cell r="J586"/>
          <cell r="K586">
            <v>97.363099769761618</v>
          </cell>
        </row>
        <row r="587">
          <cell r="A587">
            <v>5.375</v>
          </cell>
          <cell r="B587">
            <v>96.15</v>
          </cell>
          <cell r="C587">
            <v>1.349396508770641</v>
          </cell>
          <cell r="D587">
            <v>97.499396508770644</v>
          </cell>
          <cell r="E587">
            <v>0.32999999999999996</v>
          </cell>
          <cell r="F587">
            <v>0.375</v>
          </cell>
          <cell r="G587">
            <v>0</v>
          </cell>
          <cell r="H587">
            <v>96.794396508770646</v>
          </cell>
          <cell r="I587">
            <v>0</v>
          </cell>
          <cell r="J587"/>
          <cell r="K587">
            <v>96.794396508770646</v>
          </cell>
        </row>
        <row r="588">
          <cell r="A588">
            <v>5.25</v>
          </cell>
          <cell r="B588">
            <v>95.146000000000001</v>
          </cell>
          <cell r="C588">
            <v>1.3619320322486328</v>
          </cell>
          <cell r="D588">
            <v>96.507932032248632</v>
          </cell>
          <cell r="E588">
            <v>0.32999999999999996</v>
          </cell>
          <cell r="F588">
            <v>0.375</v>
          </cell>
          <cell r="G588">
            <v>0</v>
          </cell>
          <cell r="H588">
            <v>95.802932032248634</v>
          </cell>
          <cell r="I588">
            <v>0</v>
          </cell>
          <cell r="J588"/>
          <cell r="K588">
            <v>95.802932032248634</v>
          </cell>
        </row>
        <row r="589">
          <cell r="A589">
            <v>5.125</v>
          </cell>
          <cell r="B589">
            <v>95.129000000000005</v>
          </cell>
          <cell r="C589">
            <v>1.3719680144753188</v>
          </cell>
          <cell r="D589">
            <v>96.500968014475319</v>
          </cell>
          <cell r="E589">
            <v>0.32999999999999996</v>
          </cell>
          <cell r="F589">
            <v>0.375</v>
          </cell>
          <cell r="G589">
            <v>0</v>
          </cell>
          <cell r="H589">
            <v>95.795968014475321</v>
          </cell>
          <cell r="I589">
            <v>0</v>
          </cell>
          <cell r="J589"/>
          <cell r="K589">
            <v>95.795968014475321</v>
          </cell>
        </row>
        <row r="590">
          <cell r="A590">
            <v>5</v>
          </cell>
          <cell r="B590">
            <v>94.415999999999997</v>
          </cell>
          <cell r="C590">
            <v>1.3849446652924806</v>
          </cell>
          <cell r="D590">
            <v>95.800944665292477</v>
          </cell>
          <cell r="E590">
            <v>0.32999999999999996</v>
          </cell>
          <cell r="F590">
            <v>0.375</v>
          </cell>
          <cell r="G590">
            <v>0</v>
          </cell>
          <cell r="H590">
            <v>95.095944665292478</v>
          </cell>
          <cell r="I590">
            <v>0</v>
          </cell>
          <cell r="J590"/>
          <cell r="K590">
            <v>95.095944665292478</v>
          </cell>
        </row>
        <row r="593">
          <cell r="A593">
            <v>7.5</v>
          </cell>
          <cell r="B593">
            <v>104.146</v>
          </cell>
          <cell r="C593">
            <v>0.46320601804099537</v>
          </cell>
          <cell r="D593">
            <v>104.60920601804099</v>
          </cell>
          <cell r="E593">
            <v>0.96000000000000008</v>
          </cell>
          <cell r="F593">
            <v>0.375</v>
          </cell>
          <cell r="G593">
            <v>0</v>
          </cell>
          <cell r="H593">
            <v>103.274206018041</v>
          </cell>
          <cell r="I593">
            <v>0</v>
          </cell>
          <cell r="J593"/>
          <cell r="K593">
            <v>103.274206018041</v>
          </cell>
        </row>
        <row r="594">
          <cell r="A594">
            <v>7.375</v>
          </cell>
          <cell r="B594">
            <v>103.831</v>
          </cell>
          <cell r="C594">
            <v>0.5247793530222602</v>
          </cell>
          <cell r="D594">
            <v>104.35577935302226</v>
          </cell>
          <cell r="E594">
            <v>0.96000000000000008</v>
          </cell>
          <cell r="F594">
            <v>0.375</v>
          </cell>
          <cell r="G594">
            <v>0</v>
          </cell>
          <cell r="H594">
            <v>103.02077935302226</v>
          </cell>
          <cell r="I594">
            <v>0</v>
          </cell>
          <cell r="J594"/>
          <cell r="K594">
            <v>103.02077935302226</v>
          </cell>
        </row>
        <row r="595">
          <cell r="A595">
            <v>7.25</v>
          </cell>
          <cell r="B595">
            <v>103.499</v>
          </cell>
          <cell r="C595">
            <v>0.57822321807392485</v>
          </cell>
          <cell r="D595">
            <v>104.07722321807393</v>
          </cell>
          <cell r="E595">
            <v>0.96000000000000008</v>
          </cell>
          <cell r="F595">
            <v>0.375</v>
          </cell>
          <cell r="G595">
            <v>0</v>
          </cell>
          <cell r="H595">
            <v>102.74222321807393</v>
          </cell>
          <cell r="I595">
            <v>0</v>
          </cell>
          <cell r="J595"/>
          <cell r="K595">
            <v>102.74222321807393</v>
          </cell>
        </row>
        <row r="596">
          <cell r="A596">
            <v>7.125</v>
          </cell>
          <cell r="B596">
            <v>102.947</v>
          </cell>
          <cell r="C596">
            <v>0.62863429865376697</v>
          </cell>
          <cell r="D596">
            <v>103.57563429865377</v>
          </cell>
          <cell r="E596">
            <v>0.96000000000000008</v>
          </cell>
          <cell r="F596">
            <v>0.375</v>
          </cell>
          <cell r="G596">
            <v>0</v>
          </cell>
          <cell r="H596">
            <v>102.24063429865377</v>
          </cell>
          <cell r="I596">
            <v>0</v>
          </cell>
          <cell r="J596"/>
          <cell r="K596">
            <v>102.24063429865377</v>
          </cell>
        </row>
        <row r="597">
          <cell r="A597">
            <v>7</v>
          </cell>
          <cell r="B597">
            <v>102.58</v>
          </cell>
          <cell r="C597">
            <v>0.67941882148098509</v>
          </cell>
          <cell r="D597">
            <v>103.25941882148098</v>
          </cell>
          <cell r="E597">
            <v>0.96000000000000008</v>
          </cell>
          <cell r="F597">
            <v>0.375</v>
          </cell>
          <cell r="G597">
            <v>0</v>
          </cell>
          <cell r="H597">
            <v>101.92441882148098</v>
          </cell>
          <cell r="I597">
            <v>0</v>
          </cell>
          <cell r="J597"/>
          <cell r="K597">
            <v>101.92441882148098</v>
          </cell>
        </row>
        <row r="598">
          <cell r="A598">
            <v>6.875</v>
          </cell>
          <cell r="B598">
            <v>102.274</v>
          </cell>
          <cell r="C598">
            <v>0.72963707029997038</v>
          </cell>
          <cell r="D598">
            <v>103.00363707029997</v>
          </cell>
          <cell r="E598">
            <v>0.96000000000000008</v>
          </cell>
          <cell r="F598">
            <v>0.375</v>
          </cell>
          <cell r="G598">
            <v>0</v>
          </cell>
          <cell r="H598">
            <v>101.66863707029998</v>
          </cell>
          <cell r="I598">
            <v>0</v>
          </cell>
          <cell r="J598"/>
          <cell r="K598">
            <v>101.66863707029998</v>
          </cell>
        </row>
        <row r="599">
          <cell r="A599">
            <v>6.75</v>
          </cell>
          <cell r="B599">
            <v>101.926</v>
          </cell>
          <cell r="C599">
            <v>0.7780353823492594</v>
          </cell>
          <cell r="D599">
            <v>102.70403538234926</v>
          </cell>
          <cell r="E599">
            <v>0.96000000000000008</v>
          </cell>
          <cell r="F599">
            <v>0.375</v>
          </cell>
          <cell r="G599">
            <v>0</v>
          </cell>
          <cell r="H599">
            <v>101.36903538234927</v>
          </cell>
          <cell r="I599">
            <v>0</v>
          </cell>
          <cell r="J599"/>
          <cell r="K599">
            <v>101.36903538234927</v>
          </cell>
        </row>
        <row r="600">
          <cell r="A600">
            <v>6.625</v>
          </cell>
          <cell r="B600">
            <v>101.815</v>
          </cell>
          <cell r="C600">
            <v>0.82314194876408631</v>
          </cell>
          <cell r="D600">
            <v>102.63814194876409</v>
          </cell>
          <cell r="E600">
            <v>0.96000000000000008</v>
          </cell>
          <cell r="F600">
            <v>0.375</v>
          </cell>
          <cell r="G600">
            <v>0</v>
          </cell>
          <cell r="H600">
            <v>101.30314194876409</v>
          </cell>
          <cell r="I600">
            <v>0</v>
          </cell>
          <cell r="J600"/>
          <cell r="K600">
            <v>101.30314194876409</v>
          </cell>
        </row>
        <row r="601">
          <cell r="A601">
            <v>6.5</v>
          </cell>
          <cell r="B601">
            <v>101.45099999999999</v>
          </cell>
          <cell r="C601">
            <v>0.86355797259341971</v>
          </cell>
          <cell r="D601">
            <v>102.31455797259342</v>
          </cell>
          <cell r="E601">
            <v>0.96000000000000008</v>
          </cell>
          <cell r="F601">
            <v>0.375</v>
          </cell>
          <cell r="G601">
            <v>0</v>
          </cell>
          <cell r="H601">
            <v>100.97955797259343</v>
          </cell>
          <cell r="I601">
            <v>0</v>
          </cell>
          <cell r="J601"/>
          <cell r="K601">
            <v>100.97955797259343</v>
          </cell>
        </row>
        <row r="602">
          <cell r="A602">
            <v>6.375</v>
          </cell>
          <cell r="B602">
            <v>101.05200000000001</v>
          </cell>
          <cell r="C602">
            <v>0.89757310891401643</v>
          </cell>
          <cell r="D602">
            <v>101.94957310891402</v>
          </cell>
          <cell r="E602">
            <v>0.96000000000000008</v>
          </cell>
          <cell r="F602">
            <v>0.375</v>
          </cell>
          <cell r="G602">
            <v>0</v>
          </cell>
          <cell r="H602">
            <v>100.61457310891403</v>
          </cell>
          <cell r="I602">
            <v>0</v>
          </cell>
          <cell r="J602"/>
          <cell r="K602">
            <v>100.61457310891403</v>
          </cell>
        </row>
        <row r="603">
          <cell r="A603">
            <v>6.25</v>
          </cell>
          <cell r="B603">
            <v>100.63</v>
          </cell>
          <cell r="C603">
            <v>0.92393415441047178</v>
          </cell>
          <cell r="D603">
            <v>101.55393415441047</v>
          </cell>
          <cell r="E603">
            <v>0.96000000000000008</v>
          </cell>
          <cell r="F603">
            <v>0.375</v>
          </cell>
          <cell r="G603">
            <v>0</v>
          </cell>
          <cell r="H603">
            <v>100.21893415441048</v>
          </cell>
          <cell r="I603">
            <v>0</v>
          </cell>
          <cell r="J603"/>
          <cell r="K603">
            <v>100.21893415441048</v>
          </cell>
        </row>
        <row r="604">
          <cell r="A604">
            <v>6.125</v>
          </cell>
          <cell r="B604">
            <v>100.459</v>
          </cell>
          <cell r="C604">
            <v>0.94146193826461722</v>
          </cell>
          <cell r="D604">
            <v>101.40046193826463</v>
          </cell>
          <cell r="E604">
            <v>0.96000000000000008</v>
          </cell>
          <cell r="F604">
            <v>0.27500000000000002</v>
          </cell>
          <cell r="G604">
            <v>0</v>
          </cell>
          <cell r="H604">
            <v>100.16546193826463</v>
          </cell>
          <cell r="I604">
            <v>0</v>
          </cell>
          <cell r="J604"/>
          <cell r="K604">
            <v>100.16546193826463</v>
          </cell>
        </row>
        <row r="605">
          <cell r="A605">
            <v>6</v>
          </cell>
          <cell r="B605">
            <v>100.08799999999999</v>
          </cell>
          <cell r="C605">
            <v>0.97610329928513506</v>
          </cell>
          <cell r="D605">
            <v>101.06410329928512</v>
          </cell>
          <cell r="E605">
            <v>0.96000000000000008</v>
          </cell>
          <cell r="F605">
            <v>0.375</v>
          </cell>
          <cell r="G605">
            <v>0</v>
          </cell>
          <cell r="H605">
            <v>99.729103299285129</v>
          </cell>
          <cell r="I605">
            <v>0</v>
          </cell>
          <cell r="J605"/>
          <cell r="K605">
            <v>99.729103299285129</v>
          </cell>
        </row>
        <row r="606">
          <cell r="A606">
            <v>5.875</v>
          </cell>
          <cell r="B606">
            <v>99.623000000000005</v>
          </cell>
          <cell r="C606">
            <v>1.0082542829647416</v>
          </cell>
          <cell r="D606">
            <v>100.63125428296475</v>
          </cell>
          <cell r="E606">
            <v>0.96000000000000008</v>
          </cell>
          <cell r="F606">
            <v>0.375</v>
          </cell>
          <cell r="G606">
            <v>0</v>
          </cell>
          <cell r="H606">
            <v>99.296254282964753</v>
          </cell>
          <cell r="I606">
            <v>0</v>
          </cell>
          <cell r="J606"/>
          <cell r="K606">
            <v>99.296254282964753</v>
          </cell>
        </row>
        <row r="607">
          <cell r="A607">
            <v>5.75</v>
          </cell>
          <cell r="B607">
            <v>99.123999999999995</v>
          </cell>
          <cell r="C607">
            <v>1.0374604346057832</v>
          </cell>
          <cell r="D607">
            <v>100.16146043460577</v>
          </cell>
          <cell r="E607">
            <v>0.96000000000000008</v>
          </cell>
          <cell r="F607">
            <v>0.375</v>
          </cell>
          <cell r="G607">
            <v>0</v>
          </cell>
          <cell r="H607">
            <v>98.826460434605778</v>
          </cell>
          <cell r="I607">
            <v>0</v>
          </cell>
          <cell r="J607"/>
          <cell r="K607">
            <v>98.826460434605778</v>
          </cell>
        </row>
        <row r="608">
          <cell r="A608">
            <v>5.625</v>
          </cell>
          <cell r="B608">
            <v>98.695999999999998</v>
          </cell>
          <cell r="C608">
            <v>1.0603523159702306</v>
          </cell>
          <cell r="D608">
            <v>99.756352315970233</v>
          </cell>
          <cell r="E608">
            <v>0.96000000000000008</v>
          </cell>
          <cell r="F608">
            <v>0.375</v>
          </cell>
          <cell r="G608">
            <v>0</v>
          </cell>
          <cell r="H608">
            <v>98.421352315970239</v>
          </cell>
          <cell r="I608">
            <v>0</v>
          </cell>
          <cell r="J608"/>
          <cell r="K608">
            <v>98.421352315970239</v>
          </cell>
        </row>
        <row r="609">
          <cell r="A609">
            <v>5.5</v>
          </cell>
          <cell r="B609">
            <v>98.192999999999998</v>
          </cell>
          <cell r="C609">
            <v>1.082099769761613</v>
          </cell>
          <cell r="D609">
            <v>99.27509976976161</v>
          </cell>
          <cell r="E609">
            <v>0.96000000000000008</v>
          </cell>
          <cell r="F609">
            <v>0.375</v>
          </cell>
          <cell r="G609">
            <v>0</v>
          </cell>
          <cell r="H609">
            <v>97.940099769761616</v>
          </cell>
          <cell r="I609">
            <v>0</v>
          </cell>
          <cell r="J609"/>
          <cell r="K609">
            <v>97.940099769761616</v>
          </cell>
        </row>
        <row r="610">
          <cell r="A610">
            <v>5.375</v>
          </cell>
          <cell r="B610">
            <v>97.682000000000002</v>
          </cell>
          <cell r="C610">
            <v>1.099396508770641</v>
          </cell>
          <cell r="D610">
            <v>98.781396508770641</v>
          </cell>
          <cell r="E610">
            <v>0.96000000000000008</v>
          </cell>
          <cell r="F610">
            <v>0.375</v>
          </cell>
          <cell r="G610">
            <v>0</v>
          </cell>
          <cell r="H610">
            <v>97.446396508770647</v>
          </cell>
          <cell r="I610">
            <v>0</v>
          </cell>
          <cell r="J610"/>
          <cell r="K610">
            <v>97.446396508770647</v>
          </cell>
        </row>
        <row r="611">
          <cell r="A611">
            <v>5.25</v>
          </cell>
          <cell r="B611">
            <v>96.933000000000007</v>
          </cell>
          <cell r="C611">
            <v>1.1119320322486328</v>
          </cell>
          <cell r="D611">
            <v>98.044932032248639</v>
          </cell>
          <cell r="E611">
            <v>0.96000000000000008</v>
          </cell>
          <cell r="F611">
            <v>0.375</v>
          </cell>
          <cell r="G611">
            <v>0</v>
          </cell>
          <cell r="H611">
            <v>96.709932032248645</v>
          </cell>
          <cell r="I611">
            <v>0</v>
          </cell>
          <cell r="J611"/>
          <cell r="K611">
            <v>96.709932032248645</v>
          </cell>
        </row>
        <row r="612">
          <cell r="A612">
            <v>5.125</v>
          </cell>
          <cell r="B612">
            <v>96.594999999999999</v>
          </cell>
          <cell r="C612">
            <v>1.1219680144753188</v>
          </cell>
          <cell r="D612">
            <v>97.716968014475313</v>
          </cell>
          <cell r="E612">
            <v>0.96000000000000008</v>
          </cell>
          <cell r="F612">
            <v>0.375</v>
          </cell>
          <cell r="G612">
            <v>0</v>
          </cell>
          <cell r="H612">
            <v>96.381968014475319</v>
          </cell>
          <cell r="I612">
            <v>0</v>
          </cell>
          <cell r="J612"/>
          <cell r="K612">
            <v>96.381968014475319</v>
          </cell>
        </row>
        <row r="613">
          <cell r="A613">
            <v>5</v>
          </cell>
          <cell r="B613">
            <v>96.078999999999994</v>
          </cell>
          <cell r="C613">
            <v>1.1349446652924806</v>
          </cell>
          <cell r="D613">
            <v>97.213944665292473</v>
          </cell>
          <cell r="E613">
            <v>0.96000000000000008</v>
          </cell>
          <cell r="F613">
            <v>0.375</v>
          </cell>
          <cell r="G613">
            <v>0</v>
          </cell>
          <cell r="H613">
            <v>95.878944665292479</v>
          </cell>
          <cell r="I613">
            <v>0</v>
          </cell>
          <cell r="J613"/>
          <cell r="K613">
            <v>95.878944665292479</v>
          </cell>
        </row>
        <row r="614">
          <cell r="A614">
            <v>4.875</v>
          </cell>
          <cell r="B614">
            <v>95.450999999999993</v>
          </cell>
          <cell r="C614">
            <v>1.1480988298836645</v>
          </cell>
          <cell r="D614">
            <v>96.599098829883658</v>
          </cell>
          <cell r="E614">
            <v>0.96000000000000008</v>
          </cell>
          <cell r="F614">
            <v>0.375</v>
          </cell>
          <cell r="G614">
            <v>0</v>
          </cell>
          <cell r="H614">
            <v>95.264098829883665</v>
          </cell>
          <cell r="I614">
            <v>0</v>
          </cell>
          <cell r="J614"/>
          <cell r="K614">
            <v>95.264098829883665</v>
          </cell>
        </row>
        <row r="615">
          <cell r="A615">
            <v>4.75</v>
          </cell>
          <cell r="B615">
            <v>94.822000000000003</v>
          </cell>
          <cell r="C615">
            <v>1.1614225825536417</v>
          </cell>
          <cell r="D615">
            <v>95.983422582553644</v>
          </cell>
          <cell r="E615">
            <v>0.96000000000000008</v>
          </cell>
          <cell r="F615">
            <v>0.375</v>
          </cell>
          <cell r="G615">
            <v>0</v>
          </cell>
          <cell r="H615">
            <v>94.64842258255365</v>
          </cell>
          <cell r="I615">
            <v>0</v>
          </cell>
          <cell r="J615"/>
          <cell r="K615">
            <v>94.64842258255365</v>
          </cell>
        </row>
        <row r="616">
          <cell r="A616">
            <v>4.625</v>
          </cell>
          <cell r="B616">
            <v>94.013000000000005</v>
          </cell>
          <cell r="C616">
            <v>1.1724899488210871</v>
          </cell>
          <cell r="D616">
            <v>95.185489948821086</v>
          </cell>
          <cell r="E616">
            <v>0.96000000000000008</v>
          </cell>
          <cell r="F616">
            <v>0.375</v>
          </cell>
          <cell r="G616">
            <v>0</v>
          </cell>
          <cell r="H616">
            <v>93.850489948821092</v>
          </cell>
          <cell r="I616">
            <v>0</v>
          </cell>
          <cell r="J616"/>
          <cell r="K616">
            <v>93.850489948821092</v>
          </cell>
        </row>
        <row r="617">
          <cell r="A617">
            <v>4.5</v>
          </cell>
          <cell r="B617">
            <v>93.405000000000001</v>
          </cell>
          <cell r="C617">
            <v>1.1805892490508394</v>
          </cell>
          <cell r="D617">
            <v>94.585589249050841</v>
          </cell>
          <cell r="E617">
            <v>0.96000000000000008</v>
          </cell>
          <cell r="F617">
            <v>0.375</v>
          </cell>
          <cell r="G617">
            <v>0</v>
          </cell>
          <cell r="H617">
            <v>93.250589249050847</v>
          </cell>
          <cell r="I617">
            <v>0</v>
          </cell>
          <cell r="J617"/>
          <cell r="K617">
            <v>93.250589249050847</v>
          </cell>
        </row>
        <row r="620">
          <cell r="A620">
            <v>7</v>
          </cell>
          <cell r="B620">
            <v>103.51300000000001</v>
          </cell>
          <cell r="C620">
            <v>0.60203982005500167</v>
          </cell>
          <cell r="D620">
            <v>104.115039820055</v>
          </cell>
          <cell r="E620">
            <v>0.87999999999999989</v>
          </cell>
          <cell r="F620">
            <v>0</v>
          </cell>
          <cell r="G620">
            <v>0</v>
          </cell>
          <cell r="H620">
            <v>103.23503982005501</v>
          </cell>
          <cell r="I620">
            <v>0</v>
          </cell>
          <cell r="J620"/>
          <cell r="K620">
            <v>103.23503982005501</v>
          </cell>
        </row>
        <row r="621">
          <cell r="A621">
            <v>6.875</v>
          </cell>
          <cell r="B621">
            <v>103.26900000000001</v>
          </cell>
          <cell r="C621">
            <v>0.62534093630826337</v>
          </cell>
          <cell r="D621">
            <v>103.89434093630827</v>
          </cell>
          <cell r="E621">
            <v>0.87999999999999989</v>
          </cell>
          <cell r="F621">
            <v>0</v>
          </cell>
          <cell r="G621">
            <v>0</v>
          </cell>
          <cell r="H621">
            <v>103.01434093630827</v>
          </cell>
          <cell r="I621">
            <v>0</v>
          </cell>
          <cell r="J621"/>
          <cell r="K621">
            <v>103.01434093630827</v>
          </cell>
        </row>
        <row r="622">
          <cell r="A622">
            <v>6.75</v>
          </cell>
          <cell r="B622">
            <v>102.996</v>
          </cell>
          <cell r="C622">
            <v>0.65025908368989305</v>
          </cell>
          <cell r="D622">
            <v>103.64625908368988</v>
          </cell>
          <cell r="E622">
            <v>0.87999999999999989</v>
          </cell>
          <cell r="F622">
            <v>0</v>
          </cell>
          <cell r="G622">
            <v>0</v>
          </cell>
          <cell r="H622">
            <v>102.76625908368989</v>
          </cell>
          <cell r="I622">
            <v>0</v>
          </cell>
          <cell r="J622"/>
          <cell r="K622">
            <v>102.76625908368989</v>
          </cell>
        </row>
        <row r="623">
          <cell r="A623">
            <v>6.625</v>
          </cell>
          <cell r="B623">
            <v>102.71599999999999</v>
          </cell>
          <cell r="C623">
            <v>0.67610484962926121</v>
          </cell>
          <cell r="D623">
            <v>103.39210484962925</v>
          </cell>
          <cell r="E623">
            <v>0.87999999999999989</v>
          </cell>
          <cell r="F623">
            <v>0</v>
          </cell>
          <cell r="G623">
            <v>0</v>
          </cell>
          <cell r="H623">
            <v>102.51210484962925</v>
          </cell>
          <cell r="I623">
            <v>0</v>
          </cell>
          <cell r="J623"/>
          <cell r="K623">
            <v>102.51210484962925</v>
          </cell>
        </row>
        <row r="624">
          <cell r="A624">
            <v>6.5</v>
          </cell>
          <cell r="B624">
            <v>102.512</v>
          </cell>
          <cell r="C624">
            <v>0.70497051076905048</v>
          </cell>
          <cell r="D624">
            <v>103.21697051076904</v>
          </cell>
          <cell r="E624">
            <v>0.87999999999999989</v>
          </cell>
          <cell r="F624">
            <v>0</v>
          </cell>
          <cell r="G624">
            <v>0</v>
          </cell>
          <cell r="H624">
            <v>102.33697051076905</v>
          </cell>
          <cell r="I624">
            <v>0</v>
          </cell>
          <cell r="J624"/>
          <cell r="K624">
            <v>102.33697051076905</v>
          </cell>
        </row>
        <row r="625">
          <cell r="A625">
            <v>6.375</v>
          </cell>
          <cell r="B625">
            <v>102.238</v>
          </cell>
          <cell r="C625">
            <v>0.73854383975763349</v>
          </cell>
          <cell r="D625">
            <v>102.97654383975764</v>
          </cell>
          <cell r="E625">
            <v>0.87999999999999989</v>
          </cell>
          <cell r="F625">
            <v>0</v>
          </cell>
          <cell r="G625">
            <v>0</v>
          </cell>
          <cell r="H625">
            <v>102.09654383975764</v>
          </cell>
          <cell r="I625">
            <v>0</v>
          </cell>
          <cell r="J625"/>
          <cell r="K625">
            <v>102.09654383975764</v>
          </cell>
        </row>
        <row r="626">
          <cell r="A626">
            <v>6.25</v>
          </cell>
          <cell r="B626">
            <v>101.91</v>
          </cell>
          <cell r="C626">
            <v>0.77507419526604571</v>
          </cell>
          <cell r="D626">
            <v>102.68507419526604</v>
          </cell>
          <cell r="E626">
            <v>0.87999999999999989</v>
          </cell>
          <cell r="F626">
            <v>0</v>
          </cell>
          <cell r="G626">
            <v>0</v>
          </cell>
          <cell r="H626">
            <v>101.80507419526604</v>
          </cell>
          <cell r="I626">
            <v>0</v>
          </cell>
          <cell r="J626"/>
          <cell r="K626">
            <v>101.80507419526604</v>
          </cell>
        </row>
        <row r="627">
          <cell r="A627">
            <v>6.125</v>
          </cell>
          <cell r="B627">
            <v>101.538</v>
          </cell>
          <cell r="C627">
            <v>0.81193159693787897</v>
          </cell>
          <cell r="D627">
            <v>102.34993159693788</v>
          </cell>
          <cell r="E627">
            <v>0.87999999999999989</v>
          </cell>
          <cell r="F627">
            <v>0</v>
          </cell>
          <cell r="G627">
            <v>0</v>
          </cell>
          <cell r="H627">
            <v>101.46993159693788</v>
          </cell>
          <cell r="I627">
            <v>0</v>
          </cell>
          <cell r="J627"/>
          <cell r="K627">
            <v>101.46993159693788</v>
          </cell>
        </row>
        <row r="628">
          <cell r="A628">
            <v>6</v>
          </cell>
          <cell r="B628">
            <v>101.24</v>
          </cell>
          <cell r="C628">
            <v>0.84454537091749549</v>
          </cell>
          <cell r="D628">
            <v>102.0845453709175</v>
          </cell>
          <cell r="E628">
            <v>0.87999999999999989</v>
          </cell>
          <cell r="F628">
            <v>0</v>
          </cell>
          <cell r="G628">
            <v>0</v>
          </cell>
          <cell r="H628">
            <v>101.2045453709175</v>
          </cell>
          <cell r="I628">
            <v>0</v>
          </cell>
          <cell r="J628"/>
          <cell r="K628">
            <v>101.2045453709175</v>
          </cell>
        </row>
        <row r="629">
          <cell r="A629">
            <v>5.875</v>
          </cell>
          <cell r="B629">
            <v>100.94</v>
          </cell>
          <cell r="C629">
            <v>0.87241864753888954</v>
          </cell>
          <cell r="D629">
            <v>101.81241864753889</v>
          </cell>
          <cell r="E629">
            <v>0.87999999999999989</v>
          </cell>
          <cell r="F629">
            <v>0</v>
          </cell>
          <cell r="G629">
            <v>0</v>
          </cell>
          <cell r="H629">
            <v>100.9324186475389</v>
          </cell>
          <cell r="I629">
            <v>0</v>
          </cell>
          <cell r="J629"/>
          <cell r="K629">
            <v>100.9324186475389</v>
          </cell>
        </row>
        <row r="630">
          <cell r="A630">
            <v>5.75</v>
          </cell>
          <cell r="B630">
            <v>100.515</v>
          </cell>
          <cell r="C630">
            <v>0.89405740022148339</v>
          </cell>
          <cell r="D630">
            <v>101.40905740022149</v>
          </cell>
          <cell r="E630">
            <v>0.87999999999999989</v>
          </cell>
          <cell r="F630">
            <v>0</v>
          </cell>
          <cell r="G630">
            <v>0</v>
          </cell>
          <cell r="H630">
            <v>100.52905740022149</v>
          </cell>
          <cell r="I630">
            <v>0</v>
          </cell>
          <cell r="J630"/>
          <cell r="K630">
            <v>100.52905740022149</v>
          </cell>
        </row>
        <row r="631">
          <cell r="A631">
            <v>5.625</v>
          </cell>
          <cell r="B631">
            <v>100.16</v>
          </cell>
          <cell r="C631">
            <v>0.91157641302291992</v>
          </cell>
          <cell r="D631">
            <v>101.07157641302291</v>
          </cell>
          <cell r="E631">
            <v>0.87999999999999989</v>
          </cell>
          <cell r="F631">
            <v>0</v>
          </cell>
          <cell r="G631">
            <v>0</v>
          </cell>
          <cell r="H631">
            <v>100.19157641302291</v>
          </cell>
          <cell r="I631">
            <v>0</v>
          </cell>
          <cell r="J631"/>
          <cell r="K631">
            <v>100.19157641302291</v>
          </cell>
        </row>
        <row r="632">
          <cell r="A632">
            <v>5.5</v>
          </cell>
          <cell r="B632">
            <v>99.822000000000003</v>
          </cell>
          <cell r="C632">
            <v>0.92675711880623857</v>
          </cell>
          <cell r="D632">
            <v>100.74875711880624</v>
          </cell>
          <cell r="E632">
            <v>0.87999999999999989</v>
          </cell>
          <cell r="F632">
            <v>0</v>
          </cell>
          <cell r="G632">
            <v>0</v>
          </cell>
          <cell r="H632">
            <v>99.868757118806244</v>
          </cell>
          <cell r="I632">
            <v>0</v>
          </cell>
          <cell r="J632"/>
          <cell r="K632">
            <v>99.868757118806244</v>
          </cell>
        </row>
        <row r="633">
          <cell r="A633">
            <v>5.375</v>
          </cell>
          <cell r="B633">
            <v>99.457999999999998</v>
          </cell>
          <cell r="C633">
            <v>0.94182030861649346</v>
          </cell>
          <cell r="D633">
            <v>100.3998203086165</v>
          </cell>
          <cell r="E633">
            <v>0.87999999999999989</v>
          </cell>
          <cell r="F633">
            <v>0</v>
          </cell>
          <cell r="G633">
            <v>0</v>
          </cell>
          <cell r="H633">
            <v>99.519820308616502</v>
          </cell>
          <cell r="I633">
            <v>0</v>
          </cell>
          <cell r="J633"/>
          <cell r="K633">
            <v>99.519820308616502</v>
          </cell>
        </row>
        <row r="634">
          <cell r="A634">
            <v>5.25</v>
          </cell>
          <cell r="B634">
            <v>99.102999999999994</v>
          </cell>
          <cell r="C634">
            <v>0.95620950695123663</v>
          </cell>
          <cell r="D634">
            <v>100.05920950695123</v>
          </cell>
          <cell r="E634">
            <v>0.87999999999999989</v>
          </cell>
          <cell r="F634">
            <v>0</v>
          </cell>
          <cell r="G634">
            <v>0</v>
          </cell>
          <cell r="H634">
            <v>99.179209506951238</v>
          </cell>
          <cell r="I634">
            <v>0</v>
          </cell>
          <cell r="J634"/>
          <cell r="K634">
            <v>99.179209506951238</v>
          </cell>
        </row>
        <row r="635">
          <cell r="A635">
            <v>5.125</v>
          </cell>
          <cell r="B635">
            <v>98.772000000000006</v>
          </cell>
          <cell r="C635">
            <v>0.96597412571712737</v>
          </cell>
          <cell r="D635">
            <v>99.73797412571713</v>
          </cell>
          <cell r="E635">
            <v>0.87999999999999989</v>
          </cell>
          <cell r="F635">
            <v>0</v>
          </cell>
          <cell r="G635">
            <v>0</v>
          </cell>
          <cell r="H635">
            <v>98.857974125717135</v>
          </cell>
          <cell r="I635">
            <v>0</v>
          </cell>
          <cell r="J635"/>
          <cell r="K635">
            <v>98.857974125717135</v>
          </cell>
        </row>
        <row r="636">
          <cell r="A636">
            <v>5</v>
          </cell>
          <cell r="B636">
            <v>98.221999999999994</v>
          </cell>
          <cell r="C636">
            <v>0.97578115344577854</v>
          </cell>
          <cell r="D636">
            <v>99.197781153445774</v>
          </cell>
          <cell r="E636">
            <v>0.87999999999999989</v>
          </cell>
          <cell r="F636">
            <v>0</v>
          </cell>
          <cell r="G636">
            <v>0</v>
          </cell>
          <cell r="H636">
            <v>98.317781153445779</v>
          </cell>
          <cell r="I636">
            <v>0</v>
          </cell>
          <cell r="J636"/>
          <cell r="K636">
            <v>98.317781153445779</v>
          </cell>
        </row>
        <row r="637">
          <cell r="A637">
            <v>4.875</v>
          </cell>
          <cell r="B637">
            <v>97.844999999999999</v>
          </cell>
          <cell r="C637">
            <v>0.98464002628506886</v>
          </cell>
          <cell r="D637">
            <v>98.829640026285063</v>
          </cell>
          <cell r="E637">
            <v>0.87999999999999989</v>
          </cell>
          <cell r="F637">
            <v>0</v>
          </cell>
          <cell r="G637">
            <v>0</v>
          </cell>
          <cell r="H637">
            <v>97.949640026285067</v>
          </cell>
          <cell r="I637">
            <v>0</v>
          </cell>
          <cell r="J637"/>
          <cell r="K637">
            <v>97.949640026285067</v>
          </cell>
        </row>
        <row r="638">
          <cell r="A638">
            <v>4.75</v>
          </cell>
          <cell r="B638">
            <v>97.447999999999993</v>
          </cell>
          <cell r="C638">
            <v>0.9931836013906743</v>
          </cell>
          <cell r="D638">
            <v>98.441183601390662</v>
          </cell>
          <cell r="E638">
            <v>0.87999999999999989</v>
          </cell>
          <cell r="F638">
            <v>0</v>
          </cell>
          <cell r="G638">
            <v>0</v>
          </cell>
          <cell r="H638">
            <v>97.561183601390667</v>
          </cell>
          <cell r="I638">
            <v>0</v>
          </cell>
          <cell r="J638"/>
          <cell r="K638">
            <v>97.561183601390667</v>
          </cell>
        </row>
        <row r="639">
          <cell r="A639">
            <v>4.625</v>
          </cell>
          <cell r="B639">
            <v>96.986000000000004</v>
          </cell>
          <cell r="C639">
            <v>0.99945483888891884</v>
          </cell>
          <cell r="D639">
            <v>97.985454838888927</v>
          </cell>
          <cell r="E639">
            <v>0.87999999999999989</v>
          </cell>
          <cell r="F639">
            <v>0</v>
          </cell>
          <cell r="G639">
            <v>0</v>
          </cell>
          <cell r="H639">
            <v>97.105454838888932</v>
          </cell>
          <cell r="I639">
            <v>0</v>
          </cell>
          <cell r="J639"/>
          <cell r="K639">
            <v>97.105454838888932</v>
          </cell>
        </row>
        <row r="640">
          <cell r="A640">
            <v>4.5</v>
          </cell>
          <cell r="B640">
            <v>96.777000000000001</v>
          </cell>
          <cell r="C640">
            <v>1.0064408622094436</v>
          </cell>
          <cell r="D640">
            <v>97.783440862209446</v>
          </cell>
          <cell r="E640">
            <v>0.87999999999999989</v>
          </cell>
          <cell r="F640">
            <v>0</v>
          </cell>
          <cell r="G640">
            <v>0</v>
          </cell>
          <cell r="H640">
            <v>96.90344086220945</v>
          </cell>
          <cell r="I640">
            <v>0</v>
          </cell>
          <cell r="J640"/>
          <cell r="K640">
            <v>96.90344086220945</v>
          </cell>
        </row>
        <row r="641">
          <cell r="A641">
            <v>4.375</v>
          </cell>
          <cell r="B641">
            <v>96.325000000000003</v>
          </cell>
          <cell r="C641">
            <v>1.0126944802008624</v>
          </cell>
          <cell r="D641">
            <v>97.337694480200867</v>
          </cell>
          <cell r="E641">
            <v>0.87999999999999989</v>
          </cell>
          <cell r="F641">
            <v>0</v>
          </cell>
          <cell r="G641">
            <v>0</v>
          </cell>
          <cell r="H641">
            <v>96.457694480200871</v>
          </cell>
          <cell r="I641">
            <v>0</v>
          </cell>
          <cell r="J641"/>
          <cell r="K641">
            <v>96.457694480200871</v>
          </cell>
        </row>
        <row r="642">
          <cell r="A642">
            <v>4.25</v>
          </cell>
          <cell r="B642">
            <v>95.872</v>
          </cell>
          <cell r="C642">
            <v>1.0182504869902909</v>
          </cell>
          <cell r="D642">
            <v>96.890250486990297</v>
          </cell>
          <cell r="E642">
            <v>0.87999999999999989</v>
          </cell>
          <cell r="F642">
            <v>0</v>
          </cell>
          <cell r="G642">
            <v>0</v>
          </cell>
          <cell r="H642">
            <v>96.010250486990302</v>
          </cell>
          <cell r="I642">
            <v>0</v>
          </cell>
          <cell r="J642"/>
          <cell r="K642">
            <v>96.010250486990302</v>
          </cell>
        </row>
        <row r="643">
          <cell r="A643">
            <v>4.125</v>
          </cell>
          <cell r="B643">
            <v>95.507000000000005</v>
          </cell>
          <cell r="C643">
            <v>1.0217722423438786</v>
          </cell>
          <cell r="D643">
            <v>96.528772242343877</v>
          </cell>
          <cell r="E643">
            <v>0.87999999999999989</v>
          </cell>
          <cell r="F643">
            <v>0</v>
          </cell>
          <cell r="G643">
            <v>0</v>
          </cell>
          <cell r="H643">
            <v>95.648772242343881</v>
          </cell>
          <cell r="I643">
            <v>0</v>
          </cell>
          <cell r="J643"/>
          <cell r="K643">
            <v>95.648772242343881</v>
          </cell>
        </row>
        <row r="644">
          <cell r="A644">
            <v>4</v>
          </cell>
          <cell r="B644">
            <v>96.27</v>
          </cell>
          <cell r="C644">
            <v>1.0265176804877132</v>
          </cell>
          <cell r="D644">
            <v>97.29651768048771</v>
          </cell>
          <cell r="E644">
            <v>0.87999999999999989</v>
          </cell>
          <cell r="F644">
            <v>0</v>
          </cell>
          <cell r="G644">
            <v>0</v>
          </cell>
          <cell r="H644">
            <v>96.416517680487715</v>
          </cell>
          <cell r="I644">
            <v>0</v>
          </cell>
          <cell r="J644"/>
          <cell r="K644">
            <v>96.416517680487715</v>
          </cell>
        </row>
        <row r="647">
          <cell r="A647">
            <v>7.375</v>
          </cell>
          <cell r="B647">
            <v>103.71299999999999</v>
          </cell>
          <cell r="C647">
            <v>0.43400125035901027</v>
          </cell>
          <cell r="D647">
            <v>104.14700125035901</v>
          </cell>
          <cell r="E647">
            <v>0.87999999999999989</v>
          </cell>
          <cell r="F647">
            <v>0</v>
          </cell>
          <cell r="G647">
            <v>0</v>
          </cell>
          <cell r="H647">
            <v>103.26700125035902</v>
          </cell>
          <cell r="I647">
            <v>0</v>
          </cell>
          <cell r="J647"/>
          <cell r="K647">
            <v>103.26700125035902</v>
          </cell>
        </row>
        <row r="648">
          <cell r="A648">
            <v>7.25</v>
          </cell>
          <cell r="B648">
            <v>103.5</v>
          </cell>
          <cell r="C648">
            <v>0.45126029552525859</v>
          </cell>
          <cell r="D648">
            <v>103.95126029552526</v>
          </cell>
          <cell r="E648">
            <v>0.87999999999999989</v>
          </cell>
          <cell r="F648">
            <v>0</v>
          </cell>
          <cell r="G648">
            <v>0</v>
          </cell>
          <cell r="H648">
            <v>103.07126029552526</v>
          </cell>
          <cell r="I648">
            <v>0</v>
          </cell>
          <cell r="J648"/>
          <cell r="K648">
            <v>103.07126029552526</v>
          </cell>
        </row>
        <row r="649">
          <cell r="A649">
            <v>7.125</v>
          </cell>
          <cell r="B649">
            <v>103.256</v>
          </cell>
          <cell r="C649">
            <v>0.47062189133641386</v>
          </cell>
          <cell r="D649">
            <v>103.72662189133641</v>
          </cell>
          <cell r="E649">
            <v>0.87999999999999989</v>
          </cell>
          <cell r="F649">
            <v>0</v>
          </cell>
          <cell r="G649">
            <v>0</v>
          </cell>
          <cell r="H649">
            <v>102.84662189133641</v>
          </cell>
          <cell r="I649">
            <v>0</v>
          </cell>
          <cell r="J649"/>
          <cell r="K649">
            <v>102.84662189133641</v>
          </cell>
        </row>
        <row r="650">
          <cell r="A650">
            <v>7</v>
          </cell>
          <cell r="B650">
            <v>103.577</v>
          </cell>
          <cell r="C650">
            <v>0.49203982005500169</v>
          </cell>
          <cell r="D650">
            <v>104.069039820055</v>
          </cell>
          <cell r="E650">
            <v>0.87999999999999989</v>
          </cell>
          <cell r="F650">
            <v>0</v>
          </cell>
          <cell r="G650">
            <v>0</v>
          </cell>
          <cell r="H650">
            <v>103.189039820055</v>
          </cell>
          <cell r="I650">
            <v>0</v>
          </cell>
          <cell r="J650"/>
          <cell r="K650">
            <v>103.189039820055</v>
          </cell>
        </row>
        <row r="651">
          <cell r="A651">
            <v>6.875</v>
          </cell>
          <cell r="B651">
            <v>103.336</v>
          </cell>
          <cell r="C651">
            <v>0.51534093630826339</v>
          </cell>
          <cell r="D651">
            <v>103.85134093630826</v>
          </cell>
          <cell r="E651">
            <v>0.87999999999999989</v>
          </cell>
          <cell r="F651">
            <v>0</v>
          </cell>
          <cell r="G651">
            <v>0</v>
          </cell>
          <cell r="H651">
            <v>102.97134093630827</v>
          </cell>
          <cell r="I651">
            <v>0</v>
          </cell>
          <cell r="J651"/>
          <cell r="K651">
            <v>102.97134093630827</v>
          </cell>
        </row>
        <row r="652">
          <cell r="A652">
            <v>6.75</v>
          </cell>
          <cell r="B652">
            <v>103.06699999999999</v>
          </cell>
          <cell r="C652">
            <v>0.54025908368989306</v>
          </cell>
          <cell r="D652">
            <v>103.60725908368988</v>
          </cell>
          <cell r="E652">
            <v>0.87999999999999989</v>
          </cell>
          <cell r="F652">
            <v>0</v>
          </cell>
          <cell r="G652">
            <v>0</v>
          </cell>
          <cell r="H652">
            <v>102.72725908368989</v>
          </cell>
          <cell r="I652">
            <v>0</v>
          </cell>
          <cell r="J652"/>
          <cell r="K652">
            <v>102.72725908368989</v>
          </cell>
        </row>
        <row r="653">
          <cell r="A653">
            <v>6.625</v>
          </cell>
          <cell r="B653">
            <v>102.824</v>
          </cell>
          <cell r="C653">
            <v>0.56610484962926122</v>
          </cell>
          <cell r="D653">
            <v>103.39010484962925</v>
          </cell>
          <cell r="E653">
            <v>0.87999999999999989</v>
          </cell>
          <cell r="F653">
            <v>0</v>
          </cell>
          <cell r="G653">
            <v>0</v>
          </cell>
          <cell r="H653">
            <v>102.51010484962926</v>
          </cell>
          <cell r="I653">
            <v>0</v>
          </cell>
          <cell r="J653"/>
          <cell r="K653">
            <v>102.51010484962926</v>
          </cell>
        </row>
        <row r="654">
          <cell r="A654">
            <v>6.5</v>
          </cell>
          <cell r="B654">
            <v>102.574</v>
          </cell>
          <cell r="C654">
            <v>0.5949705107690505</v>
          </cell>
          <cell r="D654">
            <v>103.16897051076904</v>
          </cell>
          <cell r="E654">
            <v>0.87999999999999989</v>
          </cell>
          <cell r="F654">
            <v>0</v>
          </cell>
          <cell r="G654">
            <v>0</v>
          </cell>
          <cell r="H654">
            <v>102.28897051076905</v>
          </cell>
          <cell r="I654">
            <v>0</v>
          </cell>
          <cell r="J654"/>
          <cell r="K654">
            <v>102.28897051076905</v>
          </cell>
        </row>
        <row r="655">
          <cell r="A655">
            <v>6.375</v>
          </cell>
          <cell r="B655">
            <v>102.303</v>
          </cell>
          <cell r="C655">
            <v>0.6285438397576335</v>
          </cell>
          <cell r="D655">
            <v>102.93154383975764</v>
          </cell>
          <cell r="E655">
            <v>0.87999999999999989</v>
          </cell>
          <cell r="F655">
            <v>0</v>
          </cell>
          <cell r="G655">
            <v>0</v>
          </cell>
          <cell r="H655">
            <v>102.05154383975764</v>
          </cell>
          <cell r="I655">
            <v>0</v>
          </cell>
          <cell r="J655"/>
          <cell r="K655">
            <v>102.05154383975764</v>
          </cell>
        </row>
        <row r="656">
          <cell r="A656">
            <v>6.25</v>
          </cell>
          <cell r="B656">
            <v>101.97799999999999</v>
          </cell>
          <cell r="C656">
            <v>0.66507419526604572</v>
          </cell>
          <cell r="D656">
            <v>102.64307419526604</v>
          </cell>
          <cell r="E656">
            <v>0.87999999999999989</v>
          </cell>
          <cell r="F656">
            <v>0</v>
          </cell>
          <cell r="G656">
            <v>0</v>
          </cell>
          <cell r="H656">
            <v>101.76307419526604</v>
          </cell>
          <cell r="I656">
            <v>0</v>
          </cell>
          <cell r="J656"/>
          <cell r="K656">
            <v>101.76307419526604</v>
          </cell>
        </row>
        <row r="657">
          <cell r="A657">
            <v>6.125</v>
          </cell>
          <cell r="B657">
            <v>101.625</v>
          </cell>
          <cell r="C657">
            <v>0.70193159693787899</v>
          </cell>
          <cell r="D657">
            <v>102.32693159693788</v>
          </cell>
          <cell r="E657">
            <v>0.87999999999999989</v>
          </cell>
          <cell r="F657">
            <v>0</v>
          </cell>
          <cell r="G657">
            <v>0</v>
          </cell>
          <cell r="H657">
            <v>101.44693159693789</v>
          </cell>
          <cell r="I657">
            <v>0</v>
          </cell>
          <cell r="J657"/>
          <cell r="K657">
            <v>101.44693159693789</v>
          </cell>
        </row>
        <row r="658">
          <cell r="A658">
            <v>6</v>
          </cell>
          <cell r="B658">
            <v>101.328</v>
          </cell>
          <cell r="C658">
            <v>0.7345453709174955</v>
          </cell>
          <cell r="D658">
            <v>102.0625453709175</v>
          </cell>
          <cell r="E658">
            <v>0.87999999999999989</v>
          </cell>
          <cell r="F658">
            <v>0</v>
          </cell>
          <cell r="G658">
            <v>0</v>
          </cell>
          <cell r="H658">
            <v>101.18254537091751</v>
          </cell>
          <cell r="I658">
            <v>0</v>
          </cell>
          <cell r="J658"/>
          <cell r="K658">
            <v>101.18254537091751</v>
          </cell>
        </row>
        <row r="659">
          <cell r="A659">
            <v>5.875</v>
          </cell>
          <cell r="B659">
            <v>101.032</v>
          </cell>
          <cell r="C659">
            <v>0.76241864753888955</v>
          </cell>
          <cell r="D659">
            <v>101.79441864753889</v>
          </cell>
          <cell r="E659">
            <v>0.87999999999999989</v>
          </cell>
          <cell r="F659">
            <v>0</v>
          </cell>
          <cell r="G659">
            <v>0</v>
          </cell>
          <cell r="H659">
            <v>100.91441864753889</v>
          </cell>
          <cell r="I659">
            <v>0</v>
          </cell>
          <cell r="J659"/>
          <cell r="K659">
            <v>100.91441864753889</v>
          </cell>
        </row>
        <row r="660">
          <cell r="A660">
            <v>5.75</v>
          </cell>
          <cell r="B660">
            <v>100.60899999999999</v>
          </cell>
          <cell r="C660">
            <v>0.7840574002214834</v>
          </cell>
          <cell r="D660">
            <v>101.39305740022148</v>
          </cell>
          <cell r="E660">
            <v>0.87999999999999989</v>
          </cell>
          <cell r="F660">
            <v>0</v>
          </cell>
          <cell r="G660">
            <v>0</v>
          </cell>
          <cell r="H660">
            <v>100.51305740022148</v>
          </cell>
          <cell r="I660">
            <v>0</v>
          </cell>
          <cell r="J660"/>
          <cell r="K660">
            <v>100.51305740022148</v>
          </cell>
        </row>
        <row r="661">
          <cell r="A661">
            <v>5.625</v>
          </cell>
          <cell r="B661">
            <v>100.26900000000001</v>
          </cell>
          <cell r="C661">
            <v>0.80157641302291993</v>
          </cell>
          <cell r="D661">
            <v>101.07057641302292</v>
          </cell>
          <cell r="E661">
            <v>0.87999999999999989</v>
          </cell>
          <cell r="F661">
            <v>0</v>
          </cell>
          <cell r="G661">
            <v>0</v>
          </cell>
          <cell r="H661">
            <v>100.19057641302292</v>
          </cell>
          <cell r="I661">
            <v>0</v>
          </cell>
          <cell r="J661"/>
          <cell r="K661">
            <v>100.19057641302292</v>
          </cell>
        </row>
        <row r="662">
          <cell r="A662">
            <v>5.5</v>
          </cell>
          <cell r="B662">
            <v>100.536</v>
          </cell>
          <cell r="C662">
            <v>0.81675711880623858</v>
          </cell>
          <cell r="D662">
            <v>101.35275711880624</v>
          </cell>
          <cell r="E662">
            <v>0.87999999999999989</v>
          </cell>
          <cell r="F662">
            <v>0</v>
          </cell>
          <cell r="G662">
            <v>0</v>
          </cell>
          <cell r="H662">
            <v>100.47275711880624</v>
          </cell>
          <cell r="I662">
            <v>0</v>
          </cell>
          <cell r="J662"/>
          <cell r="K662">
            <v>100.47275711880624</v>
          </cell>
        </row>
        <row r="663">
          <cell r="A663">
            <v>5.375</v>
          </cell>
          <cell r="B663">
            <v>100.175</v>
          </cell>
          <cell r="C663">
            <v>0.83182030861649348</v>
          </cell>
          <cell r="D663">
            <v>101.0068203086165</v>
          </cell>
          <cell r="E663">
            <v>0.87999999999999989</v>
          </cell>
          <cell r="F663">
            <v>0</v>
          </cell>
          <cell r="G663">
            <v>0</v>
          </cell>
          <cell r="H663">
            <v>100.1268203086165</v>
          </cell>
          <cell r="I663">
            <v>0</v>
          </cell>
          <cell r="J663"/>
          <cell r="K663">
            <v>100.1268203086165</v>
          </cell>
        </row>
        <row r="664">
          <cell r="A664">
            <v>5.25</v>
          </cell>
          <cell r="B664">
            <v>99.822000000000003</v>
          </cell>
          <cell r="C664">
            <v>0.84620950695123665</v>
          </cell>
          <cell r="D664">
            <v>100.66820950695124</v>
          </cell>
          <cell r="E664">
            <v>0.87999999999999989</v>
          </cell>
          <cell r="F664">
            <v>0</v>
          </cell>
          <cell r="G664">
            <v>0</v>
          </cell>
          <cell r="H664">
            <v>99.788209506951247</v>
          </cell>
          <cell r="I664">
            <v>0</v>
          </cell>
          <cell r="J664"/>
          <cell r="K664">
            <v>99.788209506951247</v>
          </cell>
        </row>
        <row r="665">
          <cell r="A665">
            <v>5.125</v>
          </cell>
          <cell r="B665">
            <v>99.495999999999995</v>
          </cell>
          <cell r="C665">
            <v>0.85597412571712739</v>
          </cell>
          <cell r="D665">
            <v>100.35197412571712</v>
          </cell>
          <cell r="E665">
            <v>0.87999999999999989</v>
          </cell>
          <cell r="F665">
            <v>0</v>
          </cell>
          <cell r="G665">
            <v>0</v>
          </cell>
          <cell r="H665">
            <v>99.471974125717125</v>
          </cell>
          <cell r="I665">
            <v>0</v>
          </cell>
          <cell r="J665"/>
          <cell r="K665">
            <v>99.471974125717125</v>
          </cell>
        </row>
        <row r="666">
          <cell r="A666">
            <v>5</v>
          </cell>
          <cell r="B666">
            <v>99.328000000000003</v>
          </cell>
          <cell r="C666">
            <v>0.86578115344577855</v>
          </cell>
          <cell r="D666">
            <v>100.19378115344578</v>
          </cell>
          <cell r="E666">
            <v>0.87999999999999989</v>
          </cell>
          <cell r="F666">
            <v>0</v>
          </cell>
          <cell r="G666">
            <v>0</v>
          </cell>
          <cell r="H666">
            <v>99.313781153445788</v>
          </cell>
          <cell r="I666">
            <v>0</v>
          </cell>
          <cell r="J666"/>
          <cell r="K666">
            <v>99.313781153445788</v>
          </cell>
        </row>
        <row r="667">
          <cell r="A667">
            <v>4.875</v>
          </cell>
          <cell r="B667">
            <v>98.953000000000003</v>
          </cell>
          <cell r="C667">
            <v>0.87464002628506887</v>
          </cell>
          <cell r="D667">
            <v>99.827640026285067</v>
          </cell>
          <cell r="E667">
            <v>0.87999999999999989</v>
          </cell>
          <cell r="F667">
            <v>0</v>
          </cell>
          <cell r="G667">
            <v>0</v>
          </cell>
          <cell r="H667">
            <v>98.947640026285072</v>
          </cell>
          <cell r="I667">
            <v>0</v>
          </cell>
          <cell r="J667"/>
          <cell r="K667">
            <v>98.947640026285072</v>
          </cell>
        </row>
        <row r="668">
          <cell r="A668">
            <v>4.75</v>
          </cell>
          <cell r="B668">
            <v>98.557000000000002</v>
          </cell>
          <cell r="C668">
            <v>0.88318360139067431</v>
          </cell>
          <cell r="D668">
            <v>99.440183601390672</v>
          </cell>
          <cell r="E668">
            <v>0.87999999999999989</v>
          </cell>
          <cell r="F668">
            <v>0</v>
          </cell>
          <cell r="G668">
            <v>0</v>
          </cell>
          <cell r="H668">
            <v>98.560183601390676</v>
          </cell>
          <cell r="I668">
            <v>0</v>
          </cell>
          <cell r="J668"/>
          <cell r="K668">
            <v>98.560183601390676</v>
          </cell>
        </row>
        <row r="669">
          <cell r="A669">
            <v>4.625</v>
          </cell>
          <cell r="B669">
            <v>98.113</v>
          </cell>
          <cell r="C669">
            <v>0.88945483888891885</v>
          </cell>
          <cell r="D669">
            <v>99.002454838888923</v>
          </cell>
          <cell r="E669">
            <v>0.87999999999999989</v>
          </cell>
          <cell r="F669">
            <v>0</v>
          </cell>
          <cell r="G669">
            <v>0</v>
          </cell>
          <cell r="H669">
            <v>98.122454838888927</v>
          </cell>
          <cell r="I669">
            <v>0</v>
          </cell>
          <cell r="J669"/>
          <cell r="K669">
            <v>98.122454838888927</v>
          </cell>
        </row>
        <row r="670">
          <cell r="A670">
            <v>4.5</v>
          </cell>
          <cell r="B670">
            <v>97.251000000000005</v>
          </cell>
          <cell r="C670">
            <v>0.89644086220944363</v>
          </cell>
          <cell r="D670">
            <v>98.14744086220945</v>
          </cell>
          <cell r="E670">
            <v>0.87999999999999989</v>
          </cell>
          <cell r="F670">
            <v>0</v>
          </cell>
          <cell r="G670">
            <v>0</v>
          </cell>
          <cell r="H670">
            <v>97.267440862209455</v>
          </cell>
          <cell r="I670">
            <v>0</v>
          </cell>
          <cell r="J670"/>
          <cell r="K670">
            <v>97.267440862209455</v>
          </cell>
        </row>
        <row r="671">
          <cell r="A671">
            <v>4.375</v>
          </cell>
          <cell r="B671">
            <v>96.703000000000003</v>
          </cell>
          <cell r="C671">
            <v>0.9026944802008624</v>
          </cell>
          <cell r="D671">
            <v>97.605694480200867</v>
          </cell>
          <cell r="E671">
            <v>0.87999999999999989</v>
          </cell>
          <cell r="F671">
            <v>0</v>
          </cell>
          <cell r="G671">
            <v>0</v>
          </cell>
          <cell r="H671">
            <v>96.725694480200872</v>
          </cell>
          <cell r="I671">
            <v>0</v>
          </cell>
          <cell r="J671"/>
          <cell r="K671">
            <v>96.725694480200872</v>
          </cell>
        </row>
        <row r="674">
          <cell r="A674">
            <v>7.875</v>
          </cell>
          <cell r="B674">
            <v>101.801</v>
          </cell>
          <cell r="C674">
            <v>0.56535660196418347</v>
          </cell>
          <cell r="D674">
            <v>102.36635660196418</v>
          </cell>
          <cell r="E674">
            <v>0.36</v>
          </cell>
          <cell r="F674">
            <v>-0.71083333333333487</v>
          </cell>
          <cell r="G674">
            <v>0</v>
          </cell>
          <cell r="H674">
            <v>102.71718993529753</v>
          </cell>
          <cell r="I674">
            <v>0</v>
          </cell>
          <cell r="J674"/>
          <cell r="K674">
            <v>102.71718993529753</v>
          </cell>
        </row>
        <row r="675">
          <cell r="A675">
            <v>7.75</v>
          </cell>
          <cell r="B675">
            <v>101.471</v>
          </cell>
          <cell r="C675">
            <v>0.6236258818925321</v>
          </cell>
          <cell r="D675">
            <v>102.09462588189254</v>
          </cell>
          <cell r="E675">
            <v>0.36</v>
          </cell>
          <cell r="F675">
            <v>-0.59708333333332952</v>
          </cell>
          <cell r="G675">
            <v>0</v>
          </cell>
          <cell r="H675">
            <v>102.33170921522587</v>
          </cell>
          <cell r="I675">
            <v>0</v>
          </cell>
          <cell r="J675"/>
          <cell r="K675">
            <v>102.33170921522587</v>
          </cell>
        </row>
        <row r="676">
          <cell r="A676">
            <v>7.625</v>
          </cell>
          <cell r="B676">
            <v>102.154</v>
          </cell>
          <cell r="C676">
            <v>0.67488455781423251</v>
          </cell>
          <cell r="D676">
            <v>102.82888455781423</v>
          </cell>
          <cell r="E676">
            <v>0.36</v>
          </cell>
          <cell r="F676">
            <v>-0.30499999999999883</v>
          </cell>
          <cell r="G676">
            <v>0</v>
          </cell>
          <cell r="H676">
            <v>102.77388455781423</v>
          </cell>
          <cell r="I676">
            <v>0</v>
          </cell>
          <cell r="J676"/>
          <cell r="K676">
            <v>102.77388455781423</v>
          </cell>
        </row>
        <row r="677">
          <cell r="A677">
            <v>7.5</v>
          </cell>
          <cell r="B677">
            <v>101.965</v>
          </cell>
          <cell r="C677">
            <v>0.72379037117104539</v>
          </cell>
          <cell r="D677">
            <v>102.68879037117105</v>
          </cell>
          <cell r="E677">
            <v>0.36</v>
          </cell>
          <cell r="F677">
            <v>-0.27249999999999763</v>
          </cell>
          <cell r="G677">
            <v>0</v>
          </cell>
          <cell r="H677">
            <v>102.60129037117105</v>
          </cell>
          <cell r="I677">
            <v>0</v>
          </cell>
          <cell r="J677"/>
          <cell r="K677">
            <v>102.60129037117105</v>
          </cell>
        </row>
        <row r="678">
          <cell r="A678">
            <v>7.375</v>
          </cell>
          <cell r="B678">
            <v>101.503</v>
          </cell>
          <cell r="C678">
            <v>0.77368308706149624</v>
          </cell>
          <cell r="D678">
            <v>102.2766830870615</v>
          </cell>
          <cell r="E678">
            <v>0.36</v>
          </cell>
          <cell r="F678">
            <v>-0.32708333333333106</v>
          </cell>
          <cell r="G678">
            <v>0</v>
          </cell>
          <cell r="H678">
            <v>102.24376642039483</v>
          </cell>
          <cell r="I678">
            <v>0</v>
          </cell>
          <cell r="J678"/>
          <cell r="K678">
            <v>102.24376642039483</v>
          </cell>
        </row>
        <row r="679">
          <cell r="A679">
            <v>7.25</v>
          </cell>
          <cell r="B679">
            <v>100.98699999999999</v>
          </cell>
          <cell r="C679">
            <v>0.82360853900415887</v>
          </cell>
          <cell r="D679">
            <v>101.81060853900415</v>
          </cell>
          <cell r="E679">
            <v>0.36</v>
          </cell>
          <cell r="F679">
            <v>-0.32041666666666802</v>
          </cell>
          <cell r="G679">
            <v>0</v>
          </cell>
          <cell r="H679">
            <v>101.77102520567082</v>
          </cell>
          <cell r="I679">
            <v>0</v>
          </cell>
          <cell r="J679"/>
          <cell r="K679">
            <v>101.77102520567082</v>
          </cell>
        </row>
        <row r="680">
          <cell r="A680">
            <v>7.125</v>
          </cell>
          <cell r="B680">
            <v>101.511</v>
          </cell>
          <cell r="C680">
            <v>0.87236164847436104</v>
          </cell>
          <cell r="D680">
            <v>102.38336164847436</v>
          </cell>
          <cell r="E680">
            <v>0.36</v>
          </cell>
          <cell r="F680">
            <v>7.9166666666639074E-3</v>
          </cell>
          <cell r="G680">
            <v>0</v>
          </cell>
          <cell r="H680">
            <v>102.0154449818077</v>
          </cell>
          <cell r="I680">
            <v>0</v>
          </cell>
          <cell r="J680"/>
          <cell r="K680">
            <v>102.0154449818077</v>
          </cell>
        </row>
        <row r="681">
          <cell r="A681">
            <v>7</v>
          </cell>
          <cell r="B681">
            <v>101.166</v>
          </cell>
          <cell r="C681">
            <v>0.91849551950415798</v>
          </cell>
          <cell r="D681">
            <v>102.08449551950416</v>
          </cell>
          <cell r="E681">
            <v>0.36</v>
          </cell>
          <cell r="F681">
            <v>2.1666666666664391E-2</v>
          </cell>
          <cell r="G681">
            <v>0</v>
          </cell>
          <cell r="H681">
            <v>101.7028288528375</v>
          </cell>
          <cell r="I681">
            <v>0</v>
          </cell>
          <cell r="J681"/>
          <cell r="K681">
            <v>101.7028288528375</v>
          </cell>
        </row>
        <row r="682">
          <cell r="A682">
            <v>6.875</v>
          </cell>
          <cell r="B682">
            <v>100.69</v>
          </cell>
          <cell r="C682">
            <v>0.96037016523299634</v>
          </cell>
          <cell r="D682">
            <v>101.650370165233</v>
          </cell>
          <cell r="E682">
            <v>0.36</v>
          </cell>
          <cell r="F682">
            <v>-0.21333333333333504</v>
          </cell>
          <cell r="G682">
            <v>0</v>
          </cell>
          <cell r="H682">
            <v>101.50370349856634</v>
          </cell>
          <cell r="I682">
            <v>0</v>
          </cell>
          <cell r="J682"/>
          <cell r="K682">
            <v>101.50370349856634</v>
          </cell>
        </row>
        <row r="683">
          <cell r="A683">
            <v>6.75</v>
          </cell>
          <cell r="B683">
            <v>100.101</v>
          </cell>
          <cell r="C683">
            <v>0.99628142024958177</v>
          </cell>
          <cell r="D683">
            <v>101.09728142024959</v>
          </cell>
          <cell r="E683">
            <v>0.36</v>
          </cell>
          <cell r="F683">
            <v>-0.21333333333333504</v>
          </cell>
          <cell r="G683">
            <v>0</v>
          </cell>
          <cell r="H683">
            <v>100.95061475358293</v>
          </cell>
          <cell r="I683">
            <v>0</v>
          </cell>
          <cell r="J683"/>
          <cell r="K683">
            <v>100.95061475358293</v>
          </cell>
        </row>
        <row r="684">
          <cell r="A684">
            <v>6.625</v>
          </cell>
          <cell r="B684">
            <v>100.232</v>
          </cell>
          <cell r="C684">
            <v>1.0245887605036648</v>
          </cell>
          <cell r="D684">
            <v>101.25658876050366</v>
          </cell>
          <cell r="E684">
            <v>0.36</v>
          </cell>
          <cell r="F684">
            <v>-6.6666666666666707E-2</v>
          </cell>
          <cell r="G684">
            <v>0</v>
          </cell>
          <cell r="H684">
            <v>100.96325542717032</v>
          </cell>
          <cell r="I684">
            <v>0</v>
          </cell>
          <cell r="J684"/>
          <cell r="K684">
            <v>100.96325542717032</v>
          </cell>
        </row>
        <row r="685">
          <cell r="A685">
            <v>6.5</v>
          </cell>
          <cell r="B685">
            <v>99.820999999999998</v>
          </cell>
          <cell r="C685">
            <v>1.0438653664088597</v>
          </cell>
          <cell r="D685">
            <v>100.86486536640886</v>
          </cell>
          <cell r="E685">
            <v>0.36</v>
          </cell>
          <cell r="F685">
            <v>-0.191249999999998</v>
          </cell>
          <cell r="G685">
            <v>0</v>
          </cell>
          <cell r="H685">
            <v>100.69611536640886</v>
          </cell>
          <cell r="I685">
            <v>0</v>
          </cell>
          <cell r="J685"/>
          <cell r="K685">
            <v>100.69611536640886</v>
          </cell>
        </row>
        <row r="686">
          <cell r="A686">
            <v>6.375</v>
          </cell>
          <cell r="B686">
            <v>99.454999999999998</v>
          </cell>
          <cell r="C686">
            <v>1.0813957336768123</v>
          </cell>
          <cell r="D686">
            <v>100.53639573367681</v>
          </cell>
          <cell r="E686">
            <v>0.36</v>
          </cell>
          <cell r="F686">
            <v>-0.26624999999999799</v>
          </cell>
          <cell r="G686">
            <v>0</v>
          </cell>
          <cell r="H686">
            <v>100.44264573367681</v>
          </cell>
          <cell r="I686">
            <v>0</v>
          </cell>
          <cell r="J686"/>
          <cell r="K686">
            <v>100.44264573367681</v>
          </cell>
        </row>
        <row r="687">
          <cell r="A687">
            <v>6.25</v>
          </cell>
          <cell r="B687">
            <v>98.978999999999999</v>
          </cell>
          <cell r="C687">
            <v>1.11673163637932</v>
          </cell>
          <cell r="D687">
            <v>100.09573163637931</v>
          </cell>
          <cell r="E687">
            <v>0.36</v>
          </cell>
          <cell r="F687">
            <v>-0.31666666666666665</v>
          </cell>
          <cell r="G687">
            <v>0</v>
          </cell>
          <cell r="H687">
            <v>100.05239830304598</v>
          </cell>
          <cell r="I687">
            <v>0</v>
          </cell>
          <cell r="J687"/>
          <cell r="K687">
            <v>100.05239830304598</v>
          </cell>
        </row>
        <row r="688">
          <cell r="A688">
            <v>6.125</v>
          </cell>
          <cell r="B688">
            <v>99.296999999999997</v>
          </cell>
          <cell r="C688">
            <v>1.1492095706938446</v>
          </cell>
          <cell r="D688">
            <v>100.44620957069384</v>
          </cell>
          <cell r="E688">
            <v>0.36</v>
          </cell>
          <cell r="F688">
            <v>0.49791666666666673</v>
          </cell>
          <cell r="G688">
            <v>0</v>
          </cell>
          <cell r="H688">
            <v>99.58829290402717</v>
          </cell>
          <cell r="I688">
            <v>0</v>
          </cell>
          <cell r="J688"/>
          <cell r="K688">
            <v>99.58829290402717</v>
          </cell>
        </row>
        <row r="689">
          <cell r="A689">
            <v>6</v>
          </cell>
          <cell r="B689">
            <v>98.81</v>
          </cell>
          <cell r="C689">
            <v>1.175188528653438</v>
          </cell>
          <cell r="D689">
            <v>99.985188528653438</v>
          </cell>
          <cell r="E689">
            <v>0.36</v>
          </cell>
          <cell r="F689">
            <v>0.4483333333333353</v>
          </cell>
          <cell r="G689">
            <v>0</v>
          </cell>
          <cell r="H689">
            <v>99.176855195320101</v>
          </cell>
          <cell r="I689">
            <v>0</v>
          </cell>
          <cell r="J689"/>
          <cell r="K689">
            <v>99.176855195320101</v>
          </cell>
        </row>
        <row r="690">
          <cell r="A690">
            <v>5.875</v>
          </cell>
          <cell r="B690">
            <v>98.33</v>
          </cell>
          <cell r="C690">
            <v>1.2001075198788873</v>
          </cell>
          <cell r="D690">
            <v>99.530107519878882</v>
          </cell>
          <cell r="E690">
            <v>0.36</v>
          </cell>
          <cell r="F690">
            <v>0.44791666666666669</v>
          </cell>
          <cell r="G690">
            <v>0</v>
          </cell>
          <cell r="H690">
            <v>98.722190853212211</v>
          </cell>
          <cell r="I690">
            <v>0</v>
          </cell>
          <cell r="J690"/>
          <cell r="K690">
            <v>98.722190853212211</v>
          </cell>
        </row>
        <row r="691">
          <cell r="A691">
            <v>5.75</v>
          </cell>
          <cell r="B691">
            <v>97.769000000000005</v>
          </cell>
          <cell r="C691">
            <v>1.220373990714686</v>
          </cell>
          <cell r="D691">
            <v>98.989373990714697</v>
          </cell>
          <cell r="E691">
            <v>0.36</v>
          </cell>
          <cell r="F691">
            <v>0.4483333333333353</v>
          </cell>
          <cell r="G691">
            <v>0</v>
          </cell>
          <cell r="H691">
            <v>98.181040657381359</v>
          </cell>
          <cell r="I691">
            <v>0</v>
          </cell>
          <cell r="J691"/>
          <cell r="K691">
            <v>98.181040657381359</v>
          </cell>
        </row>
        <row r="692">
          <cell r="A692">
            <v>5.625</v>
          </cell>
          <cell r="B692">
            <v>97.102999999999994</v>
          </cell>
          <cell r="C692">
            <v>1.2354980652420697</v>
          </cell>
          <cell r="D692">
            <v>98.338498065242064</v>
          </cell>
          <cell r="E692">
            <v>0.36</v>
          </cell>
          <cell r="F692">
            <v>0.40208333333333357</v>
          </cell>
          <cell r="G692">
            <v>0</v>
          </cell>
          <cell r="H692">
            <v>97.576414731908727</v>
          </cell>
          <cell r="I692">
            <v>0</v>
          </cell>
          <cell r="J692"/>
          <cell r="K692">
            <v>97.576414731908727</v>
          </cell>
        </row>
        <row r="693">
          <cell r="A693">
            <v>5.5</v>
          </cell>
          <cell r="B693">
            <v>96.498000000000005</v>
          </cell>
          <cell r="C693">
            <v>1.2479906782557784</v>
          </cell>
          <cell r="D693">
            <v>97.745990678255779</v>
          </cell>
          <cell r="E693">
            <v>0.36</v>
          </cell>
          <cell r="F693">
            <v>0.40083333333333349</v>
          </cell>
          <cell r="G693">
            <v>0</v>
          </cell>
          <cell r="H693">
            <v>96.985157344922442</v>
          </cell>
          <cell r="I693">
            <v>0</v>
          </cell>
          <cell r="J693"/>
          <cell r="K693">
            <v>96.985157344922442</v>
          </cell>
        </row>
        <row r="694">
          <cell r="A694">
            <v>5.375</v>
          </cell>
          <cell r="B694">
            <v>95.909000000000006</v>
          </cell>
          <cell r="C694">
            <v>1.2637998095544902</v>
          </cell>
          <cell r="D694">
            <v>97.17279980955449</v>
          </cell>
          <cell r="E694">
            <v>0.36</v>
          </cell>
          <cell r="F694">
            <v>0.39958333333333346</v>
          </cell>
          <cell r="G694">
            <v>0</v>
          </cell>
          <cell r="H694">
            <v>96.413216476221152</v>
          </cell>
          <cell r="I694">
            <v>0</v>
          </cell>
          <cell r="J694"/>
          <cell r="K694">
            <v>96.413216476221152</v>
          </cell>
        </row>
        <row r="695">
          <cell r="A695">
            <v>5.25</v>
          </cell>
          <cell r="B695">
            <v>95.021000000000001</v>
          </cell>
          <cell r="C695">
            <v>1.2799496190579389</v>
          </cell>
          <cell r="D695">
            <v>96.300949619057945</v>
          </cell>
          <cell r="E695">
            <v>0.36</v>
          </cell>
          <cell r="F695">
            <v>0.44791666666666669</v>
          </cell>
          <cell r="G695">
            <v>0</v>
          </cell>
          <cell r="H695">
            <v>95.493032952391275</v>
          </cell>
          <cell r="I695">
            <v>0</v>
          </cell>
          <cell r="J695"/>
          <cell r="K695">
            <v>95.493032952391275</v>
          </cell>
        </row>
        <row r="696">
          <cell r="A696">
            <v>5.125</v>
          </cell>
          <cell r="B696">
            <v>93.084000000000003</v>
          </cell>
          <cell r="C696">
            <v>1.2964498662264292</v>
          </cell>
          <cell r="D696">
            <v>94.380449866226428</v>
          </cell>
          <cell r="E696">
            <v>0.36</v>
          </cell>
          <cell r="F696">
            <v>-0.35208333333333408</v>
          </cell>
          <cell r="G696">
            <v>0</v>
          </cell>
          <cell r="H696">
            <v>94.372533199559768</v>
          </cell>
          <cell r="I696">
            <v>0</v>
          </cell>
          <cell r="J696"/>
          <cell r="K696">
            <v>94.372533199559768</v>
          </cell>
        </row>
        <row r="697">
          <cell r="A697">
            <v>5</v>
          </cell>
          <cell r="B697">
            <v>92.358000000000004</v>
          </cell>
          <cell r="C697">
            <v>1.3104616881792834</v>
          </cell>
          <cell r="D697">
            <v>93.668461688179292</v>
          </cell>
          <cell r="E697">
            <v>0.36</v>
          </cell>
          <cell r="F697">
            <v>-0.35749999999999704</v>
          </cell>
          <cell r="G697">
            <v>0</v>
          </cell>
          <cell r="H697">
            <v>93.665961688179294</v>
          </cell>
          <cell r="I697">
            <v>0</v>
          </cell>
          <cell r="J697"/>
          <cell r="K697">
            <v>93.665961688179294</v>
          </cell>
        </row>
        <row r="698">
          <cell r="A698">
            <v>4.875</v>
          </cell>
          <cell r="B698">
            <v>91.578000000000003</v>
          </cell>
          <cell r="C698">
            <v>1.3211709877456339</v>
          </cell>
          <cell r="D698">
            <v>92.899170987745634</v>
          </cell>
          <cell r="E698">
            <v>0.36</v>
          </cell>
          <cell r="F698">
            <v>-0.85916666666666575</v>
          </cell>
          <cell r="G698">
            <v>0</v>
          </cell>
          <cell r="H698">
            <v>93.398337654412302</v>
          </cell>
          <cell r="I698">
            <v>0</v>
          </cell>
          <cell r="J698"/>
          <cell r="K698">
            <v>93.398337654412302</v>
          </cell>
        </row>
        <row r="701">
          <cell r="A701">
            <v>7.5</v>
          </cell>
          <cell r="B701">
            <v>103.27800000000001</v>
          </cell>
          <cell r="C701">
            <v>0.43874778089460281</v>
          </cell>
          <cell r="D701">
            <v>103.71674778089461</v>
          </cell>
          <cell r="E701">
            <v>0.748</v>
          </cell>
          <cell r="F701"/>
          <cell r="G701">
            <v>0</v>
          </cell>
          <cell r="H701">
            <v>102.9687477808946</v>
          </cell>
          <cell r="I701">
            <v>0</v>
          </cell>
          <cell r="J701"/>
          <cell r="K701">
            <v>102.9687477808946</v>
          </cell>
        </row>
        <row r="702">
          <cell r="A702">
            <v>7.375</v>
          </cell>
          <cell r="B702">
            <v>103.08</v>
          </cell>
          <cell r="C702">
            <v>0.45588363863471026</v>
          </cell>
          <cell r="D702">
            <v>103.53588363863471</v>
          </cell>
          <cell r="E702">
            <v>0.748</v>
          </cell>
          <cell r="F702"/>
          <cell r="G702">
            <v>0</v>
          </cell>
          <cell r="H702">
            <v>102.78788363863471</v>
          </cell>
          <cell r="I702">
            <v>0</v>
          </cell>
          <cell r="J702"/>
          <cell r="K702">
            <v>102.78788363863471</v>
          </cell>
        </row>
        <row r="703">
          <cell r="A703">
            <v>7.25</v>
          </cell>
          <cell r="B703">
            <v>102.86499999999999</v>
          </cell>
          <cell r="C703">
            <v>0.47526547396421986</v>
          </cell>
          <cell r="D703">
            <v>103.34026547396421</v>
          </cell>
          <cell r="E703">
            <v>0.748</v>
          </cell>
          <cell r="F703"/>
          <cell r="G703">
            <v>0</v>
          </cell>
          <cell r="H703">
            <v>102.5922654739642</v>
          </cell>
          <cell r="I703">
            <v>0</v>
          </cell>
          <cell r="J703"/>
          <cell r="K703">
            <v>102.5922654739642</v>
          </cell>
        </row>
        <row r="704">
          <cell r="A704">
            <v>7.125</v>
          </cell>
          <cell r="B704">
            <v>103.14400000000001</v>
          </cell>
          <cell r="C704">
            <v>0.49681490865003308</v>
          </cell>
          <cell r="D704">
            <v>103.64081490865004</v>
          </cell>
          <cell r="E704">
            <v>0.748</v>
          </cell>
          <cell r="F704"/>
          <cell r="G704">
            <v>0</v>
          </cell>
          <cell r="H704">
            <v>102.89281490865004</v>
          </cell>
          <cell r="I704">
            <v>0</v>
          </cell>
          <cell r="J704"/>
          <cell r="K704">
            <v>102.89281490865004</v>
          </cell>
        </row>
        <row r="705">
          <cell r="A705">
            <v>7</v>
          </cell>
          <cell r="B705">
            <v>102.919</v>
          </cell>
          <cell r="C705">
            <v>0.52037556715897559</v>
          </cell>
          <cell r="D705">
            <v>103.43937556715898</v>
          </cell>
          <cell r="E705">
            <v>0.748</v>
          </cell>
          <cell r="F705"/>
          <cell r="G705">
            <v>0</v>
          </cell>
          <cell r="H705">
            <v>102.69137556715897</v>
          </cell>
          <cell r="I705">
            <v>0</v>
          </cell>
          <cell r="J705"/>
          <cell r="K705">
            <v>102.69137556715897</v>
          </cell>
        </row>
        <row r="706">
          <cell r="A706">
            <v>6.875</v>
          </cell>
          <cell r="B706">
            <v>102.30800000000001</v>
          </cell>
          <cell r="C706">
            <v>0.54564084761869491</v>
          </cell>
          <cell r="D706">
            <v>102.85364084761871</v>
          </cell>
          <cell r="E706">
            <v>0.748</v>
          </cell>
          <cell r="F706"/>
          <cell r="G706">
            <v>0</v>
          </cell>
          <cell r="H706">
            <v>102.1056408476187</v>
          </cell>
          <cell r="I706">
            <v>0</v>
          </cell>
          <cell r="J706"/>
          <cell r="K706">
            <v>102.1056408476187</v>
          </cell>
        </row>
        <row r="707">
          <cell r="A707">
            <v>6.75</v>
          </cell>
          <cell r="B707">
            <v>101.90600000000001</v>
          </cell>
          <cell r="C707">
            <v>0.57220690482506398</v>
          </cell>
          <cell r="D707">
            <v>102.47820690482507</v>
          </cell>
          <cell r="E707">
            <v>0.748</v>
          </cell>
          <cell r="F707"/>
          <cell r="G707">
            <v>0</v>
          </cell>
          <cell r="H707">
            <v>101.73020690482507</v>
          </cell>
          <cell r="I707">
            <v>0</v>
          </cell>
          <cell r="J707"/>
          <cell r="K707">
            <v>101.73020690482507</v>
          </cell>
        </row>
        <row r="708">
          <cell r="A708">
            <v>6.625</v>
          </cell>
          <cell r="B708">
            <v>101.747</v>
          </cell>
          <cell r="C708">
            <v>0.60211237942935858</v>
          </cell>
          <cell r="D708">
            <v>102.34911237942936</v>
          </cell>
          <cell r="E708">
            <v>0.748</v>
          </cell>
          <cell r="F708"/>
          <cell r="G708">
            <v>0</v>
          </cell>
          <cell r="H708">
            <v>101.60111237942935</v>
          </cell>
          <cell r="I708">
            <v>0</v>
          </cell>
          <cell r="J708"/>
          <cell r="K708">
            <v>101.60111237942935</v>
          </cell>
        </row>
        <row r="709">
          <cell r="A709">
            <v>6.5</v>
          </cell>
          <cell r="B709">
            <v>101.49299999999999</v>
          </cell>
          <cell r="C709">
            <v>0.63714431752413758</v>
          </cell>
          <cell r="D709">
            <v>102.13014431752413</v>
          </cell>
          <cell r="E709">
            <v>0.748</v>
          </cell>
          <cell r="F709"/>
          <cell r="G709">
            <v>0</v>
          </cell>
          <cell r="H709">
            <v>101.38214431752412</v>
          </cell>
          <cell r="I709">
            <v>0</v>
          </cell>
          <cell r="J709"/>
          <cell r="K709">
            <v>101.38214431752412</v>
          </cell>
        </row>
        <row r="710">
          <cell r="A710">
            <v>6.375</v>
          </cell>
          <cell r="B710">
            <v>101.2</v>
          </cell>
          <cell r="C710">
            <v>0.67564783686188457</v>
          </cell>
          <cell r="D710">
            <v>101.87564783686189</v>
          </cell>
          <cell r="E710">
            <v>0.748</v>
          </cell>
          <cell r="F710"/>
          <cell r="G710">
            <v>0</v>
          </cell>
          <cell r="H710">
            <v>101.12764783686188</v>
          </cell>
          <cell r="I710">
            <v>0</v>
          </cell>
          <cell r="J710"/>
          <cell r="K710">
            <v>101.12764783686188</v>
          </cell>
        </row>
        <row r="711">
          <cell r="A711">
            <v>6.25</v>
          </cell>
          <cell r="B711">
            <v>100.791</v>
          </cell>
          <cell r="C711">
            <v>0.71500342732241795</v>
          </cell>
          <cell r="D711">
            <v>101.50600342732241</v>
          </cell>
          <cell r="E711">
            <v>0.748</v>
          </cell>
          <cell r="F711"/>
          <cell r="G711">
            <v>0</v>
          </cell>
          <cell r="H711">
            <v>100.75800342732241</v>
          </cell>
          <cell r="I711">
            <v>0</v>
          </cell>
          <cell r="J711"/>
          <cell r="K711">
            <v>100.75800342732241</v>
          </cell>
        </row>
        <row r="712">
          <cell r="A712">
            <v>6.125</v>
          </cell>
          <cell r="B712">
            <v>100.494</v>
          </cell>
          <cell r="C712">
            <v>0.75030594786228078</v>
          </cell>
          <cell r="D712">
            <v>101.24430594786229</v>
          </cell>
          <cell r="E712">
            <v>0.748</v>
          </cell>
          <cell r="F712"/>
          <cell r="G712">
            <v>0</v>
          </cell>
          <cell r="H712">
            <v>100.49630594786228</v>
          </cell>
          <cell r="I712">
            <v>0</v>
          </cell>
          <cell r="J712"/>
          <cell r="K712">
            <v>100.49630594786228</v>
          </cell>
        </row>
        <row r="713">
          <cell r="A713">
            <v>6</v>
          </cell>
          <cell r="B713">
            <v>100.143</v>
          </cell>
          <cell r="C713">
            <v>0.78086101853202361</v>
          </cell>
          <cell r="D713">
            <v>100.92386101853202</v>
          </cell>
          <cell r="E713">
            <v>0.748</v>
          </cell>
          <cell r="F713"/>
          <cell r="G713">
            <v>0</v>
          </cell>
          <cell r="H713">
            <v>100.17586101853202</v>
          </cell>
          <cell r="I713">
            <v>0</v>
          </cell>
          <cell r="J713"/>
          <cell r="K713">
            <v>100.17586101853202</v>
          </cell>
        </row>
        <row r="714">
          <cell r="A714">
            <v>5.875</v>
          </cell>
          <cell r="B714">
            <v>99.825999999999993</v>
          </cell>
          <cell r="C714">
            <v>0.80490800974401167</v>
          </cell>
          <cell r="D714">
            <v>100.630908009744</v>
          </cell>
          <cell r="E714">
            <v>0.748</v>
          </cell>
          <cell r="F714"/>
          <cell r="G714">
            <v>0</v>
          </cell>
          <cell r="H714">
            <v>99.882908009744</v>
          </cell>
          <cell r="I714">
            <v>0</v>
          </cell>
          <cell r="J714"/>
          <cell r="K714">
            <v>99.882908009744</v>
          </cell>
        </row>
        <row r="715">
          <cell r="A715">
            <v>5.75</v>
          </cell>
          <cell r="B715">
            <v>99.331999999999994</v>
          </cell>
          <cell r="C715">
            <v>0.82471406445732209</v>
          </cell>
          <cell r="D715">
            <v>100.15671406445732</v>
          </cell>
          <cell r="E715">
            <v>0.748</v>
          </cell>
          <cell r="F715"/>
          <cell r="G715">
            <v>0</v>
          </cell>
          <cell r="H715">
            <v>99.408714064457314</v>
          </cell>
          <cell r="I715">
            <v>0</v>
          </cell>
          <cell r="J715"/>
          <cell r="K715">
            <v>99.408714064457314</v>
          </cell>
        </row>
        <row r="716">
          <cell r="A716">
            <v>5.625</v>
          </cell>
          <cell r="B716">
            <v>99.247</v>
          </cell>
          <cell r="C716">
            <v>0.84212252907524909</v>
          </cell>
          <cell r="D716">
            <v>100.08912252907525</v>
          </cell>
          <cell r="E716">
            <v>0.748</v>
          </cell>
          <cell r="F716"/>
          <cell r="G716">
            <v>0</v>
          </cell>
          <cell r="H716">
            <v>99.34112252907525</v>
          </cell>
          <cell r="I716">
            <v>0</v>
          </cell>
          <cell r="J716"/>
          <cell r="K716">
            <v>99.34112252907525</v>
          </cell>
        </row>
        <row r="717">
          <cell r="A717">
            <v>5.5</v>
          </cell>
          <cell r="B717">
            <v>98.656999999999996</v>
          </cell>
          <cell r="C717">
            <v>0.85945012668777188</v>
          </cell>
          <cell r="D717">
            <v>99.516450126687772</v>
          </cell>
          <cell r="E717">
            <v>0.748</v>
          </cell>
          <cell r="F717"/>
          <cell r="G717">
            <v>0</v>
          </cell>
          <cell r="H717">
            <v>98.768450126687767</v>
          </cell>
          <cell r="I717">
            <v>0</v>
          </cell>
          <cell r="J717"/>
          <cell r="K717">
            <v>98.768450126687767</v>
          </cell>
        </row>
        <row r="718">
          <cell r="A718">
            <v>5.375</v>
          </cell>
          <cell r="B718">
            <v>98.272999999999996</v>
          </cell>
          <cell r="C718">
            <v>0.87602933051056409</v>
          </cell>
          <cell r="D718">
            <v>99.149029330510558</v>
          </cell>
          <cell r="E718">
            <v>0.748</v>
          </cell>
          <cell r="F718"/>
          <cell r="G718">
            <v>0</v>
          </cell>
          <cell r="H718">
            <v>98.401029330510553</v>
          </cell>
          <cell r="I718">
            <v>0</v>
          </cell>
          <cell r="J718"/>
          <cell r="K718">
            <v>98.401029330510553</v>
          </cell>
        </row>
        <row r="719">
          <cell r="A719">
            <v>5.25</v>
          </cell>
          <cell r="B719">
            <v>97.843000000000004</v>
          </cell>
          <cell r="C719">
            <v>0.88776842760569774</v>
          </cell>
          <cell r="D719">
            <v>98.730768427605696</v>
          </cell>
          <cell r="E719">
            <v>0.748</v>
          </cell>
          <cell r="F719"/>
          <cell r="G719">
            <v>0</v>
          </cell>
          <cell r="H719">
            <v>97.982768427605691</v>
          </cell>
          <cell r="I719">
            <v>0</v>
          </cell>
          <cell r="J719"/>
          <cell r="K719">
            <v>97.982768427605691</v>
          </cell>
        </row>
        <row r="720">
          <cell r="A720">
            <v>5.125</v>
          </cell>
          <cell r="B720">
            <v>97.638000000000005</v>
          </cell>
          <cell r="C720">
            <v>0.89961594178490922</v>
          </cell>
          <cell r="D720">
            <v>98.537615941784921</v>
          </cell>
          <cell r="E720">
            <v>0.748</v>
          </cell>
          <cell r="F720"/>
          <cell r="G720">
            <v>0</v>
          </cell>
          <cell r="H720">
            <v>97.789615941784916</v>
          </cell>
          <cell r="I720">
            <v>0</v>
          </cell>
          <cell r="J720"/>
          <cell r="K720">
            <v>97.789615941784916</v>
          </cell>
        </row>
        <row r="721">
          <cell r="A721">
            <v>5</v>
          </cell>
          <cell r="B721">
            <v>96.918999999999997</v>
          </cell>
          <cell r="C721">
            <v>0.9102688580577174</v>
          </cell>
          <cell r="D721">
            <v>97.829268858057716</v>
          </cell>
          <cell r="E721">
            <v>0.748</v>
          </cell>
          <cell r="F721"/>
          <cell r="G721">
            <v>0</v>
          </cell>
          <cell r="H721">
            <v>97.081268858057712</v>
          </cell>
          <cell r="I721">
            <v>0</v>
          </cell>
          <cell r="J721"/>
          <cell r="K721">
            <v>97.081268858057712</v>
          </cell>
        </row>
        <row r="722">
          <cell r="A722">
            <v>4.875</v>
          </cell>
          <cell r="B722">
            <v>96.528999999999996</v>
          </cell>
          <cell r="C722">
            <v>0.92072833314189895</v>
          </cell>
          <cell r="D722">
            <v>97.449728333141891</v>
          </cell>
          <cell r="E722">
            <v>0.748</v>
          </cell>
          <cell r="F722"/>
          <cell r="G722">
            <v>0</v>
          </cell>
          <cell r="H722">
            <v>96.701728333141887</v>
          </cell>
          <cell r="I722">
            <v>0</v>
          </cell>
          <cell r="J722"/>
          <cell r="K722">
            <v>96.701728333141887</v>
          </cell>
        </row>
        <row r="723">
          <cell r="A723">
            <v>4.75</v>
          </cell>
          <cell r="B723">
            <v>95.88</v>
          </cell>
          <cell r="C723">
            <v>0.92872295036983565</v>
          </cell>
          <cell r="D723">
            <v>96.808722950369827</v>
          </cell>
          <cell r="E723">
            <v>0.748</v>
          </cell>
          <cell r="F723"/>
          <cell r="G723">
            <v>0</v>
          </cell>
          <cell r="H723">
            <v>96.060722950369822</v>
          </cell>
          <cell r="I723">
            <v>0</v>
          </cell>
          <cell r="J723"/>
          <cell r="K723">
            <v>96.060722950369822</v>
          </cell>
        </row>
        <row r="724">
          <cell r="A724">
            <v>4.625</v>
          </cell>
          <cell r="B724">
            <v>95.891999999999996</v>
          </cell>
          <cell r="C724">
            <v>0.93759016306802712</v>
          </cell>
          <cell r="D724">
            <v>96.829590163068019</v>
          </cell>
          <cell r="E724">
            <v>0.748</v>
          </cell>
          <cell r="F724"/>
          <cell r="G724">
            <v>0</v>
          </cell>
          <cell r="H724">
            <v>96.081590163068014</v>
          </cell>
          <cell r="I724">
            <v>0</v>
          </cell>
          <cell r="J724"/>
          <cell r="K724">
            <v>96.081590163068014</v>
          </cell>
        </row>
        <row r="725">
          <cell r="A725">
            <v>4.5</v>
          </cell>
          <cell r="B725">
            <v>95.164000000000001</v>
          </cell>
          <cell r="C725">
            <v>0.9454611666707915</v>
          </cell>
          <cell r="D725">
            <v>96.109461166670798</v>
          </cell>
          <cell r="E725">
            <v>0.748</v>
          </cell>
          <cell r="F725"/>
          <cell r="G725">
            <v>0</v>
          </cell>
          <cell r="H725">
            <v>95.361461166670793</v>
          </cell>
          <cell r="I725">
            <v>0</v>
          </cell>
          <cell r="J725"/>
          <cell r="K725">
            <v>95.361461166670793</v>
          </cell>
        </row>
        <row r="856">
          <cell r="A856">
            <v>7.75</v>
          </cell>
          <cell r="B856">
            <v>104.08311677593971</v>
          </cell>
          <cell r="C856"/>
          <cell r="D856">
            <v>104.08311677593971</v>
          </cell>
          <cell r="E856">
            <v>-0.1</v>
          </cell>
          <cell r="F856">
            <v>0</v>
          </cell>
          <cell r="G856">
            <v>0</v>
          </cell>
          <cell r="H856">
            <v>104.18311677593971</v>
          </cell>
          <cell r="I856">
            <v>0</v>
          </cell>
          <cell r="J856"/>
          <cell r="K856">
            <v>104.18311677593971</v>
          </cell>
        </row>
        <row r="857">
          <cell r="A857">
            <v>7.625</v>
          </cell>
          <cell r="B857">
            <v>103.97900993212886</v>
          </cell>
          <cell r="C857"/>
          <cell r="D857">
            <v>103.97900993212886</v>
          </cell>
          <cell r="E857">
            <v>-0.1</v>
          </cell>
          <cell r="F857">
            <v>0</v>
          </cell>
          <cell r="G857">
            <v>0</v>
          </cell>
          <cell r="H857">
            <v>104.07900993212886</v>
          </cell>
          <cell r="I857">
            <v>0</v>
          </cell>
          <cell r="J857"/>
          <cell r="K857">
            <v>104.07900993212886</v>
          </cell>
        </row>
        <row r="858">
          <cell r="A858">
            <v>7.5</v>
          </cell>
          <cell r="B858">
            <v>103.85579152755699</v>
          </cell>
          <cell r="C858"/>
          <cell r="D858">
            <v>103.85579152755699</v>
          </cell>
          <cell r="E858">
            <v>-0.1</v>
          </cell>
          <cell r="F858">
            <v>0</v>
          </cell>
          <cell r="G858">
            <v>0</v>
          </cell>
          <cell r="H858">
            <v>103.95579152755698</v>
          </cell>
          <cell r="I858">
            <v>0</v>
          </cell>
          <cell r="J858"/>
          <cell r="K858">
            <v>103.95579152755698</v>
          </cell>
        </row>
        <row r="859">
          <cell r="A859">
            <v>7.375</v>
          </cell>
          <cell r="B859">
            <v>103.71113700675494</v>
          </cell>
          <cell r="C859"/>
          <cell r="D859">
            <v>103.71113700675494</v>
          </cell>
          <cell r="E859">
            <v>-0.1</v>
          </cell>
          <cell r="F859">
            <v>0</v>
          </cell>
          <cell r="G859">
            <v>0</v>
          </cell>
          <cell r="H859">
            <v>103.81113700675493</v>
          </cell>
          <cell r="I859">
            <v>0</v>
          </cell>
          <cell r="J859"/>
          <cell r="K859">
            <v>103.81113700675493</v>
          </cell>
        </row>
        <row r="860">
          <cell r="A860">
            <v>7.25</v>
          </cell>
          <cell r="B860">
            <v>104.52775774676354</v>
          </cell>
          <cell r="C860"/>
          <cell r="D860">
            <v>104.52775774676354</v>
          </cell>
          <cell r="E860">
            <v>-0.1</v>
          </cell>
          <cell r="F860">
            <v>0</v>
          </cell>
          <cell r="G860">
            <v>0</v>
          </cell>
          <cell r="H860">
            <v>104.62775774676354</v>
          </cell>
          <cell r="I860">
            <v>0</v>
          </cell>
          <cell r="J860"/>
          <cell r="K860">
            <v>104.62775774676354</v>
          </cell>
        </row>
        <row r="861">
          <cell r="A861">
            <v>7.125</v>
          </cell>
          <cell r="B861">
            <v>104.38952076905805</v>
          </cell>
          <cell r="C861"/>
          <cell r="D861">
            <v>104.38952076905805</v>
          </cell>
          <cell r="E861">
            <v>-0.1</v>
          </cell>
          <cell r="F861">
            <v>0</v>
          </cell>
          <cell r="G861">
            <v>0</v>
          </cell>
          <cell r="H861">
            <v>104.48952076905805</v>
          </cell>
          <cell r="I861">
            <v>0</v>
          </cell>
          <cell r="J861"/>
          <cell r="K861">
            <v>104.48952076905805</v>
          </cell>
        </row>
        <row r="862">
          <cell r="A862">
            <v>7</v>
          </cell>
          <cell r="B862">
            <v>104.22560271552035</v>
          </cell>
          <cell r="C862"/>
          <cell r="D862">
            <v>104.22560271552035</v>
          </cell>
          <cell r="E862">
            <v>-0.1</v>
          </cell>
          <cell r="F862">
            <v>0</v>
          </cell>
          <cell r="G862">
            <v>0</v>
          </cell>
          <cell r="H862">
            <v>104.32560271552035</v>
          </cell>
          <cell r="I862">
            <v>0</v>
          </cell>
          <cell r="J862"/>
          <cell r="K862">
            <v>104.32560271552035</v>
          </cell>
        </row>
        <row r="863">
          <cell r="A863">
            <v>6.875</v>
          </cell>
          <cell r="B863">
            <v>104.03384228403469</v>
          </cell>
          <cell r="C863"/>
          <cell r="D863">
            <v>104.03384228403469</v>
          </cell>
          <cell r="E863">
            <v>-0.1</v>
          </cell>
          <cell r="F863">
            <v>0</v>
          </cell>
          <cell r="G863">
            <v>0</v>
          </cell>
          <cell r="H863">
            <v>104.13384228403469</v>
          </cell>
          <cell r="I863">
            <v>0</v>
          </cell>
          <cell r="J863"/>
          <cell r="K863">
            <v>104.13384228403469</v>
          </cell>
        </row>
        <row r="864">
          <cell r="A864">
            <v>6.75</v>
          </cell>
          <cell r="B864">
            <v>103.81260871862253</v>
          </cell>
          <cell r="C864"/>
          <cell r="D864">
            <v>103.81260871862253</v>
          </cell>
          <cell r="E864">
            <v>-0.1</v>
          </cell>
          <cell r="F864">
            <v>0</v>
          </cell>
          <cell r="G864">
            <v>0</v>
          </cell>
          <cell r="H864">
            <v>103.91260871862252</v>
          </cell>
          <cell r="I864">
            <v>0</v>
          </cell>
          <cell r="J864"/>
          <cell r="K864">
            <v>103.91260871862252</v>
          </cell>
        </row>
        <row r="865">
          <cell r="A865">
            <v>6.625</v>
          </cell>
          <cell r="B865">
            <v>102.58217741707823</v>
          </cell>
          <cell r="C865"/>
          <cell r="D865">
            <v>102.58217741707823</v>
          </cell>
          <cell r="E865">
            <v>-0.1</v>
          </cell>
          <cell r="F865">
            <v>0</v>
          </cell>
          <cell r="G865">
            <v>0</v>
          </cell>
          <cell r="H865">
            <v>102.68217741707822</v>
          </cell>
          <cell r="I865">
            <v>0</v>
          </cell>
          <cell r="J865"/>
          <cell r="K865">
            <v>102.68217741707822</v>
          </cell>
        </row>
        <row r="866">
          <cell r="A866">
            <v>6.5</v>
          </cell>
          <cell r="B866">
            <v>102.36073717527202</v>
          </cell>
          <cell r="C866"/>
          <cell r="D866">
            <v>102.36073717527202</v>
          </cell>
          <cell r="E866">
            <v>-0.1</v>
          </cell>
          <cell r="F866">
            <v>0</v>
          </cell>
          <cell r="G866">
            <v>0</v>
          </cell>
          <cell r="H866">
            <v>102.46073717527202</v>
          </cell>
          <cell r="I866">
            <v>0</v>
          </cell>
          <cell r="J866"/>
          <cell r="K866">
            <v>102.46073717527202</v>
          </cell>
        </row>
        <row r="867">
          <cell r="A867">
            <v>6.375</v>
          </cell>
          <cell r="B867">
            <v>102.10775542411338</v>
          </cell>
          <cell r="C867"/>
          <cell r="D867">
            <v>102.10775542411338</v>
          </cell>
          <cell r="E867">
            <v>-0.1</v>
          </cell>
          <cell r="F867">
            <v>0</v>
          </cell>
          <cell r="G867">
            <v>0</v>
          </cell>
          <cell r="H867">
            <v>102.20775542411337</v>
          </cell>
          <cell r="I867">
            <v>0</v>
          </cell>
          <cell r="J867"/>
          <cell r="K867">
            <v>102.20775542411337</v>
          </cell>
        </row>
        <row r="868">
          <cell r="A868">
            <v>6.25</v>
          </cell>
          <cell r="B868">
            <v>101.85709359623554</v>
          </cell>
          <cell r="C868"/>
          <cell r="D868">
            <v>101.85709359623554</v>
          </cell>
          <cell r="E868">
            <v>-0.1</v>
          </cell>
          <cell r="F868">
            <v>0</v>
          </cell>
          <cell r="G868">
            <v>0</v>
          </cell>
          <cell r="H868">
            <v>101.95709359623554</v>
          </cell>
          <cell r="I868">
            <v>0</v>
          </cell>
          <cell r="J868"/>
          <cell r="K868">
            <v>101.95709359623554</v>
          </cell>
        </row>
        <row r="869">
          <cell r="A869">
            <v>6.125</v>
          </cell>
          <cell r="B869">
            <v>101.59327126925045</v>
          </cell>
          <cell r="C869"/>
          <cell r="D869">
            <v>101.59327126925045</v>
          </cell>
          <cell r="E869">
            <v>-0.1</v>
          </cell>
          <cell r="F869">
            <v>0</v>
          </cell>
          <cell r="G869">
            <v>0</v>
          </cell>
          <cell r="H869">
            <v>101.69327126925045</v>
          </cell>
          <cell r="I869">
            <v>0</v>
          </cell>
          <cell r="J869"/>
          <cell r="K869">
            <v>101.69327126925045</v>
          </cell>
        </row>
        <row r="870">
          <cell r="A870">
            <v>6</v>
          </cell>
          <cell r="B870">
            <v>101.29989239006142</v>
          </cell>
          <cell r="C870"/>
          <cell r="D870">
            <v>101.29989239006142</v>
          </cell>
          <cell r="E870">
            <v>-0.1</v>
          </cell>
          <cell r="F870">
            <v>0</v>
          </cell>
          <cell r="G870">
            <v>0</v>
          </cell>
          <cell r="H870">
            <v>101.39989239006141</v>
          </cell>
          <cell r="I870">
            <v>0</v>
          </cell>
          <cell r="J870"/>
          <cell r="K870">
            <v>101.39989239006141</v>
          </cell>
        </row>
        <row r="871">
          <cell r="A871">
            <v>5.875</v>
          </cell>
          <cell r="B871">
            <v>100.98326354013753</v>
          </cell>
          <cell r="C871"/>
          <cell r="D871">
            <v>100.98326354013753</v>
          </cell>
          <cell r="E871">
            <v>-0.1</v>
          </cell>
          <cell r="F871">
            <v>0</v>
          </cell>
          <cell r="G871">
            <v>0</v>
          </cell>
          <cell r="H871">
            <v>101.08326354013752</v>
          </cell>
          <cell r="I871">
            <v>0</v>
          </cell>
          <cell r="J871"/>
          <cell r="K871">
            <v>101.08326354013752</v>
          </cell>
        </row>
        <row r="872">
          <cell r="A872">
            <v>5.75</v>
          </cell>
          <cell r="B872">
            <v>100.66133215327925</v>
          </cell>
          <cell r="C872"/>
          <cell r="D872">
            <v>100.66133215327925</v>
          </cell>
          <cell r="E872">
            <v>-0.1</v>
          </cell>
          <cell r="F872">
            <v>0</v>
          </cell>
          <cell r="G872">
            <v>0</v>
          </cell>
          <cell r="H872">
            <v>100.76133215327924</v>
          </cell>
          <cell r="I872">
            <v>0</v>
          </cell>
          <cell r="J872"/>
          <cell r="K872">
            <v>100.76133215327924</v>
          </cell>
        </row>
        <row r="873">
          <cell r="A873">
            <v>5.625</v>
          </cell>
          <cell r="B873">
            <v>100.04803513188125</v>
          </cell>
          <cell r="C873"/>
          <cell r="D873">
            <v>100.04803513188125</v>
          </cell>
          <cell r="E873">
            <v>-0.1</v>
          </cell>
          <cell r="F873">
            <v>0</v>
          </cell>
          <cell r="G873">
            <v>0</v>
          </cell>
          <cell r="H873">
            <v>100.14803513188124</v>
          </cell>
          <cell r="I873">
            <v>0</v>
          </cell>
          <cell r="J873"/>
          <cell r="K873">
            <v>100.14803513188124</v>
          </cell>
        </row>
        <row r="874">
          <cell r="A874">
            <v>5.5</v>
          </cell>
          <cell r="B874">
            <v>99.72223205450058</v>
          </cell>
          <cell r="C874"/>
          <cell r="D874">
            <v>99.72223205450058</v>
          </cell>
          <cell r="E874">
            <v>-0.1</v>
          </cell>
          <cell r="F874">
            <v>0</v>
          </cell>
          <cell r="G874">
            <v>0</v>
          </cell>
          <cell r="H874">
            <v>99.822232054500574</v>
          </cell>
          <cell r="I874">
            <v>0</v>
          </cell>
          <cell r="J874"/>
          <cell r="K874">
            <v>99.822232054500574</v>
          </cell>
        </row>
        <row r="875">
          <cell r="A875">
            <v>5.375</v>
          </cell>
          <cell r="B875">
            <v>99.369391874586583</v>
          </cell>
          <cell r="C875"/>
          <cell r="D875">
            <v>99.369391874586583</v>
          </cell>
          <cell r="E875">
            <v>-0.1</v>
          </cell>
          <cell r="F875">
            <v>0</v>
          </cell>
          <cell r="G875">
            <v>0</v>
          </cell>
          <cell r="H875">
            <v>99.469391874586577</v>
          </cell>
          <cell r="I875">
            <v>0</v>
          </cell>
          <cell r="J875"/>
          <cell r="K875">
            <v>99.469391874586577</v>
          </cell>
        </row>
        <row r="876">
          <cell r="A876">
            <v>5.25</v>
          </cell>
          <cell r="B876">
            <v>99.006916176262081</v>
          </cell>
          <cell r="C876"/>
          <cell r="D876">
            <v>99.006916176262081</v>
          </cell>
          <cell r="E876">
            <v>-0.1</v>
          </cell>
          <cell r="F876">
            <v>0</v>
          </cell>
          <cell r="G876">
            <v>0</v>
          </cell>
          <cell r="H876">
            <v>99.106916176262075</v>
          </cell>
          <cell r="I876">
            <v>0</v>
          </cell>
          <cell r="J876"/>
          <cell r="K876">
            <v>99.106916176262075</v>
          </cell>
        </row>
        <row r="877">
          <cell r="A877">
            <v>5.125</v>
          </cell>
          <cell r="B877">
            <v>97.689064252888699</v>
          </cell>
          <cell r="C877"/>
          <cell r="D877">
            <v>97.689064252888699</v>
          </cell>
          <cell r="E877">
            <v>-0.1</v>
          </cell>
          <cell r="F877">
            <v>0</v>
          </cell>
          <cell r="G877">
            <v>0</v>
          </cell>
          <cell r="H877">
            <v>97.789064252888693</v>
          </cell>
          <cell r="I877">
            <v>0</v>
          </cell>
          <cell r="J877"/>
          <cell r="K877">
            <v>97.789064252888693</v>
          </cell>
        </row>
        <row r="878">
          <cell r="A878">
            <v>5</v>
          </cell>
          <cell r="B878">
            <v>97.319243386636771</v>
          </cell>
          <cell r="C878"/>
          <cell r="D878">
            <v>97.319243386636771</v>
          </cell>
          <cell r="E878">
            <v>-0.1</v>
          </cell>
          <cell r="F878">
            <v>0</v>
          </cell>
          <cell r="G878">
            <v>0</v>
          </cell>
          <cell r="H878">
            <v>97.419243386636765</v>
          </cell>
          <cell r="I878">
            <v>0</v>
          </cell>
          <cell r="J878"/>
          <cell r="K878">
            <v>97.419243386636765</v>
          </cell>
        </row>
        <row r="879">
          <cell r="A879">
            <v>4.875</v>
          </cell>
          <cell r="B879">
            <v>96.92800215805309</v>
          </cell>
          <cell r="C879"/>
          <cell r="D879">
            <v>96.92800215805309</v>
          </cell>
          <cell r="E879">
            <v>-0.1</v>
          </cell>
          <cell r="F879">
            <v>0</v>
          </cell>
          <cell r="G879">
            <v>0</v>
          </cell>
          <cell r="H879">
            <v>97.028002158053084</v>
          </cell>
          <cell r="I879">
            <v>0</v>
          </cell>
          <cell r="J879"/>
          <cell r="K879">
            <v>97.028002158053084</v>
          </cell>
        </row>
        <row r="880">
          <cell r="A880"/>
          <cell r="B880"/>
          <cell r="C880"/>
          <cell r="D880"/>
          <cell r="E880"/>
          <cell r="F880"/>
          <cell r="G880"/>
          <cell r="H880"/>
          <cell r="I880"/>
          <cell r="J880"/>
          <cell r="K880"/>
        </row>
        <row r="883">
          <cell r="A883">
            <v>7.75</v>
          </cell>
          <cell r="B883">
            <v>104.08311677593971</v>
          </cell>
          <cell r="C883"/>
          <cell r="D883">
            <v>104.08311677593971</v>
          </cell>
          <cell r="E883">
            <v>-0.5</v>
          </cell>
          <cell r="F883">
            <v>0</v>
          </cell>
          <cell r="G883">
            <v>0</v>
          </cell>
          <cell r="H883">
            <v>104.58311677593971</v>
          </cell>
          <cell r="I883">
            <v>0</v>
          </cell>
          <cell r="J883"/>
          <cell r="K883">
            <v>104.58311677593971</v>
          </cell>
        </row>
        <row r="884">
          <cell r="A884">
            <v>7.625</v>
          </cell>
          <cell r="B884">
            <v>103.97900993212886</v>
          </cell>
          <cell r="C884"/>
          <cell r="D884">
            <v>103.97900993212886</v>
          </cell>
          <cell r="E884">
            <v>-0.5</v>
          </cell>
          <cell r="F884">
            <v>0</v>
          </cell>
          <cell r="G884">
            <v>0</v>
          </cell>
          <cell r="H884">
            <v>104.47900993212886</v>
          </cell>
          <cell r="I884">
            <v>0</v>
          </cell>
          <cell r="J884"/>
          <cell r="K884">
            <v>104.47900993212886</v>
          </cell>
        </row>
        <row r="885">
          <cell r="A885">
            <v>7.5</v>
          </cell>
          <cell r="B885">
            <v>103.85579152755699</v>
          </cell>
          <cell r="C885"/>
          <cell r="D885">
            <v>103.85579152755699</v>
          </cell>
          <cell r="E885">
            <v>-0.5</v>
          </cell>
          <cell r="F885">
            <v>0</v>
          </cell>
          <cell r="G885">
            <v>0</v>
          </cell>
          <cell r="H885">
            <v>104.35579152755699</v>
          </cell>
          <cell r="I885">
            <v>0</v>
          </cell>
          <cell r="J885"/>
          <cell r="K885">
            <v>104.35579152755699</v>
          </cell>
        </row>
        <row r="886">
          <cell r="A886">
            <v>7.375</v>
          </cell>
          <cell r="B886">
            <v>103.71113700675494</v>
          </cell>
          <cell r="C886"/>
          <cell r="D886">
            <v>103.71113700675494</v>
          </cell>
          <cell r="E886">
            <v>-0.5</v>
          </cell>
          <cell r="F886">
            <v>0</v>
          </cell>
          <cell r="G886">
            <v>0</v>
          </cell>
          <cell r="H886">
            <v>104.21113700675494</v>
          </cell>
          <cell r="I886">
            <v>0</v>
          </cell>
          <cell r="J886"/>
          <cell r="K886">
            <v>104.21113700675494</v>
          </cell>
        </row>
        <row r="887">
          <cell r="A887">
            <v>7.25</v>
          </cell>
          <cell r="B887">
            <v>104.52775774676354</v>
          </cell>
          <cell r="C887"/>
          <cell r="D887">
            <v>104.52775774676354</v>
          </cell>
          <cell r="E887">
            <v>-0.5</v>
          </cell>
          <cell r="F887">
            <v>0</v>
          </cell>
          <cell r="G887">
            <v>0</v>
          </cell>
          <cell r="H887">
            <v>105.02775774676354</v>
          </cell>
          <cell r="I887">
            <v>0</v>
          </cell>
          <cell r="J887"/>
          <cell r="K887">
            <v>105.02775774676354</v>
          </cell>
        </row>
        <row r="888">
          <cell r="A888">
            <v>7.125</v>
          </cell>
          <cell r="B888">
            <v>104.38952076905805</v>
          </cell>
          <cell r="C888"/>
          <cell r="D888">
            <v>104.38952076905805</v>
          </cell>
          <cell r="E888">
            <v>-0.5</v>
          </cell>
          <cell r="F888">
            <v>0</v>
          </cell>
          <cell r="G888">
            <v>0</v>
          </cell>
          <cell r="H888">
            <v>104.88952076905805</v>
          </cell>
          <cell r="I888">
            <v>0</v>
          </cell>
          <cell r="J888"/>
          <cell r="K888">
            <v>104.88952076905805</v>
          </cell>
        </row>
        <row r="889">
          <cell r="A889">
            <v>7</v>
          </cell>
          <cell r="B889">
            <v>104.22560271552035</v>
          </cell>
          <cell r="C889"/>
          <cell r="D889">
            <v>104.22560271552035</v>
          </cell>
          <cell r="E889">
            <v>-0.5</v>
          </cell>
          <cell r="F889">
            <v>0</v>
          </cell>
          <cell r="G889">
            <v>0</v>
          </cell>
          <cell r="H889">
            <v>104.72560271552035</v>
          </cell>
          <cell r="I889">
            <v>0</v>
          </cell>
          <cell r="J889"/>
          <cell r="K889">
            <v>104.72560271552035</v>
          </cell>
        </row>
        <row r="890">
          <cell r="A890">
            <v>6.875</v>
          </cell>
          <cell r="B890">
            <v>104.03384228403469</v>
          </cell>
          <cell r="C890"/>
          <cell r="D890">
            <v>104.03384228403469</v>
          </cell>
          <cell r="E890">
            <v>-0.5</v>
          </cell>
          <cell r="F890">
            <v>0</v>
          </cell>
          <cell r="G890">
            <v>0</v>
          </cell>
          <cell r="H890">
            <v>104.53384228403469</v>
          </cell>
          <cell r="I890">
            <v>0</v>
          </cell>
          <cell r="J890"/>
          <cell r="K890">
            <v>104.53384228403469</v>
          </cell>
        </row>
        <row r="891">
          <cell r="A891">
            <v>6.75</v>
          </cell>
          <cell r="B891">
            <v>103.81260871862253</v>
          </cell>
          <cell r="C891"/>
          <cell r="D891">
            <v>103.81260871862253</v>
          </cell>
          <cell r="E891">
            <v>-0.5</v>
          </cell>
          <cell r="F891">
            <v>0</v>
          </cell>
          <cell r="G891">
            <v>0</v>
          </cell>
          <cell r="H891">
            <v>104.31260871862253</v>
          </cell>
          <cell r="I891">
            <v>0</v>
          </cell>
          <cell r="J891"/>
          <cell r="K891">
            <v>104.31260871862253</v>
          </cell>
        </row>
        <row r="892">
          <cell r="A892">
            <v>6.625</v>
          </cell>
          <cell r="B892">
            <v>102.58217741707823</v>
          </cell>
          <cell r="C892"/>
          <cell r="D892">
            <v>102.58217741707823</v>
          </cell>
          <cell r="E892">
            <v>-0.5</v>
          </cell>
          <cell r="F892">
            <v>0</v>
          </cell>
          <cell r="G892">
            <v>0</v>
          </cell>
          <cell r="H892">
            <v>103.08217741707823</v>
          </cell>
          <cell r="I892">
            <v>0</v>
          </cell>
          <cell r="J892"/>
          <cell r="K892">
            <v>103.08217741707823</v>
          </cell>
        </row>
        <row r="893">
          <cell r="A893">
            <v>6.5</v>
          </cell>
          <cell r="B893">
            <v>102.36073717527202</v>
          </cell>
          <cell r="C893"/>
          <cell r="D893">
            <v>102.36073717527202</v>
          </cell>
          <cell r="E893">
            <v>-0.5</v>
          </cell>
          <cell r="F893">
            <v>0</v>
          </cell>
          <cell r="G893">
            <v>0</v>
          </cell>
          <cell r="H893">
            <v>102.86073717527202</v>
          </cell>
          <cell r="I893">
            <v>0</v>
          </cell>
          <cell r="J893"/>
          <cell r="K893">
            <v>102.86073717527202</v>
          </cell>
        </row>
        <row r="894">
          <cell r="A894">
            <v>6.375</v>
          </cell>
          <cell r="B894">
            <v>102.10775542411338</v>
          </cell>
          <cell r="C894"/>
          <cell r="D894">
            <v>102.10775542411338</v>
          </cell>
          <cell r="E894">
            <v>-0.5</v>
          </cell>
          <cell r="F894">
            <v>0</v>
          </cell>
          <cell r="G894">
            <v>0</v>
          </cell>
          <cell r="H894">
            <v>102.60775542411338</v>
          </cell>
          <cell r="I894">
            <v>0</v>
          </cell>
          <cell r="J894"/>
          <cell r="K894">
            <v>102.60775542411338</v>
          </cell>
        </row>
        <row r="895">
          <cell r="A895">
            <v>6.25</v>
          </cell>
          <cell r="B895">
            <v>101.85709359623554</v>
          </cell>
          <cell r="C895"/>
          <cell r="D895">
            <v>101.85709359623554</v>
          </cell>
          <cell r="E895">
            <v>-0.5</v>
          </cell>
          <cell r="F895">
            <v>0</v>
          </cell>
          <cell r="G895">
            <v>0</v>
          </cell>
          <cell r="H895">
            <v>102.35709359623554</v>
          </cell>
          <cell r="I895">
            <v>0</v>
          </cell>
          <cell r="J895"/>
          <cell r="K895">
            <v>102.35709359623554</v>
          </cell>
        </row>
        <row r="896">
          <cell r="A896">
            <v>6.125</v>
          </cell>
          <cell r="B896">
            <v>101.59327126925045</v>
          </cell>
          <cell r="C896"/>
          <cell r="D896">
            <v>101.59327126925045</v>
          </cell>
          <cell r="E896">
            <v>-0.5</v>
          </cell>
          <cell r="F896">
            <v>0</v>
          </cell>
          <cell r="G896">
            <v>0</v>
          </cell>
          <cell r="H896">
            <v>102.09327126925045</v>
          </cell>
          <cell r="I896">
            <v>0</v>
          </cell>
          <cell r="J896"/>
          <cell r="K896">
            <v>102.09327126925045</v>
          </cell>
        </row>
        <row r="897">
          <cell r="A897">
            <v>6</v>
          </cell>
          <cell r="B897">
            <v>101.29989239006142</v>
          </cell>
          <cell r="C897"/>
          <cell r="D897">
            <v>101.29989239006142</v>
          </cell>
          <cell r="E897">
            <v>-0.5</v>
          </cell>
          <cell r="F897">
            <v>0</v>
          </cell>
          <cell r="G897">
            <v>0</v>
          </cell>
          <cell r="H897">
            <v>101.79989239006142</v>
          </cell>
          <cell r="I897">
            <v>0</v>
          </cell>
          <cell r="J897"/>
          <cell r="K897">
            <v>101.79989239006142</v>
          </cell>
        </row>
        <row r="898">
          <cell r="A898">
            <v>5.875</v>
          </cell>
          <cell r="B898">
            <v>100.98326354013753</v>
          </cell>
          <cell r="C898"/>
          <cell r="D898">
            <v>100.98326354013753</v>
          </cell>
          <cell r="E898">
            <v>-0.5</v>
          </cell>
          <cell r="F898">
            <v>0</v>
          </cell>
          <cell r="G898">
            <v>0</v>
          </cell>
          <cell r="H898">
            <v>101.48326354013753</v>
          </cell>
          <cell r="I898">
            <v>0</v>
          </cell>
          <cell r="J898"/>
          <cell r="K898">
            <v>101.48326354013753</v>
          </cell>
        </row>
        <row r="899">
          <cell r="A899">
            <v>5.75</v>
          </cell>
          <cell r="B899">
            <v>100.66133215327925</v>
          </cell>
          <cell r="C899"/>
          <cell r="D899">
            <v>100.66133215327925</v>
          </cell>
          <cell r="E899">
            <v>-0.5</v>
          </cell>
          <cell r="F899">
            <v>0</v>
          </cell>
          <cell r="G899">
            <v>0</v>
          </cell>
          <cell r="H899">
            <v>101.16133215327925</v>
          </cell>
          <cell r="I899">
            <v>0</v>
          </cell>
          <cell r="J899"/>
          <cell r="K899">
            <v>101.16133215327925</v>
          </cell>
        </row>
        <row r="900">
          <cell r="A900">
            <v>5.625</v>
          </cell>
          <cell r="B900">
            <v>100.04803513188125</v>
          </cell>
          <cell r="C900"/>
          <cell r="D900">
            <v>100.04803513188125</v>
          </cell>
          <cell r="E900">
            <v>-0.5</v>
          </cell>
          <cell r="F900">
            <v>0</v>
          </cell>
          <cell r="G900">
            <v>0</v>
          </cell>
          <cell r="H900">
            <v>100.54803513188125</v>
          </cell>
          <cell r="I900">
            <v>0</v>
          </cell>
          <cell r="J900"/>
          <cell r="K900">
            <v>100.54803513188125</v>
          </cell>
        </row>
        <row r="901">
          <cell r="A901">
            <v>5.5</v>
          </cell>
          <cell r="B901">
            <v>99.72223205450058</v>
          </cell>
          <cell r="C901"/>
          <cell r="D901">
            <v>99.72223205450058</v>
          </cell>
          <cell r="E901">
            <v>-0.5</v>
          </cell>
          <cell r="F901">
            <v>0</v>
          </cell>
          <cell r="G901">
            <v>0</v>
          </cell>
          <cell r="H901">
            <v>100.22223205450058</v>
          </cell>
          <cell r="I901">
            <v>0</v>
          </cell>
          <cell r="J901"/>
          <cell r="K901">
            <v>100.22223205450058</v>
          </cell>
        </row>
        <row r="902">
          <cell r="A902">
            <v>5.375</v>
          </cell>
          <cell r="B902">
            <v>99.369391874586583</v>
          </cell>
          <cell r="C902"/>
          <cell r="D902">
            <v>99.369391874586583</v>
          </cell>
          <cell r="E902">
            <v>-0.5</v>
          </cell>
          <cell r="F902">
            <v>0</v>
          </cell>
          <cell r="G902">
            <v>0</v>
          </cell>
          <cell r="H902">
            <v>99.869391874586583</v>
          </cell>
          <cell r="I902">
            <v>0</v>
          </cell>
          <cell r="J902"/>
          <cell r="K902">
            <v>99.869391874586583</v>
          </cell>
        </row>
        <row r="903">
          <cell r="A903">
            <v>5.25</v>
          </cell>
          <cell r="B903">
            <v>99.006916176262081</v>
          </cell>
          <cell r="C903"/>
          <cell r="D903">
            <v>99.006916176262081</v>
          </cell>
          <cell r="E903">
            <v>-0.5</v>
          </cell>
          <cell r="F903">
            <v>0</v>
          </cell>
          <cell r="G903">
            <v>0</v>
          </cell>
          <cell r="H903">
            <v>99.506916176262081</v>
          </cell>
          <cell r="I903">
            <v>0</v>
          </cell>
          <cell r="J903"/>
          <cell r="K903">
            <v>99.506916176262081</v>
          </cell>
        </row>
        <row r="904">
          <cell r="A904">
            <v>5.125</v>
          </cell>
          <cell r="B904">
            <v>97.689064252888699</v>
          </cell>
          <cell r="C904"/>
          <cell r="D904">
            <v>97.689064252888699</v>
          </cell>
          <cell r="E904">
            <v>-0.5</v>
          </cell>
          <cell r="F904">
            <v>0</v>
          </cell>
          <cell r="G904">
            <v>0</v>
          </cell>
          <cell r="H904">
            <v>98.189064252888699</v>
          </cell>
          <cell r="I904">
            <v>0</v>
          </cell>
          <cell r="J904"/>
          <cell r="K904">
            <v>98.189064252888699</v>
          </cell>
        </row>
        <row r="905">
          <cell r="A905">
            <v>5</v>
          </cell>
          <cell r="B905">
            <v>97.319243386636771</v>
          </cell>
          <cell r="C905"/>
          <cell r="D905">
            <v>97.319243386636771</v>
          </cell>
          <cell r="E905">
            <v>-0.5</v>
          </cell>
          <cell r="F905">
            <v>0</v>
          </cell>
          <cell r="G905">
            <v>0</v>
          </cell>
          <cell r="H905">
            <v>97.819243386636771</v>
          </cell>
          <cell r="I905">
            <v>0</v>
          </cell>
          <cell r="J905"/>
          <cell r="K905">
            <v>97.819243386636771</v>
          </cell>
        </row>
        <row r="906">
          <cell r="A906">
            <v>4.875</v>
          </cell>
          <cell r="B906">
            <v>96.92800215805309</v>
          </cell>
          <cell r="C906"/>
          <cell r="D906">
            <v>96.92800215805309</v>
          </cell>
          <cell r="E906">
            <v>-0.5</v>
          </cell>
          <cell r="F906">
            <v>0</v>
          </cell>
          <cell r="G906">
            <v>0</v>
          </cell>
          <cell r="H906">
            <v>97.42800215805309</v>
          </cell>
          <cell r="I906">
            <v>0</v>
          </cell>
          <cell r="J906"/>
          <cell r="K906">
            <v>97.42800215805309</v>
          </cell>
        </row>
        <row r="907">
          <cell r="A907"/>
          <cell r="B907"/>
          <cell r="C907"/>
          <cell r="D907"/>
          <cell r="E907"/>
          <cell r="F907"/>
          <cell r="G907"/>
          <cell r="H907"/>
          <cell r="I907"/>
          <cell r="J907"/>
          <cell r="K907"/>
        </row>
        <row r="910">
          <cell r="A910">
            <v>6.5</v>
          </cell>
          <cell r="B910">
            <v>102.90100000000001</v>
          </cell>
          <cell r="C910"/>
          <cell r="D910">
            <v>102.90100000000001</v>
          </cell>
          <cell r="E910">
            <v>1.125</v>
          </cell>
          <cell r="F910">
            <v>0</v>
          </cell>
          <cell r="G910">
            <v>0</v>
          </cell>
          <cell r="H910">
            <v>101.77600000000001</v>
          </cell>
          <cell r="I910">
            <v>0</v>
          </cell>
          <cell r="J910"/>
          <cell r="K910">
            <v>101.77600000000001</v>
          </cell>
        </row>
        <row r="911">
          <cell r="A911">
            <v>6.375</v>
          </cell>
          <cell r="B911">
            <v>102.46600000000001</v>
          </cell>
          <cell r="D911">
            <v>102.46600000000001</v>
          </cell>
          <cell r="E911">
            <v>1.125</v>
          </cell>
          <cell r="F911">
            <v>0</v>
          </cell>
          <cell r="G911">
            <v>0</v>
          </cell>
          <cell r="H911">
            <v>101.34100000000001</v>
          </cell>
          <cell r="I911">
            <v>0</v>
          </cell>
          <cell r="J911"/>
          <cell r="K911">
            <v>101.34100000000001</v>
          </cell>
        </row>
        <row r="912">
          <cell r="A912">
            <v>6.25</v>
          </cell>
          <cell r="B912">
            <v>102.02800000000001</v>
          </cell>
          <cell r="D912">
            <v>102.02800000000001</v>
          </cell>
          <cell r="E912">
            <v>1.125</v>
          </cell>
          <cell r="F912">
            <v>0</v>
          </cell>
          <cell r="G912">
            <v>0</v>
          </cell>
          <cell r="H912">
            <v>100.90300000000001</v>
          </cell>
          <cell r="I912">
            <v>0</v>
          </cell>
          <cell r="J912"/>
          <cell r="K912">
            <v>100.90300000000001</v>
          </cell>
        </row>
        <row r="913">
          <cell r="A913">
            <v>6.125</v>
          </cell>
          <cell r="B913">
            <v>102.56700000000001</v>
          </cell>
          <cell r="D913">
            <v>102.56700000000001</v>
          </cell>
          <cell r="E913">
            <v>1.125</v>
          </cell>
          <cell r="F913">
            <v>0</v>
          </cell>
          <cell r="G913">
            <v>0</v>
          </cell>
          <cell r="H913">
            <v>101.44200000000001</v>
          </cell>
          <cell r="I913">
            <v>0</v>
          </cell>
          <cell r="J913"/>
          <cell r="K913">
            <v>101.44200000000001</v>
          </cell>
        </row>
        <row r="914">
          <cell r="A914">
            <v>6</v>
          </cell>
          <cell r="B914">
            <v>102.129</v>
          </cell>
          <cell r="D914">
            <v>102.129</v>
          </cell>
          <cell r="E914">
            <v>1.125</v>
          </cell>
          <cell r="F914">
            <v>0</v>
          </cell>
          <cell r="G914">
            <v>0</v>
          </cell>
          <cell r="H914">
            <v>101.004</v>
          </cell>
          <cell r="I914">
            <v>0</v>
          </cell>
          <cell r="J914"/>
          <cell r="K914">
            <v>101.004</v>
          </cell>
        </row>
        <row r="915">
          <cell r="A915">
            <v>5.875</v>
          </cell>
          <cell r="B915">
            <v>101.68600000000001</v>
          </cell>
          <cell r="D915">
            <v>101.68600000000001</v>
          </cell>
          <cell r="E915">
            <v>1.125</v>
          </cell>
          <cell r="F915">
            <v>0</v>
          </cell>
          <cell r="G915">
            <v>0</v>
          </cell>
          <cell r="H915">
            <v>100.56100000000001</v>
          </cell>
          <cell r="I915">
            <v>0</v>
          </cell>
          <cell r="J915"/>
          <cell r="K915">
            <v>100.56100000000001</v>
          </cell>
        </row>
        <row r="916">
          <cell r="A916">
            <v>5.75</v>
          </cell>
          <cell r="B916">
            <v>101.24000000000001</v>
          </cell>
          <cell r="D916">
            <v>101.24000000000001</v>
          </cell>
          <cell r="E916">
            <v>1.125</v>
          </cell>
          <cell r="F916">
            <v>0</v>
          </cell>
          <cell r="G916">
            <v>0</v>
          </cell>
          <cell r="H916">
            <v>100.11500000000001</v>
          </cell>
          <cell r="I916">
            <v>0</v>
          </cell>
          <cell r="J916"/>
          <cell r="K916">
            <v>100.11500000000001</v>
          </cell>
        </row>
        <row r="917">
          <cell r="A917">
            <v>5.625</v>
          </cell>
          <cell r="B917">
            <v>100.474</v>
          </cell>
          <cell r="D917">
            <v>100.474</v>
          </cell>
          <cell r="E917">
            <v>1.125</v>
          </cell>
          <cell r="F917">
            <v>0</v>
          </cell>
          <cell r="G917">
            <v>0</v>
          </cell>
          <cell r="H917">
            <v>99.349000000000004</v>
          </cell>
          <cell r="I917">
            <v>0</v>
          </cell>
          <cell r="J917"/>
          <cell r="K917">
            <v>99.349000000000004</v>
          </cell>
        </row>
        <row r="918">
          <cell r="A918">
            <v>5.5</v>
          </cell>
          <cell r="B918">
            <v>100.02800000000001</v>
          </cell>
          <cell r="D918">
            <v>100.02800000000001</v>
          </cell>
          <cell r="E918">
            <v>1.125</v>
          </cell>
          <cell r="F918">
            <v>0</v>
          </cell>
          <cell r="G918">
            <v>0</v>
          </cell>
          <cell r="H918">
            <v>98.903000000000006</v>
          </cell>
          <cell r="I918">
            <v>0</v>
          </cell>
          <cell r="J918"/>
          <cell r="K918">
            <v>98.903000000000006</v>
          </cell>
        </row>
        <row r="919">
          <cell r="A919">
            <v>5.375</v>
          </cell>
          <cell r="B919">
            <v>99.578000000000003</v>
          </cell>
          <cell r="D919">
            <v>99.578000000000003</v>
          </cell>
          <cell r="E919">
            <v>1.125</v>
          </cell>
          <cell r="F919">
            <v>0</v>
          </cell>
          <cell r="G919">
            <v>0</v>
          </cell>
          <cell r="H919">
            <v>98.453000000000003</v>
          </cell>
          <cell r="I919">
            <v>0</v>
          </cell>
          <cell r="J919"/>
          <cell r="K919">
            <v>98.453000000000003</v>
          </cell>
        </row>
        <row r="920">
          <cell r="A920">
            <v>5.25</v>
          </cell>
          <cell r="B920">
            <v>99.122</v>
          </cell>
          <cell r="D920">
            <v>99.122</v>
          </cell>
          <cell r="E920">
            <v>1.125</v>
          </cell>
          <cell r="F920">
            <v>0</v>
          </cell>
          <cell r="G920">
            <v>0</v>
          </cell>
          <cell r="H920">
            <v>97.997</v>
          </cell>
          <cell r="I920">
            <v>0</v>
          </cell>
          <cell r="J920"/>
          <cell r="K920">
            <v>97.997</v>
          </cell>
        </row>
        <row r="921">
          <cell r="A921">
            <v>5.125</v>
          </cell>
          <cell r="B921">
            <v>99.091999999999999</v>
          </cell>
          <cell r="D921">
            <v>99.091999999999999</v>
          </cell>
          <cell r="E921">
            <v>1.125</v>
          </cell>
          <cell r="F921">
            <v>0</v>
          </cell>
          <cell r="G921">
            <v>0</v>
          </cell>
          <cell r="H921">
            <v>97.966999999999999</v>
          </cell>
          <cell r="I921">
            <v>0</v>
          </cell>
          <cell r="J921"/>
          <cell r="K921">
            <v>97.966999999999999</v>
          </cell>
        </row>
        <row r="922">
          <cell r="A922">
            <v>5</v>
          </cell>
          <cell r="B922">
            <v>98.637</v>
          </cell>
          <cell r="D922">
            <v>98.637</v>
          </cell>
          <cell r="E922">
            <v>1.125</v>
          </cell>
          <cell r="F922">
            <v>0</v>
          </cell>
          <cell r="G922">
            <v>0</v>
          </cell>
          <cell r="H922">
            <v>97.512</v>
          </cell>
          <cell r="I922">
            <v>0</v>
          </cell>
          <cell r="J922"/>
          <cell r="K922">
            <v>97.512</v>
          </cell>
        </row>
        <row r="923">
          <cell r="A923">
            <v>4.875</v>
          </cell>
          <cell r="B923">
            <v>98.176000000000002</v>
          </cell>
          <cell r="D923">
            <v>98.176000000000002</v>
          </cell>
          <cell r="E923">
            <v>1.125</v>
          </cell>
          <cell r="F923">
            <v>0</v>
          </cell>
          <cell r="G923">
            <v>0</v>
          </cell>
          <cell r="H923">
            <v>97.051000000000002</v>
          </cell>
          <cell r="I923">
            <v>0</v>
          </cell>
          <cell r="J923"/>
          <cell r="K923">
            <v>97.051000000000002</v>
          </cell>
        </row>
        <row r="924">
          <cell r="A924">
            <v>4.75</v>
          </cell>
          <cell r="B924">
            <v>97.710000000000008</v>
          </cell>
          <cell r="D924">
            <v>97.710000000000008</v>
          </cell>
          <cell r="E924">
            <v>1.125</v>
          </cell>
          <cell r="F924">
            <v>0</v>
          </cell>
          <cell r="G924">
            <v>0</v>
          </cell>
          <cell r="H924">
            <v>96.585000000000008</v>
          </cell>
          <cell r="I924">
            <v>0</v>
          </cell>
          <cell r="J924"/>
          <cell r="K924">
            <v>96.585000000000008</v>
          </cell>
        </row>
        <row r="925">
          <cell r="A925">
            <v>4.625</v>
          </cell>
          <cell r="B925">
            <v>97.832999999999998</v>
          </cell>
          <cell r="D925">
            <v>97.832999999999998</v>
          </cell>
          <cell r="E925">
            <v>1.125</v>
          </cell>
          <cell r="F925">
            <v>0</v>
          </cell>
          <cell r="G925">
            <v>0</v>
          </cell>
          <cell r="H925">
            <v>96.707999999999998</v>
          </cell>
          <cell r="I925">
            <v>0</v>
          </cell>
          <cell r="J925"/>
          <cell r="K925">
            <v>96.707999999999998</v>
          </cell>
        </row>
        <row r="926">
          <cell r="A926">
            <v>4.5</v>
          </cell>
          <cell r="B926">
            <v>97.366</v>
          </cell>
          <cell r="D926">
            <v>97.366</v>
          </cell>
          <cell r="E926">
            <v>1.125</v>
          </cell>
          <cell r="F926">
            <v>0</v>
          </cell>
          <cell r="G926">
            <v>0</v>
          </cell>
          <cell r="H926">
            <v>96.241</v>
          </cell>
          <cell r="I926">
            <v>0</v>
          </cell>
          <cell r="J926"/>
          <cell r="K926">
            <v>96.241</v>
          </cell>
        </row>
        <row r="927">
          <cell r="A927">
            <v>4.375</v>
          </cell>
          <cell r="B927">
            <v>96.89500000000001</v>
          </cell>
          <cell r="D927">
            <v>96.89500000000001</v>
          </cell>
          <cell r="E927">
            <v>1.125</v>
          </cell>
          <cell r="F927">
            <v>0</v>
          </cell>
          <cell r="G927">
            <v>0</v>
          </cell>
          <cell r="H927">
            <v>95.77000000000001</v>
          </cell>
          <cell r="I927">
            <v>0</v>
          </cell>
          <cell r="J927"/>
          <cell r="K927">
            <v>95.77000000000001</v>
          </cell>
        </row>
        <row r="928">
          <cell r="A928">
            <v>4.25</v>
          </cell>
          <cell r="B928">
            <v>95.919000000000011</v>
          </cell>
          <cell r="D928">
            <v>95.919000000000011</v>
          </cell>
          <cell r="E928">
            <v>1.125</v>
          </cell>
          <cell r="F928">
            <v>0</v>
          </cell>
          <cell r="G928">
            <v>0</v>
          </cell>
          <cell r="H928">
            <v>94.794000000000011</v>
          </cell>
          <cell r="I928">
            <v>0</v>
          </cell>
          <cell r="J928"/>
          <cell r="K928">
            <v>94.794000000000011</v>
          </cell>
        </row>
        <row r="929">
          <cell r="A929"/>
          <cell r="B929"/>
          <cell r="C929"/>
          <cell r="D929"/>
          <cell r="E929"/>
          <cell r="F929"/>
          <cell r="G929"/>
          <cell r="H929"/>
          <cell r="I929"/>
          <cell r="J929"/>
          <cell r="K929"/>
        </row>
        <row r="932">
          <cell r="A932">
            <v>6.5</v>
          </cell>
          <cell r="B932">
            <v>102.90100000000001</v>
          </cell>
          <cell r="C932"/>
          <cell r="D932">
            <v>102.90100000000001</v>
          </cell>
          <cell r="E932">
            <v>1.1249999999999998</v>
          </cell>
          <cell r="F932">
            <v>0</v>
          </cell>
          <cell r="G932">
            <v>0</v>
          </cell>
          <cell r="H932">
            <v>101.77600000000001</v>
          </cell>
          <cell r="I932">
            <v>0</v>
          </cell>
          <cell r="J932"/>
          <cell r="K932">
            <v>101.77600000000001</v>
          </cell>
        </row>
        <row r="933">
          <cell r="A933">
            <v>6.375</v>
          </cell>
          <cell r="B933">
            <v>102.46600000000001</v>
          </cell>
          <cell r="D933">
            <v>102.46600000000001</v>
          </cell>
          <cell r="E933">
            <v>1.1249999999999998</v>
          </cell>
          <cell r="F933">
            <v>0</v>
          </cell>
          <cell r="G933">
            <v>0</v>
          </cell>
          <cell r="H933">
            <v>101.34100000000001</v>
          </cell>
          <cell r="I933">
            <v>0</v>
          </cell>
          <cell r="J933"/>
          <cell r="K933">
            <v>101.34100000000001</v>
          </cell>
        </row>
        <row r="934">
          <cell r="A934">
            <v>6.25</v>
          </cell>
          <cell r="B934">
            <v>102.02800000000001</v>
          </cell>
          <cell r="D934">
            <v>102.02800000000001</v>
          </cell>
          <cell r="E934">
            <v>1.1249999999999998</v>
          </cell>
          <cell r="F934">
            <v>0</v>
          </cell>
          <cell r="G934">
            <v>0</v>
          </cell>
          <cell r="H934">
            <v>100.90300000000001</v>
          </cell>
          <cell r="I934">
            <v>0</v>
          </cell>
          <cell r="J934"/>
          <cell r="K934">
            <v>100.90300000000001</v>
          </cell>
        </row>
        <row r="935">
          <cell r="A935">
            <v>6.125</v>
          </cell>
          <cell r="B935">
            <v>102.56700000000001</v>
          </cell>
          <cell r="D935">
            <v>102.56700000000001</v>
          </cell>
          <cell r="E935">
            <v>1.1249999999999998</v>
          </cell>
          <cell r="F935">
            <v>0</v>
          </cell>
          <cell r="G935">
            <v>0</v>
          </cell>
          <cell r="H935">
            <v>101.44200000000001</v>
          </cell>
          <cell r="I935">
            <v>0</v>
          </cell>
          <cell r="J935"/>
          <cell r="K935">
            <v>101.44200000000001</v>
          </cell>
        </row>
        <row r="936">
          <cell r="A936">
            <v>6</v>
          </cell>
          <cell r="B936">
            <v>102.129</v>
          </cell>
          <cell r="D936">
            <v>102.129</v>
          </cell>
          <cell r="E936">
            <v>1.1249999999999998</v>
          </cell>
          <cell r="F936">
            <v>0</v>
          </cell>
          <cell r="G936">
            <v>0</v>
          </cell>
          <cell r="H936">
            <v>101.004</v>
          </cell>
          <cell r="I936">
            <v>0</v>
          </cell>
          <cell r="J936"/>
          <cell r="K936">
            <v>101.004</v>
          </cell>
        </row>
        <row r="937">
          <cell r="A937">
            <v>5.875</v>
          </cell>
          <cell r="B937">
            <v>101.68600000000001</v>
          </cell>
          <cell r="D937">
            <v>101.68600000000001</v>
          </cell>
          <cell r="E937">
            <v>1.1249999999999998</v>
          </cell>
          <cell r="F937">
            <v>0</v>
          </cell>
          <cell r="G937">
            <v>0</v>
          </cell>
          <cell r="H937">
            <v>100.56100000000001</v>
          </cell>
          <cell r="I937">
            <v>0</v>
          </cell>
          <cell r="J937"/>
          <cell r="K937">
            <v>100.56100000000001</v>
          </cell>
        </row>
        <row r="938">
          <cell r="A938">
            <v>5.75</v>
          </cell>
          <cell r="B938">
            <v>101.24000000000001</v>
          </cell>
          <cell r="D938">
            <v>101.24000000000001</v>
          </cell>
          <cell r="E938">
            <v>1.1249999999999998</v>
          </cell>
          <cell r="F938">
            <v>0</v>
          </cell>
          <cell r="G938">
            <v>0</v>
          </cell>
          <cell r="H938">
            <v>100.11500000000001</v>
          </cell>
          <cell r="I938">
            <v>0</v>
          </cell>
          <cell r="J938"/>
          <cell r="K938">
            <v>100.11500000000001</v>
          </cell>
        </row>
        <row r="939">
          <cell r="A939">
            <v>5.625</v>
          </cell>
          <cell r="B939">
            <v>100.474</v>
          </cell>
          <cell r="D939">
            <v>100.474</v>
          </cell>
          <cell r="E939">
            <v>1.1249999999999998</v>
          </cell>
          <cell r="F939">
            <v>0</v>
          </cell>
          <cell r="G939">
            <v>0</v>
          </cell>
          <cell r="H939">
            <v>99.349000000000004</v>
          </cell>
          <cell r="I939">
            <v>0</v>
          </cell>
          <cell r="J939"/>
          <cell r="K939">
            <v>99.349000000000004</v>
          </cell>
        </row>
        <row r="940">
          <cell r="A940">
            <v>5.5</v>
          </cell>
          <cell r="B940">
            <v>100.02800000000001</v>
          </cell>
          <cell r="D940">
            <v>100.02800000000001</v>
          </cell>
          <cell r="E940">
            <v>1.1249999999999998</v>
          </cell>
          <cell r="F940">
            <v>0</v>
          </cell>
          <cell r="G940">
            <v>0</v>
          </cell>
          <cell r="H940">
            <v>98.903000000000006</v>
          </cell>
          <cell r="I940">
            <v>0</v>
          </cell>
          <cell r="J940"/>
          <cell r="K940">
            <v>98.903000000000006</v>
          </cell>
        </row>
        <row r="941">
          <cell r="A941">
            <v>5.375</v>
          </cell>
          <cell r="B941">
            <v>99.578000000000003</v>
          </cell>
          <cell r="D941">
            <v>99.578000000000003</v>
          </cell>
          <cell r="E941">
            <v>1.1249999999999998</v>
          </cell>
          <cell r="F941">
            <v>0</v>
          </cell>
          <cell r="G941">
            <v>0</v>
          </cell>
          <cell r="H941">
            <v>98.453000000000003</v>
          </cell>
          <cell r="I941">
            <v>0</v>
          </cell>
          <cell r="J941"/>
          <cell r="K941">
            <v>98.453000000000003</v>
          </cell>
        </row>
        <row r="942">
          <cell r="A942">
            <v>5.25</v>
          </cell>
          <cell r="B942">
            <v>99.122</v>
          </cell>
          <cell r="D942">
            <v>99.122</v>
          </cell>
          <cell r="E942">
            <v>1.1249999999999998</v>
          </cell>
          <cell r="F942">
            <v>0</v>
          </cell>
          <cell r="G942">
            <v>0</v>
          </cell>
          <cell r="H942">
            <v>97.997</v>
          </cell>
          <cell r="I942">
            <v>0</v>
          </cell>
          <cell r="J942"/>
          <cell r="K942">
            <v>97.997</v>
          </cell>
        </row>
        <row r="943">
          <cell r="A943">
            <v>5.125</v>
          </cell>
          <cell r="B943">
            <v>99.091999999999999</v>
          </cell>
          <cell r="D943">
            <v>99.091999999999999</v>
          </cell>
          <cell r="E943">
            <v>1.1249999999999998</v>
          </cell>
          <cell r="F943">
            <v>0</v>
          </cell>
          <cell r="G943">
            <v>0</v>
          </cell>
          <cell r="H943">
            <v>97.966999999999999</v>
          </cell>
          <cell r="I943">
            <v>0</v>
          </cell>
          <cell r="J943"/>
          <cell r="K943">
            <v>97.966999999999999</v>
          </cell>
        </row>
        <row r="944">
          <cell r="A944">
            <v>5</v>
          </cell>
          <cell r="B944">
            <v>98.637</v>
          </cell>
          <cell r="D944">
            <v>98.637</v>
          </cell>
          <cell r="E944">
            <v>1.1249999999999998</v>
          </cell>
          <cell r="F944">
            <v>0</v>
          </cell>
          <cell r="G944">
            <v>0</v>
          </cell>
          <cell r="H944">
            <v>97.512</v>
          </cell>
          <cell r="I944">
            <v>0</v>
          </cell>
          <cell r="J944"/>
          <cell r="K944">
            <v>97.512</v>
          </cell>
        </row>
        <row r="945">
          <cell r="A945">
            <v>4.875</v>
          </cell>
          <cell r="B945">
            <v>98.176000000000002</v>
          </cell>
          <cell r="D945">
            <v>98.176000000000002</v>
          </cell>
          <cell r="E945">
            <v>1.1249999999999998</v>
          </cell>
          <cell r="F945">
            <v>0</v>
          </cell>
          <cell r="G945">
            <v>0</v>
          </cell>
          <cell r="H945">
            <v>97.051000000000002</v>
          </cell>
          <cell r="I945">
            <v>0</v>
          </cell>
          <cell r="J945"/>
          <cell r="K945">
            <v>97.051000000000002</v>
          </cell>
        </row>
        <row r="946">
          <cell r="A946">
            <v>4.75</v>
          </cell>
          <cell r="B946">
            <v>97.710000000000008</v>
          </cell>
          <cell r="D946">
            <v>97.710000000000008</v>
          </cell>
          <cell r="E946">
            <v>1.1249999999999998</v>
          </cell>
          <cell r="F946">
            <v>0</v>
          </cell>
          <cell r="G946">
            <v>0</v>
          </cell>
          <cell r="H946">
            <v>96.585000000000008</v>
          </cell>
          <cell r="I946">
            <v>0</v>
          </cell>
          <cell r="J946"/>
          <cell r="K946">
            <v>96.585000000000008</v>
          </cell>
        </row>
        <row r="947">
          <cell r="A947">
            <v>4.625</v>
          </cell>
          <cell r="B947">
            <v>97.832999999999998</v>
          </cell>
          <cell r="D947">
            <v>97.832999999999998</v>
          </cell>
          <cell r="E947">
            <v>1.1249999999999998</v>
          </cell>
          <cell r="F947">
            <v>0</v>
          </cell>
          <cell r="G947">
            <v>0</v>
          </cell>
          <cell r="H947">
            <v>96.707999999999998</v>
          </cell>
          <cell r="I947">
            <v>0</v>
          </cell>
          <cell r="J947"/>
          <cell r="K947">
            <v>96.707999999999998</v>
          </cell>
        </row>
        <row r="948">
          <cell r="A948">
            <v>4.5</v>
          </cell>
          <cell r="B948">
            <v>97.366</v>
          </cell>
          <cell r="D948">
            <v>97.366</v>
          </cell>
          <cell r="E948">
            <v>1.1249999999999998</v>
          </cell>
          <cell r="F948">
            <v>0</v>
          </cell>
          <cell r="G948">
            <v>0</v>
          </cell>
          <cell r="H948">
            <v>96.241</v>
          </cell>
          <cell r="I948">
            <v>0</v>
          </cell>
          <cell r="J948"/>
          <cell r="K948">
            <v>96.241</v>
          </cell>
        </row>
        <row r="949">
          <cell r="A949">
            <v>4.375</v>
          </cell>
          <cell r="B949">
            <v>96.89500000000001</v>
          </cell>
          <cell r="D949">
            <v>96.89500000000001</v>
          </cell>
          <cell r="E949">
            <v>1.1249999999999998</v>
          </cell>
          <cell r="F949">
            <v>0</v>
          </cell>
          <cell r="G949">
            <v>0</v>
          </cell>
          <cell r="H949">
            <v>95.77000000000001</v>
          </cell>
          <cell r="I949">
            <v>0</v>
          </cell>
          <cell r="J949"/>
          <cell r="K949">
            <v>95.77000000000001</v>
          </cell>
        </row>
        <row r="950">
          <cell r="A950">
            <v>4.25</v>
          </cell>
          <cell r="B950">
            <v>95.919000000000011</v>
          </cell>
          <cell r="D950">
            <v>95.919000000000011</v>
          </cell>
          <cell r="E950">
            <v>1.1249999999999998</v>
          </cell>
          <cell r="F950">
            <v>0</v>
          </cell>
          <cell r="G950">
            <v>0</v>
          </cell>
          <cell r="H950">
            <v>94.794000000000011</v>
          </cell>
          <cell r="I950">
            <v>0</v>
          </cell>
          <cell r="J950"/>
          <cell r="K950">
            <v>94.794000000000011</v>
          </cell>
        </row>
        <row r="951">
          <cell r="A951"/>
          <cell r="B951"/>
          <cell r="C951"/>
          <cell r="D951"/>
          <cell r="E951"/>
          <cell r="G951"/>
          <cell r="H951"/>
          <cell r="I951"/>
          <cell r="J951"/>
          <cell r="K951"/>
        </row>
        <row r="954">
          <cell r="A954">
            <v>7.75</v>
          </cell>
          <cell r="B954">
            <v>101.68582717641085</v>
          </cell>
          <cell r="C954"/>
          <cell r="D954">
            <v>101.68582717641085</v>
          </cell>
          <cell r="E954">
            <v>-2.5000000000000105E-2</v>
          </cell>
          <cell r="F954">
            <v>0</v>
          </cell>
          <cell r="G954">
            <v>0</v>
          </cell>
          <cell r="H954">
            <v>101.71082717641086</v>
          </cell>
          <cell r="I954">
            <v>0</v>
          </cell>
          <cell r="J954"/>
          <cell r="K954">
            <v>101.71082717641086</v>
          </cell>
        </row>
        <row r="955">
          <cell r="A955">
            <v>7.625</v>
          </cell>
          <cell r="B955">
            <v>101.73162765822475</v>
          </cell>
          <cell r="C955"/>
          <cell r="D955">
            <v>101.73162765822475</v>
          </cell>
          <cell r="E955">
            <v>-2.5000000000000105E-2</v>
          </cell>
          <cell r="F955">
            <v>0</v>
          </cell>
          <cell r="G955">
            <v>0</v>
          </cell>
          <cell r="H955">
            <v>101.75662765822476</v>
          </cell>
          <cell r="I955">
            <v>0</v>
          </cell>
          <cell r="J955"/>
          <cell r="K955">
            <v>101.75662765822476</v>
          </cell>
        </row>
        <row r="956">
          <cell r="A956">
            <v>7.5</v>
          </cell>
          <cell r="B956">
            <v>101.78072727682759</v>
          </cell>
          <cell r="C956"/>
          <cell r="D956">
            <v>101.78072727682759</v>
          </cell>
          <cell r="E956">
            <v>-2.5000000000000105E-2</v>
          </cell>
          <cell r="F956">
            <v>0</v>
          </cell>
          <cell r="G956">
            <v>0</v>
          </cell>
          <cell r="H956">
            <v>101.8057272768276</v>
          </cell>
          <cell r="I956">
            <v>0</v>
          </cell>
          <cell r="J956"/>
          <cell r="K956">
            <v>101.8057272768276</v>
          </cell>
        </row>
        <row r="957">
          <cell r="A957">
            <v>7.375</v>
          </cell>
          <cell r="B957">
            <v>101.83355832860531</v>
          </cell>
          <cell r="C957"/>
          <cell r="D957">
            <v>101.83355832860531</v>
          </cell>
          <cell r="E957">
            <v>-2.5000000000000105E-2</v>
          </cell>
          <cell r="F957">
            <v>0</v>
          </cell>
          <cell r="G957">
            <v>0</v>
          </cell>
          <cell r="H957">
            <v>101.85855832860531</v>
          </cell>
          <cell r="I957">
            <v>0</v>
          </cell>
          <cell r="J957"/>
          <cell r="K957">
            <v>101.85855832860531</v>
          </cell>
        </row>
        <row r="958">
          <cell r="A958">
            <v>7.25</v>
          </cell>
          <cell r="B958">
            <v>102.21913226009657</v>
          </cell>
          <cell r="C958"/>
          <cell r="D958">
            <v>102.21913226009657</v>
          </cell>
          <cell r="E958">
            <v>-2.5000000000000105E-2</v>
          </cell>
          <cell r="F958">
            <v>0</v>
          </cell>
          <cell r="G958">
            <v>0</v>
          </cell>
          <cell r="H958">
            <v>102.24413226009658</v>
          </cell>
          <cell r="I958">
            <v>0</v>
          </cell>
          <cell r="J958"/>
          <cell r="K958">
            <v>102.24413226009658</v>
          </cell>
        </row>
        <row r="959">
          <cell r="A959">
            <v>7.125</v>
          </cell>
          <cell r="B959">
            <v>102.12184884369944</v>
          </cell>
          <cell r="C959"/>
          <cell r="D959">
            <v>102.12184884369944</v>
          </cell>
          <cell r="E959">
            <v>-2.5000000000000105E-2</v>
          </cell>
          <cell r="F959">
            <v>0</v>
          </cell>
          <cell r="G959">
            <v>0</v>
          </cell>
          <cell r="H959">
            <v>102.14684884369944</v>
          </cell>
          <cell r="I959">
            <v>0</v>
          </cell>
          <cell r="J959"/>
          <cell r="K959">
            <v>102.14684884369944</v>
          </cell>
        </row>
        <row r="960">
          <cell r="A960">
            <v>7</v>
          </cell>
          <cell r="B960">
            <v>102.00346805850165</v>
          </cell>
          <cell r="C960"/>
          <cell r="D960">
            <v>102.00346805850165</v>
          </cell>
          <cell r="E960">
            <v>-2.5000000000000105E-2</v>
          </cell>
          <cell r="F960">
            <v>0</v>
          </cell>
          <cell r="G960">
            <v>0</v>
          </cell>
          <cell r="H960">
            <v>102.02846805850166</v>
          </cell>
          <cell r="I960">
            <v>0</v>
          </cell>
          <cell r="J960"/>
          <cell r="K960">
            <v>102.02846805850166</v>
          </cell>
        </row>
        <row r="961">
          <cell r="A961">
            <v>6.875</v>
          </cell>
          <cell r="B961">
            <v>101.86170891527799</v>
          </cell>
          <cell r="C961"/>
          <cell r="D961">
            <v>101.86170891527799</v>
          </cell>
          <cell r="E961">
            <v>-2.5000000000000105E-2</v>
          </cell>
          <cell r="F961">
            <v>0</v>
          </cell>
          <cell r="G961">
            <v>0</v>
          </cell>
          <cell r="H961">
            <v>101.88670891527799</v>
          </cell>
          <cell r="I961">
            <v>0</v>
          </cell>
          <cell r="J961"/>
          <cell r="K961">
            <v>101.88670891527799</v>
          </cell>
        </row>
        <row r="962">
          <cell r="A962">
            <v>6.75</v>
          </cell>
          <cell r="B962">
            <v>101.69466267656229</v>
          </cell>
          <cell r="C962"/>
          <cell r="D962">
            <v>101.69466267656229</v>
          </cell>
          <cell r="E962">
            <v>-2.5000000000000105E-2</v>
          </cell>
          <cell r="F962">
            <v>0</v>
          </cell>
          <cell r="G962">
            <v>0</v>
          </cell>
          <cell r="H962">
            <v>101.71966267656229</v>
          </cell>
          <cell r="I962">
            <v>0</v>
          </cell>
          <cell r="J962"/>
          <cell r="K962">
            <v>101.71966267656229</v>
          </cell>
        </row>
        <row r="963">
          <cell r="A963">
            <v>6.625</v>
          </cell>
          <cell r="B963">
            <v>101.38076598243613</v>
          </cell>
          <cell r="C963"/>
          <cell r="D963">
            <v>101.38076598243613</v>
          </cell>
          <cell r="E963">
            <v>-2.5000000000000105E-2</v>
          </cell>
          <cell r="F963">
            <v>0</v>
          </cell>
          <cell r="G963">
            <v>0</v>
          </cell>
          <cell r="H963">
            <v>101.40576598243614</v>
          </cell>
          <cell r="I963">
            <v>0</v>
          </cell>
          <cell r="J963"/>
          <cell r="K963">
            <v>101.40576598243614</v>
          </cell>
        </row>
        <row r="964">
          <cell r="A964">
            <v>6.5</v>
          </cell>
          <cell r="B964">
            <v>101.21496039245817</v>
          </cell>
          <cell r="C964"/>
          <cell r="D964">
            <v>101.21496039245817</v>
          </cell>
          <cell r="E964">
            <v>-2.5000000000000105E-2</v>
          </cell>
          <cell r="F964">
            <v>0</v>
          </cell>
          <cell r="G964">
            <v>0</v>
          </cell>
          <cell r="H964">
            <v>101.23996039245817</v>
          </cell>
          <cell r="I964">
            <v>0</v>
          </cell>
          <cell r="J964"/>
          <cell r="K964">
            <v>101.23996039245817</v>
          </cell>
        </row>
        <row r="965">
          <cell r="A965">
            <v>6.375</v>
          </cell>
          <cell r="B965">
            <v>101.02084428613479</v>
          </cell>
          <cell r="C965"/>
          <cell r="D965">
            <v>101.02084428613479</v>
          </cell>
          <cell r="E965">
            <v>-2.5000000000000105E-2</v>
          </cell>
          <cell r="F965">
            <v>0</v>
          </cell>
          <cell r="G965">
            <v>0</v>
          </cell>
          <cell r="H965">
            <v>101.04584428613479</v>
          </cell>
          <cell r="I965">
            <v>0</v>
          </cell>
          <cell r="J965"/>
          <cell r="K965">
            <v>101.04584428613479</v>
          </cell>
        </row>
        <row r="966">
          <cell r="A966">
            <v>6.25</v>
          </cell>
          <cell r="B966">
            <v>100.89716640408007</v>
          </cell>
          <cell r="C966"/>
          <cell r="D966">
            <v>100.89716640408007</v>
          </cell>
          <cell r="E966">
            <v>-2.5000000000000105E-2</v>
          </cell>
          <cell r="F966">
            <v>0</v>
          </cell>
          <cell r="G966">
            <v>0</v>
          </cell>
          <cell r="H966">
            <v>100.92216640408007</v>
          </cell>
          <cell r="I966">
            <v>0</v>
          </cell>
          <cell r="J966"/>
          <cell r="K966">
            <v>100.92216640408007</v>
          </cell>
        </row>
        <row r="967">
          <cell r="A967">
            <v>6.125</v>
          </cell>
          <cell r="B967">
            <v>100.69416566053886</v>
          </cell>
          <cell r="C967"/>
          <cell r="D967">
            <v>100.69416566053886</v>
          </cell>
          <cell r="E967">
            <v>-2.5000000000000105E-2</v>
          </cell>
          <cell r="F967">
            <v>0</v>
          </cell>
          <cell r="G967">
            <v>0</v>
          </cell>
          <cell r="H967">
            <v>100.71916566053886</v>
          </cell>
          <cell r="I967">
            <v>0</v>
          </cell>
          <cell r="J967"/>
          <cell r="K967">
            <v>100.71916566053886</v>
          </cell>
        </row>
        <row r="968">
          <cell r="A968">
            <v>6</v>
          </cell>
          <cell r="B968">
            <v>100.46283553544994</v>
          </cell>
          <cell r="C968"/>
          <cell r="D968">
            <v>100.46283553544994</v>
          </cell>
          <cell r="E968">
            <v>-2.5000000000000105E-2</v>
          </cell>
          <cell r="F968">
            <v>0</v>
          </cell>
          <cell r="G968">
            <v>0</v>
          </cell>
          <cell r="H968">
            <v>100.48783553544995</v>
          </cell>
          <cell r="I968">
            <v>0</v>
          </cell>
          <cell r="J968"/>
          <cell r="K968">
            <v>100.48783553544995</v>
          </cell>
        </row>
        <row r="969">
          <cell r="A969">
            <v>5.875</v>
          </cell>
          <cell r="B969">
            <v>100.20855799998836</v>
          </cell>
          <cell r="C969"/>
          <cell r="D969">
            <v>100.20855799998836</v>
          </cell>
          <cell r="E969">
            <v>-2.5000000000000105E-2</v>
          </cell>
          <cell r="F969">
            <v>0</v>
          </cell>
          <cell r="G969">
            <v>0</v>
          </cell>
          <cell r="H969">
            <v>100.23355799998836</v>
          </cell>
          <cell r="I969">
            <v>0</v>
          </cell>
          <cell r="J969"/>
          <cell r="K969">
            <v>100.23355799998836</v>
          </cell>
        </row>
        <row r="970">
          <cell r="A970">
            <v>5.75</v>
          </cell>
          <cell r="B970">
            <v>99.94976295710552</v>
          </cell>
          <cell r="C970"/>
          <cell r="D970">
            <v>99.94976295710552</v>
          </cell>
          <cell r="E970">
            <v>-2.5000000000000105E-2</v>
          </cell>
          <cell r="F970">
            <v>0</v>
          </cell>
          <cell r="G970">
            <v>0</v>
          </cell>
          <cell r="H970">
            <v>99.974762957105526</v>
          </cell>
          <cell r="I970">
            <v>0</v>
          </cell>
          <cell r="J970"/>
          <cell r="K970">
            <v>99.974762957105526</v>
          </cell>
        </row>
        <row r="971">
          <cell r="A971">
            <v>5.625</v>
          </cell>
          <cell r="B971">
            <v>99.465345670050183</v>
          </cell>
          <cell r="C971"/>
          <cell r="D971">
            <v>99.465345670050183</v>
          </cell>
          <cell r="E971">
            <v>-2.5000000000000105E-2</v>
          </cell>
          <cell r="F971">
            <v>0</v>
          </cell>
          <cell r="G971">
            <v>0</v>
          </cell>
          <cell r="H971">
            <v>99.490345670050189</v>
          </cell>
          <cell r="I971">
            <v>0</v>
          </cell>
          <cell r="J971"/>
          <cell r="K971">
            <v>99.490345670050189</v>
          </cell>
        </row>
        <row r="972">
          <cell r="A972">
            <v>5.5</v>
          </cell>
          <cell r="B972">
            <v>99.2035936450539</v>
          </cell>
          <cell r="C972"/>
          <cell r="D972">
            <v>99.2035936450539</v>
          </cell>
          <cell r="E972">
            <v>-2.5000000000000105E-2</v>
          </cell>
          <cell r="F972">
            <v>0</v>
          </cell>
          <cell r="G972">
            <v>0</v>
          </cell>
          <cell r="H972">
            <v>99.228593645053905</v>
          </cell>
          <cell r="I972">
            <v>0</v>
          </cell>
          <cell r="J972"/>
          <cell r="K972">
            <v>99.228593645053905</v>
          </cell>
        </row>
        <row r="973">
          <cell r="A973">
            <v>5.375</v>
          </cell>
          <cell r="B973">
            <v>98.913467670954333</v>
          </cell>
          <cell r="C973"/>
          <cell r="D973">
            <v>98.913467670954333</v>
          </cell>
          <cell r="E973">
            <v>-2.5000000000000105E-2</v>
          </cell>
          <cell r="F973">
            <v>0</v>
          </cell>
          <cell r="G973">
            <v>0</v>
          </cell>
          <cell r="H973">
            <v>98.938467670954338</v>
          </cell>
          <cell r="I973">
            <v>0</v>
          </cell>
          <cell r="J973"/>
          <cell r="K973">
            <v>98.938467670954338</v>
          </cell>
        </row>
        <row r="974">
          <cell r="A974">
            <v>5.25</v>
          </cell>
          <cell r="B974">
            <v>98.6135667146971</v>
          </cell>
          <cell r="C974"/>
          <cell r="D974">
            <v>98.6135667146971</v>
          </cell>
          <cell r="E974">
            <v>-2.5000000000000105E-2</v>
          </cell>
          <cell r="F974">
            <v>0</v>
          </cell>
          <cell r="G974">
            <v>0</v>
          </cell>
          <cell r="H974">
            <v>98.638566714697106</v>
          </cell>
          <cell r="I974">
            <v>0</v>
          </cell>
          <cell r="J974"/>
          <cell r="K974">
            <v>98.638566714697106</v>
          </cell>
        </row>
        <row r="975">
          <cell r="A975">
            <v>5.125</v>
          </cell>
          <cell r="B975">
            <v>96.463603076172106</v>
          </cell>
          <cell r="C975"/>
          <cell r="D975">
            <v>96.463603076172106</v>
          </cell>
          <cell r="E975">
            <v>-2.5000000000000105E-2</v>
          </cell>
          <cell r="F975">
            <v>0</v>
          </cell>
          <cell r="G975">
            <v>0</v>
          </cell>
          <cell r="H975">
            <v>96.488603076172112</v>
          </cell>
          <cell r="I975">
            <v>0</v>
          </cell>
          <cell r="J975"/>
          <cell r="K975">
            <v>96.488603076172112</v>
          </cell>
        </row>
        <row r="976">
          <cell r="A976">
            <v>5</v>
          </cell>
          <cell r="B976">
            <v>96.156091270193315</v>
          </cell>
          <cell r="C976"/>
          <cell r="D976">
            <v>96.156091270193315</v>
          </cell>
          <cell r="E976">
            <v>-2.5000000000000105E-2</v>
          </cell>
          <cell r="F976">
            <v>0</v>
          </cell>
          <cell r="G976">
            <v>0</v>
          </cell>
          <cell r="H976">
            <v>96.18109127019332</v>
          </cell>
          <cell r="I976">
            <v>0</v>
          </cell>
          <cell r="J976"/>
          <cell r="K976">
            <v>96.18109127019332</v>
          </cell>
        </row>
        <row r="977">
          <cell r="A977">
            <v>4.875</v>
          </cell>
          <cell r="B977">
            <v>95.824493229835937</v>
          </cell>
          <cell r="C977"/>
          <cell r="D977">
            <v>95.824493229835937</v>
          </cell>
          <cell r="E977">
            <v>-2.5000000000000105E-2</v>
          </cell>
          <cell r="F977">
            <v>0</v>
          </cell>
          <cell r="G977">
            <v>0</v>
          </cell>
          <cell r="H977">
            <v>95.849493229835943</v>
          </cell>
          <cell r="I977">
            <v>0</v>
          </cell>
          <cell r="J977"/>
          <cell r="K977">
            <v>95.849493229835943</v>
          </cell>
        </row>
        <row r="978">
          <cell r="A978">
            <v>4.75</v>
          </cell>
          <cell r="B978">
            <v>95.487468285719785</v>
          </cell>
          <cell r="C978"/>
          <cell r="D978">
            <v>95.487468285719785</v>
          </cell>
          <cell r="E978">
            <v>-2.5000000000000105E-2</v>
          </cell>
          <cell r="F978">
            <v>0</v>
          </cell>
          <cell r="G978">
            <v>0</v>
          </cell>
          <cell r="H978">
            <v>95.512468285719791</v>
          </cell>
          <cell r="I978">
            <v>0</v>
          </cell>
          <cell r="J978"/>
          <cell r="K978">
            <v>95.512468285719791</v>
          </cell>
        </row>
        <row r="981">
          <cell r="A981">
            <v>7.75</v>
          </cell>
          <cell r="B981">
            <v>104.08311677593971</v>
          </cell>
          <cell r="C981"/>
          <cell r="D981">
            <v>104.08311677593971</v>
          </cell>
          <cell r="E981">
            <v>7.4999999999999983E-2</v>
          </cell>
          <cell r="F981">
            <v>0</v>
          </cell>
          <cell r="G981">
            <v>0</v>
          </cell>
          <cell r="H981">
            <v>104.00811677593971</v>
          </cell>
          <cell r="I981">
            <v>0</v>
          </cell>
          <cell r="J981"/>
          <cell r="K981">
            <v>104.00811677593971</v>
          </cell>
        </row>
        <row r="982">
          <cell r="A982">
            <v>7.625</v>
          </cell>
          <cell r="B982">
            <v>103.97900993212886</v>
          </cell>
          <cell r="C982"/>
          <cell r="D982">
            <v>103.97900993212886</v>
          </cell>
          <cell r="E982">
            <v>7.4999999999999983E-2</v>
          </cell>
          <cell r="F982">
            <v>0</v>
          </cell>
          <cell r="G982">
            <v>0</v>
          </cell>
          <cell r="H982">
            <v>103.90400993212886</v>
          </cell>
          <cell r="I982">
            <v>0</v>
          </cell>
          <cell r="J982"/>
          <cell r="K982">
            <v>103.90400993212886</v>
          </cell>
        </row>
        <row r="983">
          <cell r="A983">
            <v>7.5</v>
          </cell>
          <cell r="B983">
            <v>103.85579152755699</v>
          </cell>
          <cell r="C983"/>
          <cell r="D983">
            <v>103.85579152755699</v>
          </cell>
          <cell r="E983">
            <v>7.4999999999999983E-2</v>
          </cell>
          <cell r="F983">
            <v>0</v>
          </cell>
          <cell r="G983">
            <v>0</v>
          </cell>
          <cell r="H983">
            <v>103.78079152755699</v>
          </cell>
          <cell r="I983">
            <v>0</v>
          </cell>
          <cell r="J983"/>
          <cell r="K983">
            <v>103.78079152755699</v>
          </cell>
        </row>
        <row r="984">
          <cell r="A984">
            <v>7.375</v>
          </cell>
          <cell r="B984">
            <v>103.71113700675494</v>
          </cell>
          <cell r="C984"/>
          <cell r="D984">
            <v>103.71113700675494</v>
          </cell>
          <cell r="E984">
            <v>7.4999999999999983E-2</v>
          </cell>
          <cell r="F984">
            <v>0</v>
          </cell>
          <cell r="G984">
            <v>0</v>
          </cell>
          <cell r="H984">
            <v>103.63613700675494</v>
          </cell>
          <cell r="I984">
            <v>0</v>
          </cell>
          <cell r="J984"/>
          <cell r="K984">
            <v>103.63613700675494</v>
          </cell>
        </row>
        <row r="985">
          <cell r="A985">
            <v>7.25</v>
          </cell>
          <cell r="B985">
            <v>104.52775774676354</v>
          </cell>
          <cell r="C985"/>
          <cell r="D985">
            <v>104.52775774676354</v>
          </cell>
          <cell r="E985">
            <v>7.4999999999999983E-2</v>
          </cell>
          <cell r="F985">
            <v>0</v>
          </cell>
          <cell r="G985">
            <v>0</v>
          </cell>
          <cell r="H985">
            <v>104.45275774676354</v>
          </cell>
          <cell r="I985">
            <v>0</v>
          </cell>
          <cell r="J985"/>
          <cell r="K985">
            <v>104.45275774676354</v>
          </cell>
        </row>
        <row r="986">
          <cell r="A986">
            <v>7.125</v>
          </cell>
          <cell r="B986">
            <v>104.38952076905805</v>
          </cell>
          <cell r="C986"/>
          <cell r="D986">
            <v>104.38952076905805</v>
          </cell>
          <cell r="E986">
            <v>7.4999999999999983E-2</v>
          </cell>
          <cell r="F986">
            <v>0</v>
          </cell>
          <cell r="G986">
            <v>0</v>
          </cell>
          <cell r="H986">
            <v>104.31452076905805</v>
          </cell>
          <cell r="I986">
            <v>0</v>
          </cell>
          <cell r="J986"/>
          <cell r="K986">
            <v>104.31452076905805</v>
          </cell>
        </row>
        <row r="987">
          <cell r="A987">
            <v>7</v>
          </cell>
          <cell r="B987">
            <v>104.22560271552035</v>
          </cell>
          <cell r="C987"/>
          <cell r="D987">
            <v>104.22560271552035</v>
          </cell>
          <cell r="E987">
            <v>7.4999999999999983E-2</v>
          </cell>
          <cell r="F987">
            <v>0</v>
          </cell>
          <cell r="G987">
            <v>0</v>
          </cell>
          <cell r="H987">
            <v>104.15060271552035</v>
          </cell>
          <cell r="I987">
            <v>0</v>
          </cell>
          <cell r="J987"/>
          <cell r="K987">
            <v>104.15060271552035</v>
          </cell>
        </row>
        <row r="988">
          <cell r="A988">
            <v>6.875</v>
          </cell>
          <cell r="B988">
            <v>104.03384228403469</v>
          </cell>
          <cell r="C988"/>
          <cell r="D988">
            <v>104.03384228403469</v>
          </cell>
          <cell r="E988">
            <v>7.4999999999999983E-2</v>
          </cell>
          <cell r="F988">
            <v>0</v>
          </cell>
          <cell r="G988">
            <v>0</v>
          </cell>
          <cell r="H988">
            <v>103.95884228403469</v>
          </cell>
          <cell r="I988">
            <v>0</v>
          </cell>
          <cell r="J988"/>
          <cell r="K988">
            <v>103.95884228403469</v>
          </cell>
        </row>
        <row r="989">
          <cell r="A989">
            <v>6.75</v>
          </cell>
          <cell r="B989">
            <v>103.81260871862253</v>
          </cell>
          <cell r="C989"/>
          <cell r="D989">
            <v>103.81260871862253</v>
          </cell>
          <cell r="E989">
            <v>7.4999999999999983E-2</v>
          </cell>
          <cell r="F989">
            <v>0</v>
          </cell>
          <cell r="G989">
            <v>0</v>
          </cell>
          <cell r="H989">
            <v>103.73760871862252</v>
          </cell>
          <cell r="I989">
            <v>0</v>
          </cell>
          <cell r="J989"/>
          <cell r="K989">
            <v>103.73760871862252</v>
          </cell>
        </row>
        <row r="990">
          <cell r="A990">
            <v>6.625</v>
          </cell>
          <cell r="B990">
            <v>102.58217741707823</v>
          </cell>
          <cell r="C990"/>
          <cell r="D990">
            <v>102.58217741707823</v>
          </cell>
          <cell r="E990">
            <v>7.4999999999999983E-2</v>
          </cell>
          <cell r="F990">
            <v>0</v>
          </cell>
          <cell r="G990">
            <v>0</v>
          </cell>
          <cell r="H990">
            <v>102.50717741707822</v>
          </cell>
          <cell r="I990">
            <v>0</v>
          </cell>
          <cell r="J990"/>
          <cell r="K990">
            <v>102.50717741707822</v>
          </cell>
        </row>
        <row r="991">
          <cell r="A991">
            <v>6.5</v>
          </cell>
          <cell r="B991">
            <v>102.36073717527202</v>
          </cell>
          <cell r="C991"/>
          <cell r="D991">
            <v>102.36073717527202</v>
          </cell>
          <cell r="E991">
            <v>7.4999999999999983E-2</v>
          </cell>
          <cell r="F991">
            <v>0</v>
          </cell>
          <cell r="G991">
            <v>0</v>
          </cell>
          <cell r="H991">
            <v>102.28573717527202</v>
          </cell>
          <cell r="I991">
            <v>0</v>
          </cell>
          <cell r="J991"/>
          <cell r="K991">
            <v>102.28573717527202</v>
          </cell>
        </row>
        <row r="992">
          <cell r="A992">
            <v>6.375</v>
          </cell>
          <cell r="B992">
            <v>102.10775542411338</v>
          </cell>
          <cell r="C992"/>
          <cell r="D992">
            <v>102.10775542411338</v>
          </cell>
          <cell r="E992">
            <v>7.4999999999999983E-2</v>
          </cell>
          <cell r="F992">
            <v>0</v>
          </cell>
          <cell r="G992">
            <v>0</v>
          </cell>
          <cell r="H992">
            <v>102.03275542411338</v>
          </cell>
          <cell r="I992">
            <v>0</v>
          </cell>
          <cell r="J992"/>
          <cell r="K992">
            <v>102.03275542411338</v>
          </cell>
        </row>
        <row r="993">
          <cell r="A993">
            <v>6.25</v>
          </cell>
          <cell r="B993">
            <v>101.85709359623554</v>
          </cell>
          <cell r="C993"/>
          <cell r="D993">
            <v>101.85709359623554</v>
          </cell>
          <cell r="E993">
            <v>7.4999999999999983E-2</v>
          </cell>
          <cell r="F993">
            <v>0</v>
          </cell>
          <cell r="G993">
            <v>0</v>
          </cell>
          <cell r="H993">
            <v>101.78209359623554</v>
          </cell>
          <cell r="I993">
            <v>0</v>
          </cell>
          <cell r="J993"/>
          <cell r="K993">
            <v>101.78209359623554</v>
          </cell>
        </row>
        <row r="994">
          <cell r="A994">
            <v>6.125</v>
          </cell>
          <cell r="B994">
            <v>101.59327126925045</v>
          </cell>
          <cell r="C994"/>
          <cell r="D994">
            <v>101.59327126925045</v>
          </cell>
          <cell r="E994">
            <v>7.4999999999999983E-2</v>
          </cell>
          <cell r="F994">
            <v>0</v>
          </cell>
          <cell r="G994">
            <v>0</v>
          </cell>
          <cell r="H994">
            <v>101.51827126925045</v>
          </cell>
          <cell r="I994">
            <v>0</v>
          </cell>
          <cell r="J994"/>
          <cell r="K994">
            <v>101.51827126925045</v>
          </cell>
        </row>
        <row r="995">
          <cell r="A995">
            <v>6</v>
          </cell>
          <cell r="B995">
            <v>101.29989239006142</v>
          </cell>
          <cell r="C995"/>
          <cell r="D995">
            <v>101.29989239006142</v>
          </cell>
          <cell r="E995">
            <v>7.4999999999999983E-2</v>
          </cell>
          <cell r="F995">
            <v>0</v>
          </cell>
          <cell r="G995">
            <v>0</v>
          </cell>
          <cell r="H995">
            <v>101.22489239006141</v>
          </cell>
          <cell r="I995">
            <v>0</v>
          </cell>
          <cell r="J995"/>
          <cell r="K995">
            <v>101.22489239006141</v>
          </cell>
        </row>
        <row r="996">
          <cell r="A996">
            <v>5.875</v>
          </cell>
          <cell r="B996">
            <v>100.98326354013753</v>
          </cell>
          <cell r="C996"/>
          <cell r="D996">
            <v>100.98326354013753</v>
          </cell>
          <cell r="E996">
            <v>7.4999999999999983E-2</v>
          </cell>
          <cell r="F996">
            <v>0</v>
          </cell>
          <cell r="G996">
            <v>0</v>
          </cell>
          <cell r="H996">
            <v>100.90826354013753</v>
          </cell>
          <cell r="I996">
            <v>0</v>
          </cell>
          <cell r="J996"/>
          <cell r="K996">
            <v>100.90826354013753</v>
          </cell>
        </row>
        <row r="997">
          <cell r="A997">
            <v>5.75</v>
          </cell>
          <cell r="B997">
            <v>100.66133215327925</v>
          </cell>
          <cell r="C997"/>
          <cell r="D997">
            <v>100.66133215327925</v>
          </cell>
          <cell r="E997">
            <v>7.4999999999999983E-2</v>
          </cell>
          <cell r="F997">
            <v>0</v>
          </cell>
          <cell r="G997">
            <v>0</v>
          </cell>
          <cell r="H997">
            <v>100.58633215327924</v>
          </cell>
          <cell r="I997">
            <v>0</v>
          </cell>
          <cell r="J997"/>
          <cell r="K997">
            <v>100.58633215327924</v>
          </cell>
        </row>
        <row r="998">
          <cell r="A998">
            <v>5.625</v>
          </cell>
          <cell r="B998">
            <v>100.04803513188125</v>
          </cell>
          <cell r="C998"/>
          <cell r="D998">
            <v>100.04803513188125</v>
          </cell>
          <cell r="E998">
            <v>7.4999999999999983E-2</v>
          </cell>
          <cell r="F998">
            <v>0</v>
          </cell>
          <cell r="G998">
            <v>0</v>
          </cell>
          <cell r="H998">
            <v>99.973035131881247</v>
          </cell>
          <cell r="I998">
            <v>0</v>
          </cell>
          <cell r="J998"/>
          <cell r="K998">
            <v>99.973035131881247</v>
          </cell>
        </row>
        <row r="999">
          <cell r="A999">
            <v>5.5</v>
          </cell>
          <cell r="B999">
            <v>99.72223205450058</v>
          </cell>
          <cell r="C999"/>
          <cell r="D999">
            <v>99.72223205450058</v>
          </cell>
          <cell r="E999">
            <v>7.4999999999999983E-2</v>
          </cell>
          <cell r="F999">
            <v>0</v>
          </cell>
          <cell r="G999">
            <v>0</v>
          </cell>
          <cell r="H999">
            <v>99.647232054500577</v>
          </cell>
          <cell r="I999">
            <v>0</v>
          </cell>
          <cell r="J999"/>
          <cell r="K999">
            <v>99.647232054500577</v>
          </cell>
        </row>
        <row r="1000">
          <cell r="A1000">
            <v>5.375</v>
          </cell>
          <cell r="B1000">
            <v>99.369391874586583</v>
          </cell>
          <cell r="C1000"/>
          <cell r="D1000">
            <v>99.369391874586583</v>
          </cell>
          <cell r="E1000">
            <v>7.4999999999999983E-2</v>
          </cell>
          <cell r="F1000">
            <v>0</v>
          </cell>
          <cell r="G1000">
            <v>0</v>
          </cell>
          <cell r="H1000">
            <v>99.29439187458658</v>
          </cell>
          <cell r="I1000">
            <v>0</v>
          </cell>
          <cell r="J1000"/>
          <cell r="K1000">
            <v>99.29439187458658</v>
          </cell>
        </row>
        <row r="1001">
          <cell r="A1001">
            <v>5.25</v>
          </cell>
          <cell r="B1001">
            <v>99.006916176262081</v>
          </cell>
          <cell r="C1001"/>
          <cell r="D1001">
            <v>99.006916176262081</v>
          </cell>
          <cell r="E1001">
            <v>7.4999999999999983E-2</v>
          </cell>
          <cell r="F1001">
            <v>0</v>
          </cell>
          <cell r="G1001">
            <v>0</v>
          </cell>
          <cell r="H1001">
            <v>98.931916176262078</v>
          </cell>
          <cell r="I1001">
            <v>0</v>
          </cell>
          <cell r="J1001"/>
          <cell r="K1001">
            <v>98.931916176262078</v>
          </cell>
        </row>
        <row r="1002">
          <cell r="A1002">
            <v>5.125</v>
          </cell>
          <cell r="B1002">
            <v>97.689064252888699</v>
          </cell>
          <cell r="C1002"/>
          <cell r="D1002">
            <v>97.689064252888699</v>
          </cell>
          <cell r="E1002">
            <v>7.4999999999999983E-2</v>
          </cell>
          <cell r="F1002">
            <v>0</v>
          </cell>
          <cell r="G1002">
            <v>0</v>
          </cell>
          <cell r="H1002">
            <v>97.614064252888696</v>
          </cell>
          <cell r="I1002">
            <v>0</v>
          </cell>
          <cell r="J1002"/>
          <cell r="K1002">
            <v>97.614064252888696</v>
          </cell>
        </row>
        <row r="1003">
          <cell r="A1003">
            <v>5</v>
          </cell>
          <cell r="B1003">
            <v>97.319243386636771</v>
          </cell>
          <cell r="C1003"/>
          <cell r="D1003">
            <v>97.319243386636771</v>
          </cell>
          <cell r="E1003">
            <v>7.4999999999999983E-2</v>
          </cell>
          <cell r="F1003">
            <v>0</v>
          </cell>
          <cell r="G1003">
            <v>0</v>
          </cell>
          <cell r="H1003">
            <v>97.244243386636768</v>
          </cell>
          <cell r="I1003">
            <v>0</v>
          </cell>
          <cell r="J1003"/>
          <cell r="K1003">
            <v>97.244243386636768</v>
          </cell>
        </row>
        <row r="1004">
          <cell r="A1004">
            <v>4.875</v>
          </cell>
          <cell r="B1004">
            <v>96.92800215805309</v>
          </cell>
          <cell r="C1004"/>
          <cell r="D1004">
            <v>96.92800215805309</v>
          </cell>
          <cell r="E1004">
            <v>7.4999999999999983E-2</v>
          </cell>
          <cell r="F1004">
            <v>0</v>
          </cell>
          <cell r="G1004">
            <v>0</v>
          </cell>
          <cell r="H1004">
            <v>96.853002158053087</v>
          </cell>
          <cell r="I1004">
            <v>0</v>
          </cell>
          <cell r="J1004"/>
          <cell r="K1004">
            <v>96.853002158053087</v>
          </cell>
        </row>
        <row r="1005">
          <cell r="A1005"/>
          <cell r="B1005"/>
          <cell r="C1005"/>
          <cell r="D1005"/>
          <cell r="E1005"/>
          <cell r="F1005"/>
          <cell r="G1005"/>
          <cell r="H1005"/>
          <cell r="I1005"/>
          <cell r="J1005"/>
          <cell r="K1005"/>
        </row>
        <row r="1008">
          <cell r="A1008">
            <v>7.75</v>
          </cell>
          <cell r="B1008">
            <v>104.08311677593971</v>
          </cell>
          <cell r="C1008"/>
          <cell r="D1008">
            <v>104.08311677593971</v>
          </cell>
          <cell r="E1008">
            <v>-0.54999999999999993</v>
          </cell>
          <cell r="F1008">
            <v>0.2</v>
          </cell>
          <cell r="G1008">
            <v>0</v>
          </cell>
          <cell r="H1008">
            <v>104.43311677593971</v>
          </cell>
          <cell r="I1008">
            <v>0</v>
          </cell>
          <cell r="J1008"/>
          <cell r="K1008">
            <v>104.43311677593971</v>
          </cell>
        </row>
        <row r="1009">
          <cell r="A1009">
            <v>7.625</v>
          </cell>
          <cell r="B1009">
            <v>103.97900993212886</v>
          </cell>
          <cell r="C1009"/>
          <cell r="D1009">
            <v>103.97900993212886</v>
          </cell>
          <cell r="E1009">
            <v>-0.54999999999999993</v>
          </cell>
          <cell r="F1009">
            <v>0.2</v>
          </cell>
          <cell r="G1009">
            <v>0</v>
          </cell>
          <cell r="H1009">
            <v>104.32900993212886</v>
          </cell>
          <cell r="I1009">
            <v>0</v>
          </cell>
          <cell r="J1009"/>
          <cell r="K1009">
            <v>104.32900993212886</v>
          </cell>
        </row>
        <row r="1010">
          <cell r="A1010">
            <v>7.5</v>
          </cell>
          <cell r="B1010">
            <v>103.85579152755699</v>
          </cell>
          <cell r="C1010"/>
          <cell r="D1010">
            <v>103.85579152755699</v>
          </cell>
          <cell r="E1010">
            <v>-0.54999999999999993</v>
          </cell>
          <cell r="F1010">
            <v>0.2</v>
          </cell>
          <cell r="G1010">
            <v>0</v>
          </cell>
          <cell r="H1010">
            <v>104.20579152755698</v>
          </cell>
          <cell r="I1010">
            <v>0</v>
          </cell>
          <cell r="J1010"/>
          <cell r="K1010">
            <v>104.20579152755698</v>
          </cell>
        </row>
        <row r="1011">
          <cell r="A1011">
            <v>7.375</v>
          </cell>
          <cell r="B1011">
            <v>103.71113700675494</v>
          </cell>
          <cell r="C1011"/>
          <cell r="D1011">
            <v>103.71113700675494</v>
          </cell>
          <cell r="E1011">
            <v>-0.54999999999999993</v>
          </cell>
          <cell r="F1011">
            <v>0.2</v>
          </cell>
          <cell r="G1011">
            <v>0</v>
          </cell>
          <cell r="H1011">
            <v>104.06113700675493</v>
          </cell>
          <cell r="I1011">
            <v>0</v>
          </cell>
          <cell r="J1011"/>
          <cell r="K1011">
            <v>104.06113700675493</v>
          </cell>
        </row>
        <row r="1012">
          <cell r="A1012">
            <v>7.25</v>
          </cell>
          <cell r="B1012">
            <v>104.52775774676354</v>
          </cell>
          <cell r="C1012"/>
          <cell r="D1012">
            <v>104.52775774676354</v>
          </cell>
          <cell r="E1012">
            <v>-0.54999999999999993</v>
          </cell>
          <cell r="F1012">
            <v>0.2</v>
          </cell>
          <cell r="G1012">
            <v>0</v>
          </cell>
          <cell r="H1012">
            <v>104.87775774676354</v>
          </cell>
          <cell r="I1012">
            <v>0</v>
          </cell>
          <cell r="J1012"/>
          <cell r="K1012">
            <v>104.87775774676354</v>
          </cell>
        </row>
        <row r="1013">
          <cell r="A1013">
            <v>7.125</v>
          </cell>
          <cell r="B1013">
            <v>104.38952076905805</v>
          </cell>
          <cell r="C1013"/>
          <cell r="D1013">
            <v>104.38952076905805</v>
          </cell>
          <cell r="E1013">
            <v>-0.54999999999999993</v>
          </cell>
          <cell r="F1013">
            <v>0.2</v>
          </cell>
          <cell r="G1013">
            <v>0</v>
          </cell>
          <cell r="H1013">
            <v>104.73952076905805</v>
          </cell>
          <cell r="I1013">
            <v>0</v>
          </cell>
          <cell r="J1013"/>
          <cell r="K1013">
            <v>104.73952076905805</v>
          </cell>
        </row>
        <row r="1014">
          <cell r="A1014">
            <v>7</v>
          </cell>
          <cell r="B1014">
            <v>104.22560271552035</v>
          </cell>
          <cell r="C1014"/>
          <cell r="D1014">
            <v>104.22560271552035</v>
          </cell>
          <cell r="E1014">
            <v>-0.54999999999999993</v>
          </cell>
          <cell r="F1014">
            <v>0.2</v>
          </cell>
          <cell r="G1014">
            <v>0</v>
          </cell>
          <cell r="H1014">
            <v>104.57560271552035</v>
          </cell>
          <cell r="I1014">
            <v>0</v>
          </cell>
          <cell r="J1014"/>
          <cell r="K1014">
            <v>104.57560271552035</v>
          </cell>
        </row>
        <row r="1015">
          <cell r="A1015">
            <v>6.875</v>
          </cell>
          <cell r="B1015">
            <v>104.03384228403469</v>
          </cell>
          <cell r="C1015"/>
          <cell r="D1015">
            <v>104.03384228403469</v>
          </cell>
          <cell r="E1015">
            <v>-0.54999999999999993</v>
          </cell>
          <cell r="F1015">
            <v>0.2</v>
          </cell>
          <cell r="G1015">
            <v>0</v>
          </cell>
          <cell r="H1015">
            <v>104.38384228403469</v>
          </cell>
          <cell r="I1015">
            <v>0</v>
          </cell>
          <cell r="J1015"/>
          <cell r="K1015">
            <v>104.38384228403469</v>
          </cell>
        </row>
        <row r="1016">
          <cell r="A1016">
            <v>6.75</v>
          </cell>
          <cell r="B1016">
            <v>103.81260871862253</v>
          </cell>
          <cell r="C1016"/>
          <cell r="D1016">
            <v>103.81260871862253</v>
          </cell>
          <cell r="E1016">
            <v>-0.54999999999999993</v>
          </cell>
          <cell r="F1016">
            <v>0.2</v>
          </cell>
          <cell r="G1016">
            <v>0</v>
          </cell>
          <cell r="H1016">
            <v>104.16260871862252</v>
          </cell>
          <cell r="I1016">
            <v>0</v>
          </cell>
          <cell r="J1016"/>
          <cell r="K1016">
            <v>104.16260871862252</v>
          </cell>
        </row>
        <row r="1017">
          <cell r="A1017">
            <v>6.625</v>
          </cell>
          <cell r="B1017">
            <v>102.58217741707823</v>
          </cell>
          <cell r="C1017"/>
          <cell r="D1017">
            <v>102.58217741707823</v>
          </cell>
          <cell r="E1017">
            <v>-0.54999999999999993</v>
          </cell>
          <cell r="F1017">
            <v>0.2</v>
          </cell>
          <cell r="G1017">
            <v>0</v>
          </cell>
          <cell r="H1017">
            <v>102.93217741707822</v>
          </cell>
          <cell r="I1017">
            <v>0</v>
          </cell>
          <cell r="J1017"/>
          <cell r="K1017">
            <v>102.93217741707822</v>
          </cell>
        </row>
        <row r="1018">
          <cell r="A1018">
            <v>6.5</v>
          </cell>
          <cell r="B1018">
            <v>102.36073717527202</v>
          </cell>
          <cell r="C1018"/>
          <cell r="D1018">
            <v>102.36073717527202</v>
          </cell>
          <cell r="E1018">
            <v>-0.54999999999999993</v>
          </cell>
          <cell r="F1018">
            <v>0.2</v>
          </cell>
          <cell r="G1018">
            <v>0</v>
          </cell>
          <cell r="H1018">
            <v>102.71073717527202</v>
          </cell>
          <cell r="I1018">
            <v>0</v>
          </cell>
          <cell r="J1018"/>
          <cell r="K1018">
            <v>102.71073717527202</v>
          </cell>
        </row>
        <row r="1019">
          <cell r="A1019">
            <v>6.375</v>
          </cell>
          <cell r="B1019">
            <v>102.10775542411338</v>
          </cell>
          <cell r="C1019"/>
          <cell r="D1019">
            <v>102.10775542411338</v>
          </cell>
          <cell r="E1019">
            <v>-0.54999999999999993</v>
          </cell>
          <cell r="F1019">
            <v>0.2</v>
          </cell>
          <cell r="G1019">
            <v>0</v>
          </cell>
          <cell r="H1019">
            <v>102.45775542411337</v>
          </cell>
          <cell r="I1019">
            <v>0</v>
          </cell>
          <cell r="J1019"/>
          <cell r="K1019">
            <v>102.45775542411337</v>
          </cell>
        </row>
        <row r="1020">
          <cell r="A1020">
            <v>6.25</v>
          </cell>
          <cell r="B1020">
            <v>101.85709359623554</v>
          </cell>
          <cell r="C1020"/>
          <cell r="D1020">
            <v>101.85709359623554</v>
          </cell>
          <cell r="E1020">
            <v>-0.54999999999999993</v>
          </cell>
          <cell r="F1020">
            <v>0.2</v>
          </cell>
          <cell r="G1020">
            <v>0</v>
          </cell>
          <cell r="H1020">
            <v>102.20709359623554</v>
          </cell>
          <cell r="I1020">
            <v>0</v>
          </cell>
          <cell r="J1020"/>
          <cell r="K1020">
            <v>102.20709359623554</v>
          </cell>
        </row>
        <row r="1021">
          <cell r="A1021">
            <v>6.125</v>
          </cell>
          <cell r="B1021">
            <v>101.59327126925045</v>
          </cell>
          <cell r="C1021"/>
          <cell r="D1021">
            <v>101.59327126925045</v>
          </cell>
          <cell r="E1021">
            <v>-0.54999999999999993</v>
          </cell>
          <cell r="F1021">
            <v>0.2</v>
          </cell>
          <cell r="G1021">
            <v>0</v>
          </cell>
          <cell r="H1021">
            <v>101.94327126925045</v>
          </cell>
          <cell r="I1021">
            <v>0</v>
          </cell>
          <cell r="J1021"/>
          <cell r="K1021">
            <v>101.94327126925045</v>
          </cell>
        </row>
        <row r="1022">
          <cell r="A1022">
            <v>6</v>
          </cell>
          <cell r="B1022">
            <v>101.29989239006142</v>
          </cell>
          <cell r="C1022"/>
          <cell r="D1022">
            <v>101.29989239006142</v>
          </cell>
          <cell r="E1022">
            <v>-0.54999999999999993</v>
          </cell>
          <cell r="F1022">
            <v>0.2</v>
          </cell>
          <cell r="G1022">
            <v>0</v>
          </cell>
          <cell r="H1022">
            <v>101.64989239006141</v>
          </cell>
          <cell r="I1022">
            <v>0</v>
          </cell>
          <cell r="J1022"/>
          <cell r="K1022">
            <v>101.64989239006141</v>
          </cell>
        </row>
        <row r="1023">
          <cell r="A1023">
            <v>5.875</v>
          </cell>
          <cell r="B1023">
            <v>100.98326354013753</v>
          </cell>
          <cell r="C1023"/>
          <cell r="D1023">
            <v>100.98326354013753</v>
          </cell>
          <cell r="E1023">
            <v>-0.54999999999999993</v>
          </cell>
          <cell r="F1023">
            <v>0.2</v>
          </cell>
          <cell r="G1023">
            <v>0</v>
          </cell>
          <cell r="H1023">
            <v>101.33326354013752</v>
          </cell>
          <cell r="I1023">
            <v>0</v>
          </cell>
          <cell r="J1023"/>
          <cell r="K1023">
            <v>101.33326354013752</v>
          </cell>
        </row>
        <row r="1024">
          <cell r="A1024">
            <v>5.75</v>
          </cell>
          <cell r="B1024">
            <v>100.66133215327925</v>
          </cell>
          <cell r="C1024"/>
          <cell r="D1024">
            <v>100.66133215327925</v>
          </cell>
          <cell r="E1024">
            <v>-0.54999999999999993</v>
          </cell>
          <cell r="F1024">
            <v>0.2</v>
          </cell>
          <cell r="G1024">
            <v>0</v>
          </cell>
          <cell r="H1024">
            <v>101.01133215327924</v>
          </cell>
          <cell r="I1024">
            <v>0</v>
          </cell>
          <cell r="J1024"/>
          <cell r="K1024">
            <v>101.01133215327924</v>
          </cell>
        </row>
        <row r="1025">
          <cell r="A1025">
            <v>5.625</v>
          </cell>
          <cell r="B1025">
            <v>100.04803513188125</v>
          </cell>
          <cell r="C1025"/>
          <cell r="D1025">
            <v>100.04803513188125</v>
          </cell>
          <cell r="E1025">
            <v>-0.54999999999999993</v>
          </cell>
          <cell r="F1025">
            <v>0</v>
          </cell>
          <cell r="G1025">
            <v>0</v>
          </cell>
          <cell r="H1025">
            <v>100.59803513188125</v>
          </cell>
          <cell r="I1025">
            <v>0</v>
          </cell>
          <cell r="J1025"/>
          <cell r="K1025">
            <v>100.59803513188125</v>
          </cell>
        </row>
        <row r="1026">
          <cell r="A1026">
            <v>5.5</v>
          </cell>
          <cell r="B1026">
            <v>99.72223205450058</v>
          </cell>
          <cell r="C1026"/>
          <cell r="D1026">
            <v>99.72223205450058</v>
          </cell>
          <cell r="E1026">
            <v>-0.54999999999999993</v>
          </cell>
          <cell r="F1026">
            <v>0</v>
          </cell>
          <cell r="G1026">
            <v>0</v>
          </cell>
          <cell r="H1026">
            <v>100.27223205450058</v>
          </cell>
          <cell r="I1026">
            <v>0</v>
          </cell>
          <cell r="J1026"/>
          <cell r="K1026">
            <v>100.27223205450058</v>
          </cell>
        </row>
        <row r="1027">
          <cell r="A1027">
            <v>5.375</v>
          </cell>
          <cell r="B1027">
            <v>99.369391874586583</v>
          </cell>
          <cell r="C1027"/>
          <cell r="D1027">
            <v>99.369391874586583</v>
          </cell>
          <cell r="E1027">
            <v>-0.54999999999999993</v>
          </cell>
          <cell r="F1027">
            <v>0</v>
          </cell>
          <cell r="G1027">
            <v>0</v>
          </cell>
          <cell r="H1027">
            <v>99.91939187458658</v>
          </cell>
          <cell r="I1027">
            <v>0</v>
          </cell>
          <cell r="J1027"/>
          <cell r="K1027">
            <v>99.91939187458658</v>
          </cell>
        </row>
        <row r="1028">
          <cell r="A1028">
            <v>5.25</v>
          </cell>
          <cell r="B1028">
            <v>99.006916176262081</v>
          </cell>
          <cell r="C1028"/>
          <cell r="D1028">
            <v>99.006916176262081</v>
          </cell>
          <cell r="E1028">
            <v>-0.54999999999999993</v>
          </cell>
          <cell r="F1028">
            <v>0</v>
          </cell>
          <cell r="G1028">
            <v>0</v>
          </cell>
          <cell r="H1028">
            <v>99.556916176262078</v>
          </cell>
          <cell r="I1028">
            <v>0</v>
          </cell>
          <cell r="J1028"/>
          <cell r="K1028">
            <v>99.556916176262078</v>
          </cell>
        </row>
        <row r="1029">
          <cell r="A1029">
            <v>5.125</v>
          </cell>
          <cell r="B1029">
            <v>97.689064252888699</v>
          </cell>
          <cell r="C1029"/>
          <cell r="D1029">
            <v>97.689064252888699</v>
          </cell>
          <cell r="E1029">
            <v>-0.54999999999999993</v>
          </cell>
          <cell r="F1029">
            <v>0</v>
          </cell>
          <cell r="G1029">
            <v>0</v>
          </cell>
          <cell r="H1029">
            <v>98.239064252888696</v>
          </cell>
          <cell r="I1029">
            <v>0</v>
          </cell>
          <cell r="J1029"/>
          <cell r="K1029">
            <v>98.239064252888696</v>
          </cell>
        </row>
        <row r="1030">
          <cell r="A1030">
            <v>5</v>
          </cell>
          <cell r="B1030">
            <v>97.319243386636771</v>
          </cell>
          <cell r="C1030"/>
          <cell r="D1030">
            <v>97.319243386636771</v>
          </cell>
          <cell r="E1030">
            <v>-0.54999999999999993</v>
          </cell>
          <cell r="F1030">
            <v>0</v>
          </cell>
          <cell r="G1030">
            <v>0</v>
          </cell>
          <cell r="H1030">
            <v>97.869243386636768</v>
          </cell>
          <cell r="I1030">
            <v>0</v>
          </cell>
          <cell r="J1030"/>
          <cell r="K1030">
            <v>97.869243386636768</v>
          </cell>
        </row>
        <row r="1031">
          <cell r="A1031">
            <v>4.875</v>
          </cell>
          <cell r="B1031">
            <v>96.92800215805309</v>
          </cell>
          <cell r="C1031"/>
          <cell r="D1031">
            <v>96.92800215805309</v>
          </cell>
          <cell r="E1031">
            <v>-0.54999999999999993</v>
          </cell>
          <cell r="F1031">
            <v>0</v>
          </cell>
          <cell r="G1031">
            <v>0</v>
          </cell>
          <cell r="H1031">
            <v>97.478002158053087</v>
          </cell>
          <cell r="I1031">
            <v>0</v>
          </cell>
          <cell r="J1031"/>
          <cell r="K1031">
            <v>97.478002158053087</v>
          </cell>
        </row>
        <row r="1032">
          <cell r="A1032"/>
          <cell r="B1032"/>
          <cell r="C1032"/>
          <cell r="D1032">
            <v>0</v>
          </cell>
          <cell r="E1032">
            <v>-0.54999999999999993</v>
          </cell>
          <cell r="F1032" t="e">
            <v>#N/A</v>
          </cell>
          <cell r="G1032" t="e">
            <v>#N/A</v>
          </cell>
          <cell r="H1032" t="e">
            <v>#N/A</v>
          </cell>
          <cell r="I1032">
            <v>0</v>
          </cell>
          <cell r="J1032"/>
          <cell r="K1032" t="e">
            <v>#N/A</v>
          </cell>
        </row>
        <row r="1035">
          <cell r="A1035">
            <v>6.5</v>
          </cell>
          <cell r="B1035">
            <v>102.407</v>
          </cell>
          <cell r="C1035"/>
          <cell r="D1035">
            <v>102.407</v>
          </cell>
          <cell r="E1035">
            <v>1.125</v>
          </cell>
          <cell r="F1035">
            <v>0</v>
          </cell>
          <cell r="G1035">
            <v>0</v>
          </cell>
          <cell r="H1035">
            <v>101.282</v>
          </cell>
          <cell r="I1035">
            <v>0</v>
          </cell>
          <cell r="J1035"/>
          <cell r="K1035">
            <v>101.282</v>
          </cell>
        </row>
        <row r="1036">
          <cell r="A1036">
            <v>6.375</v>
          </cell>
          <cell r="B1036">
            <v>101.97999999999999</v>
          </cell>
          <cell r="D1036">
            <v>101.97999999999999</v>
          </cell>
          <cell r="E1036">
            <v>1.125</v>
          </cell>
          <cell r="F1036">
            <v>0</v>
          </cell>
          <cell r="G1036">
            <v>0</v>
          </cell>
          <cell r="H1036">
            <v>100.85499999999999</v>
          </cell>
          <cell r="I1036">
            <v>0</v>
          </cell>
          <cell r="J1036"/>
          <cell r="K1036">
            <v>100.85499999999999</v>
          </cell>
        </row>
        <row r="1037">
          <cell r="A1037">
            <v>6.25</v>
          </cell>
          <cell r="B1037">
            <v>101.544</v>
          </cell>
          <cell r="D1037">
            <v>101.544</v>
          </cell>
          <cell r="E1037">
            <v>1.125</v>
          </cell>
          <cell r="F1037">
            <v>0</v>
          </cell>
          <cell r="G1037">
            <v>0</v>
          </cell>
          <cell r="H1037">
            <v>100.419</v>
          </cell>
          <cell r="I1037">
            <v>0</v>
          </cell>
          <cell r="J1037"/>
          <cell r="K1037">
            <v>100.419</v>
          </cell>
        </row>
        <row r="1038">
          <cell r="A1038">
            <v>6.125</v>
          </cell>
          <cell r="B1038">
            <v>102.09399999999999</v>
          </cell>
          <cell r="D1038">
            <v>102.09399999999999</v>
          </cell>
          <cell r="E1038">
            <v>1.125</v>
          </cell>
          <cell r="F1038">
            <v>0</v>
          </cell>
          <cell r="G1038">
            <v>0</v>
          </cell>
          <cell r="H1038">
            <v>100.96899999999999</v>
          </cell>
          <cell r="I1038">
            <v>0</v>
          </cell>
          <cell r="J1038"/>
          <cell r="K1038">
            <v>100.96899999999999</v>
          </cell>
        </row>
        <row r="1039">
          <cell r="A1039">
            <v>6</v>
          </cell>
          <cell r="B1039">
            <v>101.654</v>
          </cell>
          <cell r="D1039">
            <v>101.654</v>
          </cell>
          <cell r="E1039">
            <v>1.125</v>
          </cell>
          <cell r="F1039">
            <v>0</v>
          </cell>
          <cell r="G1039">
            <v>0</v>
          </cell>
          <cell r="H1039">
            <v>100.529</v>
          </cell>
          <cell r="I1039">
            <v>0</v>
          </cell>
          <cell r="J1039"/>
          <cell r="K1039">
            <v>100.529</v>
          </cell>
        </row>
        <row r="1040">
          <cell r="A1040">
            <v>5.875</v>
          </cell>
          <cell r="B1040">
            <v>101.208</v>
          </cell>
          <cell r="D1040">
            <v>101.208</v>
          </cell>
          <cell r="E1040">
            <v>1.125</v>
          </cell>
          <cell r="F1040">
            <v>0</v>
          </cell>
          <cell r="G1040">
            <v>0</v>
          </cell>
          <cell r="H1040">
            <v>100.083</v>
          </cell>
          <cell r="I1040">
            <v>0</v>
          </cell>
          <cell r="J1040"/>
          <cell r="K1040">
            <v>100.083</v>
          </cell>
        </row>
        <row r="1041">
          <cell r="A1041">
            <v>5.75</v>
          </cell>
          <cell r="B1041">
            <v>100.75699999999999</v>
          </cell>
          <cell r="D1041">
            <v>100.75699999999999</v>
          </cell>
          <cell r="E1041">
            <v>1.125</v>
          </cell>
          <cell r="F1041">
            <v>0</v>
          </cell>
          <cell r="G1041">
            <v>0</v>
          </cell>
          <cell r="H1041">
            <v>99.631999999999991</v>
          </cell>
          <cell r="I1041">
            <v>0</v>
          </cell>
          <cell r="J1041"/>
          <cell r="K1041">
            <v>99.631999999999991</v>
          </cell>
        </row>
        <row r="1042">
          <cell r="A1042">
            <v>5.625</v>
          </cell>
          <cell r="B1042">
            <v>100.012</v>
          </cell>
          <cell r="D1042">
            <v>100.012</v>
          </cell>
          <cell r="E1042">
            <v>1.125</v>
          </cell>
          <cell r="F1042">
            <v>0</v>
          </cell>
          <cell r="G1042">
            <v>0</v>
          </cell>
          <cell r="H1042">
            <v>98.887</v>
          </cell>
          <cell r="I1042">
            <v>0</v>
          </cell>
          <cell r="J1042"/>
          <cell r="K1042">
            <v>98.887</v>
          </cell>
        </row>
        <row r="1043">
          <cell r="A1043">
            <v>5.5</v>
          </cell>
          <cell r="B1043">
            <v>99.561999999999998</v>
          </cell>
          <cell r="D1043">
            <v>99.561999999999998</v>
          </cell>
          <cell r="E1043">
            <v>1.125</v>
          </cell>
          <cell r="F1043">
            <v>0</v>
          </cell>
          <cell r="G1043">
            <v>0</v>
          </cell>
          <cell r="H1043">
            <v>98.436999999999998</v>
          </cell>
          <cell r="I1043">
            <v>0</v>
          </cell>
          <cell r="J1043"/>
          <cell r="K1043">
            <v>98.436999999999998</v>
          </cell>
        </row>
        <row r="1044">
          <cell r="A1044">
            <v>5.375</v>
          </cell>
          <cell r="B1044">
            <v>99.103999999999999</v>
          </cell>
          <cell r="D1044">
            <v>99.103999999999999</v>
          </cell>
          <cell r="E1044">
            <v>1.125</v>
          </cell>
          <cell r="F1044">
            <v>0</v>
          </cell>
          <cell r="G1044">
            <v>0</v>
          </cell>
          <cell r="H1044">
            <v>97.978999999999999</v>
          </cell>
          <cell r="I1044">
            <v>0</v>
          </cell>
          <cell r="J1044"/>
          <cell r="K1044">
            <v>97.978999999999999</v>
          </cell>
        </row>
        <row r="1045">
          <cell r="A1045">
            <v>5.25</v>
          </cell>
          <cell r="B1045">
            <v>98.64</v>
          </cell>
          <cell r="D1045">
            <v>98.64</v>
          </cell>
          <cell r="E1045">
            <v>1.125</v>
          </cell>
          <cell r="F1045">
            <v>0</v>
          </cell>
          <cell r="G1045">
            <v>0</v>
          </cell>
          <cell r="H1045">
            <v>97.515000000000001</v>
          </cell>
          <cell r="I1045">
            <v>0</v>
          </cell>
          <cell r="J1045"/>
          <cell r="K1045">
            <v>97.515000000000001</v>
          </cell>
        </row>
        <row r="1046">
          <cell r="A1046">
            <v>5.125</v>
          </cell>
          <cell r="B1046">
            <v>98.640999999999991</v>
          </cell>
          <cell r="D1046">
            <v>98.640999999999991</v>
          </cell>
          <cell r="E1046">
            <v>1.125</v>
          </cell>
          <cell r="F1046">
            <v>0</v>
          </cell>
          <cell r="G1046">
            <v>0</v>
          </cell>
          <cell r="H1046">
            <v>97.515999999999991</v>
          </cell>
          <cell r="I1046">
            <v>0</v>
          </cell>
          <cell r="J1046"/>
          <cell r="K1046">
            <v>97.515999999999991</v>
          </cell>
        </row>
        <row r="1047">
          <cell r="A1047">
            <v>5</v>
          </cell>
          <cell r="B1047">
            <v>98.176000000000002</v>
          </cell>
          <cell r="D1047">
            <v>98.176000000000002</v>
          </cell>
          <cell r="E1047">
            <v>1.125</v>
          </cell>
          <cell r="F1047">
            <v>0</v>
          </cell>
          <cell r="G1047">
            <v>0</v>
          </cell>
          <cell r="H1047">
            <v>97.051000000000002</v>
          </cell>
          <cell r="I1047">
            <v>0</v>
          </cell>
          <cell r="J1047"/>
          <cell r="K1047">
            <v>97.051000000000002</v>
          </cell>
        </row>
        <row r="1048">
          <cell r="A1048">
            <v>4.875</v>
          </cell>
          <cell r="B1048">
            <v>97.706000000000003</v>
          </cell>
          <cell r="D1048">
            <v>97.706000000000003</v>
          </cell>
          <cell r="E1048">
            <v>1.125</v>
          </cell>
          <cell r="F1048">
            <v>0</v>
          </cell>
          <cell r="G1048">
            <v>0</v>
          </cell>
          <cell r="H1048">
            <v>96.581000000000003</v>
          </cell>
          <cell r="I1048">
            <v>0</v>
          </cell>
          <cell r="J1048"/>
          <cell r="K1048">
            <v>96.581000000000003</v>
          </cell>
        </row>
        <row r="1049">
          <cell r="A1049">
            <v>4.75</v>
          </cell>
          <cell r="B1049">
            <v>97.228999999999999</v>
          </cell>
          <cell r="D1049">
            <v>97.228999999999999</v>
          </cell>
          <cell r="E1049">
            <v>1.125</v>
          </cell>
          <cell r="F1049">
            <v>0</v>
          </cell>
          <cell r="G1049">
            <v>0</v>
          </cell>
          <cell r="H1049">
            <v>96.103999999999999</v>
          </cell>
          <cell r="I1049">
            <v>0</v>
          </cell>
          <cell r="J1049"/>
          <cell r="K1049">
            <v>96.103999999999999</v>
          </cell>
        </row>
        <row r="1050">
          <cell r="A1050">
            <v>4.625</v>
          </cell>
          <cell r="B1050">
            <v>97.384</v>
          </cell>
          <cell r="D1050">
            <v>97.384</v>
          </cell>
          <cell r="E1050">
            <v>1.125</v>
          </cell>
          <cell r="F1050">
            <v>0</v>
          </cell>
          <cell r="G1050">
            <v>0</v>
          </cell>
          <cell r="H1050">
            <v>96.259</v>
          </cell>
          <cell r="I1050">
            <v>0</v>
          </cell>
          <cell r="J1050"/>
          <cell r="K1050">
            <v>96.259</v>
          </cell>
        </row>
        <row r="1051">
          <cell r="A1051">
            <v>4.5</v>
          </cell>
          <cell r="B1051">
            <v>96.906999999999996</v>
          </cell>
          <cell r="D1051">
            <v>96.906999999999996</v>
          </cell>
          <cell r="E1051">
            <v>1.125</v>
          </cell>
          <cell r="F1051">
            <v>0</v>
          </cell>
          <cell r="G1051">
            <v>0</v>
          </cell>
          <cell r="H1051">
            <v>95.781999999999996</v>
          </cell>
          <cell r="I1051">
            <v>0</v>
          </cell>
          <cell r="J1051"/>
          <cell r="K1051">
            <v>95.781999999999996</v>
          </cell>
        </row>
        <row r="1052">
          <cell r="A1052">
            <v>4.375</v>
          </cell>
          <cell r="B1052">
            <v>96.423999999999992</v>
          </cell>
          <cell r="D1052">
            <v>96.423999999999992</v>
          </cell>
          <cell r="E1052">
            <v>1.125</v>
          </cell>
          <cell r="F1052">
            <v>0</v>
          </cell>
          <cell r="G1052">
            <v>0</v>
          </cell>
          <cell r="H1052">
            <v>95.298999999999992</v>
          </cell>
          <cell r="I1052">
            <v>0</v>
          </cell>
          <cell r="J1052"/>
          <cell r="K1052">
            <v>95.298999999999992</v>
          </cell>
        </row>
        <row r="1053">
          <cell r="A1053">
            <v>4.25</v>
          </cell>
          <cell r="B1053">
            <v>95.436999999999998</v>
          </cell>
          <cell r="D1053">
            <v>95.436999999999998</v>
          </cell>
          <cell r="E1053">
            <v>1.125</v>
          </cell>
          <cell r="F1053">
            <v>0</v>
          </cell>
          <cell r="G1053">
            <v>0</v>
          </cell>
          <cell r="H1053">
            <v>94.311999999999998</v>
          </cell>
          <cell r="I1053">
            <v>0</v>
          </cell>
          <cell r="J1053"/>
          <cell r="K1053">
            <v>94.311999999999998</v>
          </cell>
        </row>
        <row r="1054">
          <cell r="A1054"/>
          <cell r="B1054"/>
          <cell r="C1054"/>
          <cell r="D1054"/>
          <cell r="E1054"/>
          <cell r="F1054"/>
          <cell r="G1054"/>
          <cell r="H1054"/>
          <cell r="I1054"/>
          <cell r="J1054"/>
          <cell r="K1054"/>
        </row>
        <row r="1057">
          <cell r="A1057">
            <v>7.75</v>
          </cell>
          <cell r="B1057">
            <v>101.68582717641085</v>
          </cell>
          <cell r="C1057"/>
          <cell r="D1057">
            <v>101.68582717641085</v>
          </cell>
          <cell r="E1057">
            <v>-0.20000000000000004</v>
          </cell>
          <cell r="F1057">
            <v>0</v>
          </cell>
          <cell r="G1057">
            <v>0</v>
          </cell>
          <cell r="H1057">
            <v>101.88582717641086</v>
          </cell>
          <cell r="I1057">
            <v>0</v>
          </cell>
          <cell r="J1057"/>
          <cell r="K1057">
            <v>101.88582717641086</v>
          </cell>
        </row>
        <row r="1058">
          <cell r="A1058">
            <v>7.625</v>
          </cell>
          <cell r="B1058">
            <v>101.73162765822475</v>
          </cell>
          <cell r="C1058"/>
          <cell r="D1058">
            <v>101.73162765822475</v>
          </cell>
          <cell r="E1058">
            <v>-0.20000000000000004</v>
          </cell>
          <cell r="F1058">
            <v>0</v>
          </cell>
          <cell r="G1058">
            <v>0</v>
          </cell>
          <cell r="H1058">
            <v>101.93162765822476</v>
          </cell>
          <cell r="I1058">
            <v>0</v>
          </cell>
          <cell r="J1058"/>
          <cell r="K1058">
            <v>101.93162765822476</v>
          </cell>
        </row>
        <row r="1059">
          <cell r="A1059">
            <v>7.5</v>
          </cell>
          <cell r="B1059">
            <v>101.78072727682759</v>
          </cell>
          <cell r="C1059"/>
          <cell r="D1059">
            <v>101.78072727682759</v>
          </cell>
          <cell r="E1059">
            <v>-0.20000000000000004</v>
          </cell>
          <cell r="F1059">
            <v>0</v>
          </cell>
          <cell r="G1059">
            <v>0</v>
          </cell>
          <cell r="H1059">
            <v>101.98072727682759</v>
          </cell>
          <cell r="I1059">
            <v>0</v>
          </cell>
          <cell r="J1059"/>
          <cell r="K1059">
            <v>101.98072727682759</v>
          </cell>
        </row>
        <row r="1060">
          <cell r="A1060">
            <v>7.375</v>
          </cell>
          <cell r="B1060">
            <v>101.83355832860531</v>
          </cell>
          <cell r="C1060"/>
          <cell r="D1060">
            <v>101.83355832860531</v>
          </cell>
          <cell r="E1060">
            <v>-0.20000000000000004</v>
          </cell>
          <cell r="F1060">
            <v>0</v>
          </cell>
          <cell r="G1060">
            <v>0</v>
          </cell>
          <cell r="H1060">
            <v>102.03355832860531</v>
          </cell>
          <cell r="I1060">
            <v>0</v>
          </cell>
          <cell r="J1060"/>
          <cell r="K1060">
            <v>102.03355832860531</v>
          </cell>
        </row>
        <row r="1061">
          <cell r="A1061">
            <v>7.25</v>
          </cell>
          <cell r="B1061">
            <v>102.21913226009657</v>
          </cell>
          <cell r="C1061"/>
          <cell r="D1061">
            <v>102.21913226009657</v>
          </cell>
          <cell r="E1061">
            <v>-0.20000000000000004</v>
          </cell>
          <cell r="F1061">
            <v>0</v>
          </cell>
          <cell r="G1061">
            <v>0</v>
          </cell>
          <cell r="H1061">
            <v>102.41913226009657</v>
          </cell>
          <cell r="I1061">
            <v>0</v>
          </cell>
          <cell r="J1061"/>
          <cell r="K1061">
            <v>102.41913226009657</v>
          </cell>
        </row>
        <row r="1062">
          <cell r="A1062">
            <v>7.125</v>
          </cell>
          <cell r="B1062">
            <v>102.12184884369944</v>
          </cell>
          <cell r="C1062"/>
          <cell r="D1062">
            <v>102.12184884369944</v>
          </cell>
          <cell r="E1062">
            <v>-0.20000000000000004</v>
          </cell>
          <cell r="F1062">
            <v>0</v>
          </cell>
          <cell r="G1062">
            <v>0</v>
          </cell>
          <cell r="H1062">
            <v>102.32184884369944</v>
          </cell>
          <cell r="I1062">
            <v>0</v>
          </cell>
          <cell r="J1062"/>
          <cell r="K1062">
            <v>102.32184884369944</v>
          </cell>
        </row>
        <row r="1063">
          <cell r="A1063">
            <v>7</v>
          </cell>
          <cell r="B1063">
            <v>102.00346805850165</v>
          </cell>
          <cell r="C1063"/>
          <cell r="D1063">
            <v>102.00346805850165</v>
          </cell>
          <cell r="E1063">
            <v>-0.20000000000000004</v>
          </cell>
          <cell r="F1063">
            <v>0</v>
          </cell>
          <cell r="G1063">
            <v>0</v>
          </cell>
          <cell r="H1063">
            <v>102.20346805850166</v>
          </cell>
          <cell r="I1063">
            <v>0</v>
          </cell>
          <cell r="J1063"/>
          <cell r="K1063">
            <v>102.20346805850166</v>
          </cell>
        </row>
        <row r="1064">
          <cell r="A1064">
            <v>6.875</v>
          </cell>
          <cell r="B1064">
            <v>101.86170891527799</v>
          </cell>
          <cell r="C1064"/>
          <cell r="D1064">
            <v>101.86170891527799</v>
          </cell>
          <cell r="E1064">
            <v>-0.20000000000000004</v>
          </cell>
          <cell r="F1064">
            <v>0</v>
          </cell>
          <cell r="G1064">
            <v>0</v>
          </cell>
          <cell r="H1064">
            <v>102.06170891527799</v>
          </cell>
          <cell r="I1064">
            <v>0</v>
          </cell>
          <cell r="J1064"/>
          <cell r="K1064">
            <v>102.06170891527799</v>
          </cell>
        </row>
        <row r="1065">
          <cell r="A1065">
            <v>6.75</v>
          </cell>
          <cell r="B1065">
            <v>101.69466267656229</v>
          </cell>
          <cell r="C1065"/>
          <cell r="D1065">
            <v>101.69466267656229</v>
          </cell>
          <cell r="E1065">
            <v>-0.20000000000000004</v>
          </cell>
          <cell r="F1065">
            <v>0</v>
          </cell>
          <cell r="G1065">
            <v>0</v>
          </cell>
          <cell r="H1065">
            <v>101.89466267656229</v>
          </cell>
          <cell r="I1065">
            <v>0</v>
          </cell>
          <cell r="J1065"/>
          <cell r="K1065">
            <v>101.89466267656229</v>
          </cell>
        </row>
        <row r="1066">
          <cell r="A1066">
            <v>6.625</v>
          </cell>
          <cell r="B1066">
            <v>101.38076598243613</v>
          </cell>
          <cell r="C1066"/>
          <cell r="D1066">
            <v>101.38076598243613</v>
          </cell>
          <cell r="E1066">
            <v>-0.20000000000000004</v>
          </cell>
          <cell r="F1066">
            <v>0</v>
          </cell>
          <cell r="G1066">
            <v>0</v>
          </cell>
          <cell r="H1066">
            <v>101.58076598243613</v>
          </cell>
          <cell r="I1066">
            <v>0</v>
          </cell>
          <cell r="J1066"/>
          <cell r="K1066">
            <v>101.58076598243613</v>
          </cell>
        </row>
        <row r="1067">
          <cell r="A1067">
            <v>6.5</v>
          </cell>
          <cell r="B1067">
            <v>101.21496039245817</v>
          </cell>
          <cell r="C1067"/>
          <cell r="D1067">
            <v>101.21496039245817</v>
          </cell>
          <cell r="E1067">
            <v>-0.20000000000000004</v>
          </cell>
          <cell r="F1067">
            <v>0</v>
          </cell>
          <cell r="G1067">
            <v>0</v>
          </cell>
          <cell r="H1067">
            <v>101.41496039245817</v>
          </cell>
          <cell r="I1067">
            <v>0</v>
          </cell>
          <cell r="J1067"/>
          <cell r="K1067">
            <v>101.41496039245817</v>
          </cell>
        </row>
        <row r="1068">
          <cell r="A1068">
            <v>6.375</v>
          </cell>
          <cell r="B1068">
            <v>101.02084428613479</v>
          </cell>
          <cell r="C1068"/>
          <cell r="D1068">
            <v>101.02084428613479</v>
          </cell>
          <cell r="E1068">
            <v>-0.20000000000000004</v>
          </cell>
          <cell r="F1068">
            <v>0</v>
          </cell>
          <cell r="G1068">
            <v>0</v>
          </cell>
          <cell r="H1068">
            <v>101.22084428613479</v>
          </cell>
          <cell r="I1068">
            <v>0</v>
          </cell>
          <cell r="J1068"/>
          <cell r="K1068">
            <v>101.22084428613479</v>
          </cell>
        </row>
        <row r="1069">
          <cell r="A1069">
            <v>6.25</v>
          </cell>
          <cell r="B1069">
            <v>100.89716640408007</v>
          </cell>
          <cell r="C1069"/>
          <cell r="D1069">
            <v>100.89716640408007</v>
          </cell>
          <cell r="E1069">
            <v>-0.20000000000000004</v>
          </cell>
          <cell r="F1069">
            <v>0</v>
          </cell>
          <cell r="G1069">
            <v>0</v>
          </cell>
          <cell r="H1069">
            <v>101.09716640408007</v>
          </cell>
          <cell r="I1069">
            <v>0</v>
          </cell>
          <cell r="J1069"/>
          <cell r="K1069">
            <v>101.09716640408007</v>
          </cell>
        </row>
        <row r="1070">
          <cell r="A1070">
            <v>6.125</v>
          </cell>
          <cell r="B1070">
            <v>100.69416566053886</v>
          </cell>
          <cell r="C1070"/>
          <cell r="D1070">
            <v>100.69416566053886</v>
          </cell>
          <cell r="E1070">
            <v>-0.20000000000000004</v>
          </cell>
          <cell r="F1070">
            <v>0</v>
          </cell>
          <cell r="G1070">
            <v>0</v>
          </cell>
          <cell r="H1070">
            <v>100.89416566053886</v>
          </cell>
          <cell r="I1070">
            <v>0</v>
          </cell>
          <cell r="J1070"/>
          <cell r="K1070">
            <v>100.89416566053886</v>
          </cell>
        </row>
        <row r="1071">
          <cell r="A1071">
            <v>6</v>
          </cell>
          <cell r="B1071">
            <v>100.46283553544994</v>
          </cell>
          <cell r="C1071"/>
          <cell r="D1071">
            <v>100.46283553544994</v>
          </cell>
          <cell r="E1071">
            <v>-0.20000000000000004</v>
          </cell>
          <cell r="F1071">
            <v>0</v>
          </cell>
          <cell r="G1071">
            <v>0</v>
          </cell>
          <cell r="H1071">
            <v>100.66283553544994</v>
          </cell>
          <cell r="I1071">
            <v>0</v>
          </cell>
          <cell r="J1071"/>
          <cell r="K1071">
            <v>100.66283553544994</v>
          </cell>
        </row>
        <row r="1072">
          <cell r="A1072">
            <v>5.875</v>
          </cell>
          <cell r="B1072">
            <v>100.20855799998836</v>
          </cell>
          <cell r="C1072"/>
          <cell r="D1072">
            <v>100.20855799998836</v>
          </cell>
          <cell r="E1072">
            <v>-0.20000000000000004</v>
          </cell>
          <cell r="F1072">
            <v>0</v>
          </cell>
          <cell r="G1072">
            <v>0</v>
          </cell>
          <cell r="H1072">
            <v>100.40855799998836</v>
          </cell>
          <cell r="I1072">
            <v>0</v>
          </cell>
          <cell r="J1072"/>
          <cell r="K1072">
            <v>100.40855799998836</v>
          </cell>
        </row>
        <row r="1073">
          <cell r="A1073">
            <v>5.75</v>
          </cell>
          <cell r="B1073">
            <v>99.94976295710552</v>
          </cell>
          <cell r="C1073"/>
          <cell r="D1073">
            <v>99.94976295710552</v>
          </cell>
          <cell r="E1073">
            <v>-0.20000000000000004</v>
          </cell>
          <cell r="F1073">
            <v>0</v>
          </cell>
          <cell r="G1073">
            <v>0</v>
          </cell>
          <cell r="H1073">
            <v>100.14976295710552</v>
          </cell>
          <cell r="I1073">
            <v>0</v>
          </cell>
          <cell r="J1073"/>
          <cell r="K1073">
            <v>100.14976295710552</v>
          </cell>
        </row>
        <row r="1074">
          <cell r="A1074">
            <v>5.625</v>
          </cell>
          <cell r="B1074">
            <v>99.465345670050183</v>
          </cell>
          <cell r="C1074"/>
          <cell r="D1074">
            <v>99.465345670050183</v>
          </cell>
          <cell r="E1074">
            <v>-0.20000000000000004</v>
          </cell>
          <cell r="F1074">
            <v>0</v>
          </cell>
          <cell r="G1074">
            <v>0</v>
          </cell>
          <cell r="H1074">
            <v>99.665345670050186</v>
          </cell>
          <cell r="I1074">
            <v>0</v>
          </cell>
          <cell r="J1074"/>
          <cell r="K1074">
            <v>99.665345670050186</v>
          </cell>
        </row>
        <row r="1075">
          <cell r="A1075">
            <v>5.5</v>
          </cell>
          <cell r="B1075">
            <v>99.2035936450539</v>
          </cell>
          <cell r="C1075"/>
          <cell r="D1075">
            <v>99.2035936450539</v>
          </cell>
          <cell r="E1075">
            <v>-0.20000000000000004</v>
          </cell>
          <cell r="F1075">
            <v>0</v>
          </cell>
          <cell r="G1075">
            <v>0</v>
          </cell>
          <cell r="H1075">
            <v>99.403593645053903</v>
          </cell>
          <cell r="I1075">
            <v>0</v>
          </cell>
          <cell r="J1075"/>
          <cell r="K1075">
            <v>99.403593645053903</v>
          </cell>
        </row>
        <row r="1076">
          <cell r="A1076">
            <v>5.375</v>
          </cell>
          <cell r="B1076">
            <v>98.913467670954333</v>
          </cell>
          <cell r="C1076"/>
          <cell r="D1076">
            <v>98.913467670954333</v>
          </cell>
          <cell r="E1076">
            <v>-0.20000000000000004</v>
          </cell>
          <cell r="F1076">
            <v>0</v>
          </cell>
          <cell r="G1076">
            <v>0</v>
          </cell>
          <cell r="H1076">
            <v>99.113467670954336</v>
          </cell>
          <cell r="I1076">
            <v>0</v>
          </cell>
          <cell r="J1076"/>
          <cell r="K1076">
            <v>99.113467670954336</v>
          </cell>
        </row>
        <row r="1077">
          <cell r="A1077">
            <v>5.25</v>
          </cell>
          <cell r="B1077">
            <v>98.6135667146971</v>
          </cell>
          <cell r="C1077"/>
          <cell r="D1077">
            <v>98.6135667146971</v>
          </cell>
          <cell r="E1077">
            <v>-0.20000000000000004</v>
          </cell>
          <cell r="F1077">
            <v>0</v>
          </cell>
          <cell r="G1077">
            <v>0</v>
          </cell>
          <cell r="H1077">
            <v>98.813566714697103</v>
          </cell>
          <cell r="I1077">
            <v>0</v>
          </cell>
          <cell r="J1077"/>
          <cell r="K1077">
            <v>98.813566714697103</v>
          </cell>
        </row>
        <row r="1078">
          <cell r="A1078">
            <v>5.125</v>
          </cell>
          <cell r="B1078">
            <v>96.463603076172106</v>
          </cell>
          <cell r="C1078"/>
          <cell r="D1078">
            <v>96.463603076172106</v>
          </cell>
          <cell r="E1078">
            <v>-0.20000000000000004</v>
          </cell>
          <cell r="F1078">
            <v>0</v>
          </cell>
          <cell r="G1078">
            <v>0</v>
          </cell>
          <cell r="H1078">
            <v>96.663603076172109</v>
          </cell>
          <cell r="I1078">
            <v>0</v>
          </cell>
          <cell r="J1078"/>
          <cell r="K1078">
            <v>96.663603076172109</v>
          </cell>
        </row>
        <row r="1079">
          <cell r="A1079">
            <v>5</v>
          </cell>
          <cell r="B1079">
            <v>96.156091270193315</v>
          </cell>
          <cell r="C1079"/>
          <cell r="D1079">
            <v>96.156091270193315</v>
          </cell>
          <cell r="E1079">
            <v>-0.20000000000000004</v>
          </cell>
          <cell r="F1079">
            <v>0</v>
          </cell>
          <cell r="G1079">
            <v>0</v>
          </cell>
          <cell r="H1079">
            <v>96.356091270193318</v>
          </cell>
          <cell r="I1079">
            <v>0</v>
          </cell>
          <cell r="J1079"/>
          <cell r="K1079">
            <v>96.356091270193318</v>
          </cell>
        </row>
        <row r="1080">
          <cell r="A1080">
            <v>4.875</v>
          </cell>
          <cell r="B1080">
            <v>95.824493229835937</v>
          </cell>
          <cell r="C1080"/>
          <cell r="D1080">
            <v>95.824493229835937</v>
          </cell>
          <cell r="E1080">
            <v>-0.20000000000000004</v>
          </cell>
          <cell r="F1080">
            <v>0</v>
          </cell>
          <cell r="G1080">
            <v>0</v>
          </cell>
          <cell r="H1080">
            <v>96.02449322983594</v>
          </cell>
          <cell r="I1080">
            <v>0</v>
          </cell>
          <cell r="J1080"/>
          <cell r="K1080">
            <v>96.02449322983594</v>
          </cell>
        </row>
        <row r="1081">
          <cell r="A1081">
            <v>4.75</v>
          </cell>
          <cell r="B1081">
            <v>95.487468285719785</v>
          </cell>
          <cell r="C1081"/>
          <cell r="D1081">
            <v>95.487468285719785</v>
          </cell>
          <cell r="E1081">
            <v>-0.20000000000000004</v>
          </cell>
          <cell r="F1081">
            <v>0</v>
          </cell>
          <cell r="G1081">
            <v>0</v>
          </cell>
          <cell r="H1081">
            <v>95.687468285719788</v>
          </cell>
          <cell r="I1081">
            <v>0</v>
          </cell>
          <cell r="J1081"/>
          <cell r="K1081">
            <v>95.687468285719788</v>
          </cell>
        </row>
        <row r="1084">
          <cell r="A1084">
            <v>7.75</v>
          </cell>
          <cell r="B1084">
            <v>104.08311677593971</v>
          </cell>
          <cell r="C1084"/>
          <cell r="D1084">
            <v>104.08311677593971</v>
          </cell>
          <cell r="E1084">
            <v>0.32500000000000007</v>
          </cell>
          <cell r="F1084">
            <v>0</v>
          </cell>
          <cell r="G1084">
            <v>0</v>
          </cell>
          <cell r="H1084">
            <v>103.75811677593971</v>
          </cell>
          <cell r="I1084">
            <v>0</v>
          </cell>
          <cell r="J1084"/>
          <cell r="K1084">
            <v>103.75811677593971</v>
          </cell>
        </row>
        <row r="1085">
          <cell r="A1085">
            <v>7.625</v>
          </cell>
          <cell r="B1085">
            <v>103.97900993212886</v>
          </cell>
          <cell r="C1085"/>
          <cell r="D1085">
            <v>103.97900993212886</v>
          </cell>
          <cell r="E1085">
            <v>0.32500000000000007</v>
          </cell>
          <cell r="F1085">
            <v>0</v>
          </cell>
          <cell r="G1085">
            <v>0</v>
          </cell>
          <cell r="H1085">
            <v>103.65400993212886</v>
          </cell>
          <cell r="I1085">
            <v>0</v>
          </cell>
          <cell r="J1085"/>
          <cell r="K1085">
            <v>103.65400993212886</v>
          </cell>
        </row>
        <row r="1086">
          <cell r="A1086">
            <v>7.5</v>
          </cell>
          <cell r="B1086">
            <v>103.85579152755699</v>
          </cell>
          <cell r="C1086"/>
          <cell r="D1086">
            <v>103.85579152755699</v>
          </cell>
          <cell r="E1086">
            <v>0.32500000000000007</v>
          </cell>
          <cell r="F1086">
            <v>0</v>
          </cell>
          <cell r="G1086">
            <v>0</v>
          </cell>
          <cell r="H1086">
            <v>103.53079152755699</v>
          </cell>
          <cell r="I1086">
            <v>0</v>
          </cell>
          <cell r="J1086"/>
          <cell r="K1086">
            <v>103.53079152755699</v>
          </cell>
        </row>
        <row r="1087">
          <cell r="A1087">
            <v>7.375</v>
          </cell>
          <cell r="B1087">
            <v>103.71113700675494</v>
          </cell>
          <cell r="C1087"/>
          <cell r="D1087">
            <v>103.71113700675494</v>
          </cell>
          <cell r="E1087">
            <v>0.32500000000000007</v>
          </cell>
          <cell r="F1087">
            <v>0</v>
          </cell>
          <cell r="G1087">
            <v>0</v>
          </cell>
          <cell r="H1087">
            <v>103.38613700675494</v>
          </cell>
          <cell r="I1087">
            <v>0</v>
          </cell>
          <cell r="J1087"/>
          <cell r="K1087">
            <v>103.38613700675494</v>
          </cell>
        </row>
        <row r="1088">
          <cell r="A1088">
            <v>7.25</v>
          </cell>
          <cell r="B1088">
            <v>104.52775774676354</v>
          </cell>
          <cell r="C1088"/>
          <cell r="D1088">
            <v>104.52775774676354</v>
          </cell>
          <cell r="E1088">
            <v>0.32500000000000007</v>
          </cell>
          <cell r="F1088">
            <v>0</v>
          </cell>
          <cell r="G1088">
            <v>0</v>
          </cell>
          <cell r="H1088">
            <v>104.20275774676354</v>
          </cell>
          <cell r="I1088">
            <v>0</v>
          </cell>
          <cell r="J1088"/>
          <cell r="K1088">
            <v>104.20275774676354</v>
          </cell>
        </row>
        <row r="1089">
          <cell r="A1089">
            <v>7.125</v>
          </cell>
          <cell r="B1089">
            <v>104.38952076905805</v>
          </cell>
          <cell r="C1089"/>
          <cell r="D1089">
            <v>104.38952076905805</v>
          </cell>
          <cell r="E1089">
            <v>0.32500000000000007</v>
          </cell>
          <cell r="F1089">
            <v>0</v>
          </cell>
          <cell r="G1089">
            <v>0</v>
          </cell>
          <cell r="H1089">
            <v>104.06452076905805</v>
          </cell>
          <cell r="I1089">
            <v>0</v>
          </cell>
          <cell r="J1089"/>
          <cell r="K1089">
            <v>104.06452076905805</v>
          </cell>
        </row>
        <row r="1090">
          <cell r="A1090">
            <v>7</v>
          </cell>
          <cell r="B1090">
            <v>104.22560271552035</v>
          </cell>
          <cell r="C1090"/>
          <cell r="D1090">
            <v>104.22560271552035</v>
          </cell>
          <cell r="E1090">
            <v>0.32500000000000007</v>
          </cell>
          <cell r="F1090">
            <v>0</v>
          </cell>
          <cell r="G1090">
            <v>0</v>
          </cell>
          <cell r="H1090">
            <v>103.90060271552035</v>
          </cell>
          <cell r="I1090">
            <v>0</v>
          </cell>
          <cell r="J1090"/>
          <cell r="K1090">
            <v>103.90060271552035</v>
          </cell>
        </row>
        <row r="1091">
          <cell r="A1091">
            <v>6.875</v>
          </cell>
          <cell r="B1091">
            <v>104.03384228403469</v>
          </cell>
          <cell r="C1091"/>
          <cell r="D1091">
            <v>104.03384228403469</v>
          </cell>
          <cell r="E1091">
            <v>0.32500000000000007</v>
          </cell>
          <cell r="F1091">
            <v>0</v>
          </cell>
          <cell r="G1091">
            <v>0</v>
          </cell>
          <cell r="H1091">
            <v>103.70884228403469</v>
          </cell>
          <cell r="I1091">
            <v>0</v>
          </cell>
          <cell r="J1091"/>
          <cell r="K1091">
            <v>103.70884228403469</v>
          </cell>
        </row>
        <row r="1092">
          <cell r="A1092">
            <v>6.75</v>
          </cell>
          <cell r="B1092">
            <v>103.81260871862253</v>
          </cell>
          <cell r="C1092"/>
          <cell r="D1092">
            <v>103.81260871862253</v>
          </cell>
          <cell r="E1092">
            <v>0.32500000000000007</v>
          </cell>
          <cell r="F1092">
            <v>0</v>
          </cell>
          <cell r="G1092">
            <v>0</v>
          </cell>
          <cell r="H1092">
            <v>103.48760871862252</v>
          </cell>
          <cell r="I1092">
            <v>0</v>
          </cell>
          <cell r="J1092"/>
          <cell r="K1092">
            <v>103.48760871862252</v>
          </cell>
        </row>
        <row r="1093">
          <cell r="A1093">
            <v>6.625</v>
          </cell>
          <cell r="B1093">
            <v>102.58217741707823</v>
          </cell>
          <cell r="C1093"/>
          <cell r="D1093">
            <v>102.58217741707823</v>
          </cell>
          <cell r="E1093">
            <v>0.32500000000000007</v>
          </cell>
          <cell r="F1093">
            <v>0</v>
          </cell>
          <cell r="G1093">
            <v>0</v>
          </cell>
          <cell r="H1093">
            <v>102.25717741707822</v>
          </cell>
          <cell r="I1093">
            <v>0</v>
          </cell>
          <cell r="J1093"/>
          <cell r="K1093">
            <v>102.25717741707822</v>
          </cell>
        </row>
        <row r="1094">
          <cell r="A1094">
            <v>6.5</v>
          </cell>
          <cell r="B1094">
            <v>102.36073717527202</v>
          </cell>
          <cell r="C1094"/>
          <cell r="D1094">
            <v>102.36073717527202</v>
          </cell>
          <cell r="E1094">
            <v>0.32500000000000007</v>
          </cell>
          <cell r="F1094">
            <v>0</v>
          </cell>
          <cell r="G1094">
            <v>0</v>
          </cell>
          <cell r="H1094">
            <v>102.03573717527202</v>
          </cell>
          <cell r="I1094">
            <v>0</v>
          </cell>
          <cell r="J1094"/>
          <cell r="K1094">
            <v>102.03573717527202</v>
          </cell>
        </row>
        <row r="1095">
          <cell r="A1095">
            <v>6.375</v>
          </cell>
          <cell r="B1095">
            <v>102.10775542411338</v>
          </cell>
          <cell r="C1095"/>
          <cell r="D1095">
            <v>102.10775542411338</v>
          </cell>
          <cell r="E1095">
            <v>0.32500000000000007</v>
          </cell>
          <cell r="F1095">
            <v>0</v>
          </cell>
          <cell r="G1095">
            <v>0</v>
          </cell>
          <cell r="H1095">
            <v>101.78275542411338</v>
          </cell>
          <cell r="I1095">
            <v>0</v>
          </cell>
          <cell r="J1095"/>
          <cell r="K1095">
            <v>101.78275542411338</v>
          </cell>
        </row>
        <row r="1096">
          <cell r="A1096">
            <v>6.25</v>
          </cell>
          <cell r="B1096">
            <v>101.85709359623554</v>
          </cell>
          <cell r="C1096"/>
          <cell r="D1096">
            <v>101.85709359623554</v>
          </cell>
          <cell r="E1096">
            <v>0.32500000000000007</v>
          </cell>
          <cell r="F1096">
            <v>0</v>
          </cell>
          <cell r="G1096">
            <v>0</v>
          </cell>
          <cell r="H1096">
            <v>101.53209359623554</v>
          </cell>
          <cell r="I1096">
            <v>0</v>
          </cell>
          <cell r="J1096"/>
          <cell r="K1096">
            <v>101.53209359623554</v>
          </cell>
        </row>
        <row r="1097">
          <cell r="A1097">
            <v>6.125</v>
          </cell>
          <cell r="B1097">
            <v>101.59327126925045</v>
          </cell>
          <cell r="C1097"/>
          <cell r="D1097">
            <v>101.59327126925045</v>
          </cell>
          <cell r="E1097">
            <v>0.32500000000000007</v>
          </cell>
          <cell r="F1097">
            <v>0</v>
          </cell>
          <cell r="G1097">
            <v>0</v>
          </cell>
          <cell r="H1097">
            <v>101.26827126925045</v>
          </cell>
          <cell r="I1097">
            <v>0</v>
          </cell>
          <cell r="J1097"/>
          <cell r="K1097">
            <v>101.26827126925045</v>
          </cell>
        </row>
        <row r="1098">
          <cell r="A1098">
            <v>6</v>
          </cell>
          <cell r="B1098">
            <v>101.29989239006142</v>
          </cell>
          <cell r="C1098"/>
          <cell r="D1098">
            <v>101.29989239006142</v>
          </cell>
          <cell r="E1098">
            <v>0.32500000000000007</v>
          </cell>
          <cell r="F1098">
            <v>0</v>
          </cell>
          <cell r="G1098">
            <v>0</v>
          </cell>
          <cell r="H1098">
            <v>100.97489239006141</v>
          </cell>
          <cell r="I1098">
            <v>0</v>
          </cell>
          <cell r="J1098"/>
          <cell r="K1098">
            <v>100.97489239006141</v>
          </cell>
        </row>
        <row r="1099">
          <cell r="A1099">
            <v>5.875</v>
          </cell>
          <cell r="B1099">
            <v>100.98326354013753</v>
          </cell>
          <cell r="C1099"/>
          <cell r="D1099">
            <v>100.98326354013753</v>
          </cell>
          <cell r="E1099">
            <v>0.32500000000000007</v>
          </cell>
          <cell r="F1099">
            <v>0</v>
          </cell>
          <cell r="G1099">
            <v>0</v>
          </cell>
          <cell r="H1099">
            <v>100.65826354013753</v>
          </cell>
          <cell r="I1099">
            <v>0</v>
          </cell>
          <cell r="J1099"/>
          <cell r="K1099">
            <v>100.65826354013753</v>
          </cell>
        </row>
        <row r="1100">
          <cell r="A1100">
            <v>5.75</v>
          </cell>
          <cell r="B1100">
            <v>100.66133215327925</v>
          </cell>
          <cell r="C1100"/>
          <cell r="D1100">
            <v>100.66133215327925</v>
          </cell>
          <cell r="E1100">
            <v>0.32500000000000007</v>
          </cell>
          <cell r="F1100">
            <v>0</v>
          </cell>
          <cell r="G1100">
            <v>0</v>
          </cell>
          <cell r="H1100">
            <v>100.33633215327924</v>
          </cell>
          <cell r="I1100">
            <v>0</v>
          </cell>
          <cell r="J1100"/>
          <cell r="K1100">
            <v>100.33633215327924</v>
          </cell>
        </row>
        <row r="1101">
          <cell r="A1101">
            <v>5.625</v>
          </cell>
          <cell r="B1101">
            <v>100.04803513188125</v>
          </cell>
          <cell r="C1101"/>
          <cell r="D1101">
            <v>100.04803513188125</v>
          </cell>
          <cell r="E1101">
            <v>0.32500000000000007</v>
          </cell>
          <cell r="F1101">
            <v>0</v>
          </cell>
          <cell r="G1101">
            <v>0</v>
          </cell>
          <cell r="H1101">
            <v>99.723035131881247</v>
          </cell>
          <cell r="I1101">
            <v>0</v>
          </cell>
          <cell r="J1101"/>
          <cell r="K1101">
            <v>99.723035131881247</v>
          </cell>
        </row>
        <row r="1102">
          <cell r="A1102">
            <v>5.5</v>
          </cell>
          <cell r="B1102">
            <v>99.72223205450058</v>
          </cell>
          <cell r="C1102"/>
          <cell r="D1102">
            <v>99.72223205450058</v>
          </cell>
          <cell r="E1102">
            <v>0.32500000000000007</v>
          </cell>
          <cell r="F1102">
            <v>0</v>
          </cell>
          <cell r="G1102">
            <v>0</v>
          </cell>
          <cell r="H1102">
            <v>99.397232054500577</v>
          </cell>
          <cell r="I1102">
            <v>0</v>
          </cell>
          <cell r="J1102"/>
          <cell r="K1102">
            <v>99.397232054500577</v>
          </cell>
        </row>
        <row r="1103">
          <cell r="A1103">
            <v>5.375</v>
          </cell>
          <cell r="B1103">
            <v>99.369391874586583</v>
          </cell>
          <cell r="C1103"/>
          <cell r="D1103">
            <v>99.369391874586583</v>
          </cell>
          <cell r="E1103">
            <v>0.32500000000000007</v>
          </cell>
          <cell r="F1103">
            <v>0</v>
          </cell>
          <cell r="G1103">
            <v>0</v>
          </cell>
          <cell r="H1103">
            <v>99.04439187458658</v>
          </cell>
          <cell r="I1103">
            <v>0</v>
          </cell>
          <cell r="J1103"/>
          <cell r="K1103">
            <v>99.04439187458658</v>
          </cell>
        </row>
        <row r="1104">
          <cell r="A1104">
            <v>5.25</v>
          </cell>
          <cell r="B1104">
            <v>99.006916176262081</v>
          </cell>
          <cell r="C1104"/>
          <cell r="D1104">
            <v>99.006916176262081</v>
          </cell>
          <cell r="E1104">
            <v>0.32500000000000007</v>
          </cell>
          <cell r="F1104">
            <v>0</v>
          </cell>
          <cell r="G1104">
            <v>0</v>
          </cell>
          <cell r="H1104">
            <v>98.681916176262078</v>
          </cell>
          <cell r="I1104">
            <v>0</v>
          </cell>
          <cell r="J1104"/>
          <cell r="K1104">
            <v>98.681916176262078</v>
          </cell>
        </row>
        <row r="1105">
          <cell r="A1105">
            <v>5.125</v>
          </cell>
          <cell r="B1105">
            <v>97.689064252888699</v>
          </cell>
          <cell r="C1105"/>
          <cell r="D1105">
            <v>97.689064252888699</v>
          </cell>
          <cell r="E1105">
            <v>0.32500000000000007</v>
          </cell>
          <cell r="F1105">
            <v>0</v>
          </cell>
          <cell r="G1105">
            <v>0</v>
          </cell>
          <cell r="H1105">
            <v>97.364064252888696</v>
          </cell>
          <cell r="I1105">
            <v>0</v>
          </cell>
          <cell r="J1105"/>
          <cell r="K1105">
            <v>97.364064252888696</v>
          </cell>
        </row>
        <row r="1106">
          <cell r="A1106">
            <v>5</v>
          </cell>
          <cell r="B1106">
            <v>97.319243386636771</v>
          </cell>
          <cell r="C1106"/>
          <cell r="D1106">
            <v>97.319243386636771</v>
          </cell>
          <cell r="E1106">
            <v>0.32500000000000007</v>
          </cell>
          <cell r="F1106">
            <v>0</v>
          </cell>
          <cell r="G1106">
            <v>0</v>
          </cell>
          <cell r="H1106">
            <v>96.994243386636768</v>
          </cell>
          <cell r="I1106">
            <v>0</v>
          </cell>
          <cell r="J1106"/>
          <cell r="K1106">
            <v>96.994243386636768</v>
          </cell>
        </row>
        <row r="1107">
          <cell r="A1107">
            <v>4.875</v>
          </cell>
          <cell r="B1107">
            <v>96.92800215805309</v>
          </cell>
          <cell r="C1107"/>
          <cell r="D1107">
            <v>96.92800215805309</v>
          </cell>
          <cell r="E1107">
            <v>0.32500000000000007</v>
          </cell>
          <cell r="F1107">
            <v>0</v>
          </cell>
          <cell r="G1107">
            <v>0</v>
          </cell>
          <cell r="H1107">
            <v>96.603002158053087</v>
          </cell>
          <cell r="I1107">
            <v>0</v>
          </cell>
          <cell r="J1107"/>
          <cell r="K1107">
            <v>96.603002158053087</v>
          </cell>
        </row>
        <row r="1108">
          <cell r="A1108"/>
          <cell r="B1108"/>
          <cell r="C1108"/>
          <cell r="D1108"/>
          <cell r="E1108"/>
          <cell r="F1108"/>
          <cell r="G1108"/>
          <cell r="H1108"/>
          <cell r="I1108"/>
          <cell r="J1108"/>
          <cell r="K1108"/>
        </row>
        <row r="1109">
          <cell r="A1109"/>
          <cell r="B1109"/>
          <cell r="C1109"/>
          <cell r="D1109"/>
          <cell r="E1109"/>
          <cell r="F1109"/>
          <cell r="G1109"/>
          <cell r="H1109"/>
          <cell r="I1109"/>
          <cell r="J1109"/>
          <cell r="K1109"/>
        </row>
        <row r="1377">
          <cell r="A1377">
            <v>8.375</v>
          </cell>
        </row>
        <row r="1378">
          <cell r="A1378">
            <v>8.25</v>
          </cell>
        </row>
        <row r="1379">
          <cell r="A1379">
            <v>8.125</v>
          </cell>
        </row>
        <row r="1380">
          <cell r="A1380">
            <v>8</v>
          </cell>
        </row>
        <row r="1381">
          <cell r="A1381">
            <v>7.875</v>
          </cell>
        </row>
        <row r="1382">
          <cell r="A1382">
            <v>7.75</v>
          </cell>
        </row>
        <row r="1383">
          <cell r="A1383">
            <v>7.625</v>
          </cell>
        </row>
        <row r="1384">
          <cell r="A1384">
            <v>7.5</v>
          </cell>
        </row>
        <row r="1385">
          <cell r="A1385">
            <v>7.375</v>
          </cell>
        </row>
        <row r="1386">
          <cell r="A1386">
            <v>7.25</v>
          </cell>
        </row>
        <row r="1387">
          <cell r="A1387">
            <v>7.125</v>
          </cell>
        </row>
        <row r="1388">
          <cell r="A1388">
            <v>7</v>
          </cell>
        </row>
        <row r="1389">
          <cell r="A1389">
            <v>6.875</v>
          </cell>
        </row>
        <row r="1390">
          <cell r="A1390">
            <v>6.75</v>
          </cell>
        </row>
        <row r="1391">
          <cell r="A1391">
            <v>6.625</v>
          </cell>
        </row>
        <row r="1392">
          <cell r="A1392">
            <v>6.5</v>
          </cell>
        </row>
        <row r="1393">
          <cell r="A1393">
            <v>6.375</v>
          </cell>
        </row>
        <row r="1394">
          <cell r="A1394">
            <v>6.25</v>
          </cell>
        </row>
        <row r="1395">
          <cell r="A1395">
            <v>6.125</v>
          </cell>
        </row>
        <row r="1396">
          <cell r="A1396">
            <v>6</v>
          </cell>
        </row>
        <row r="1397">
          <cell r="A1397">
            <v>5.875</v>
          </cell>
        </row>
        <row r="1398">
          <cell r="A1398"/>
        </row>
        <row r="1399">
          <cell r="A1399"/>
        </row>
        <row r="1400">
          <cell r="A1400"/>
        </row>
        <row r="1401">
          <cell r="A1401"/>
        </row>
        <row r="1402">
          <cell r="A1402"/>
        </row>
        <row r="1403">
          <cell r="A1403"/>
        </row>
        <row r="1404">
          <cell r="A1404"/>
        </row>
        <row r="1619">
          <cell r="A1619">
            <v>8.375</v>
          </cell>
          <cell r="B1619">
            <v>102.75</v>
          </cell>
          <cell r="C1619"/>
          <cell r="D1619">
            <v>102.75</v>
          </cell>
          <cell r="E1619"/>
          <cell r="F1619">
            <v>1.34</v>
          </cell>
          <cell r="G1619">
            <v>0</v>
          </cell>
          <cell r="H1619">
            <v>101.41</v>
          </cell>
          <cell r="I1619">
            <v>0</v>
          </cell>
          <cell r="J1619"/>
          <cell r="K1619">
            <v>101.41</v>
          </cell>
        </row>
        <row r="1620">
          <cell r="A1620">
            <v>8.25</v>
          </cell>
          <cell r="B1620">
            <v>102.625</v>
          </cell>
          <cell r="C1620"/>
          <cell r="D1620">
            <v>102.625</v>
          </cell>
          <cell r="E1620"/>
          <cell r="F1620">
            <v>1.34</v>
          </cell>
          <cell r="G1620"/>
          <cell r="H1620">
            <v>101.285</v>
          </cell>
          <cell r="I1620">
            <v>0</v>
          </cell>
          <cell r="J1620"/>
          <cell r="K1620">
            <v>101.285</v>
          </cell>
        </row>
        <row r="1621">
          <cell r="A1621">
            <v>8.125</v>
          </cell>
          <cell r="B1621">
            <v>102.47222222222223</v>
          </cell>
          <cell r="C1621"/>
          <cell r="D1621">
            <v>102.47222222222223</v>
          </cell>
          <cell r="E1621"/>
          <cell r="F1621">
            <v>1.34</v>
          </cell>
          <cell r="G1621"/>
          <cell r="H1621">
            <v>101.13222222222223</v>
          </cell>
          <cell r="I1621">
            <v>0</v>
          </cell>
          <cell r="J1621"/>
          <cell r="K1621">
            <v>101.13222222222223</v>
          </cell>
        </row>
        <row r="1622">
          <cell r="A1622">
            <v>8</v>
          </cell>
          <cell r="B1622">
            <v>102.291666666667</v>
          </cell>
          <cell r="C1622"/>
          <cell r="D1622">
            <v>102.291666666667</v>
          </cell>
          <cell r="E1622"/>
          <cell r="F1622">
            <v>1.34</v>
          </cell>
          <cell r="G1622"/>
          <cell r="H1622">
            <v>100.95166666666699</v>
          </cell>
          <cell r="I1622">
            <v>0</v>
          </cell>
          <cell r="J1622"/>
          <cell r="K1622">
            <v>100.95166666666699</v>
          </cell>
        </row>
        <row r="1623">
          <cell r="A1623">
            <v>7.875</v>
          </cell>
          <cell r="B1623">
            <v>102.08333333333333</v>
          </cell>
          <cell r="C1623"/>
          <cell r="D1623">
            <v>102.08333333333333</v>
          </cell>
          <cell r="E1623"/>
          <cell r="F1623">
            <v>1.34</v>
          </cell>
          <cell r="G1623"/>
          <cell r="H1623">
            <v>100.74333333333333</v>
          </cell>
          <cell r="I1623">
            <v>0</v>
          </cell>
          <cell r="J1623"/>
          <cell r="K1623">
            <v>100.74333333333333</v>
          </cell>
        </row>
        <row r="1624">
          <cell r="A1624">
            <v>7.75</v>
          </cell>
          <cell r="B1624">
            <v>101.84722222222223</v>
          </cell>
          <cell r="C1624"/>
          <cell r="D1624">
            <v>101.84722222222223</v>
          </cell>
          <cell r="E1624"/>
          <cell r="F1624">
            <v>1.34</v>
          </cell>
          <cell r="G1624"/>
          <cell r="H1624">
            <v>100.50722222222223</v>
          </cell>
          <cell r="I1624">
            <v>0</v>
          </cell>
          <cell r="J1624"/>
          <cell r="K1624">
            <v>100.50722222222223</v>
          </cell>
        </row>
        <row r="1625">
          <cell r="A1625">
            <v>7.625</v>
          </cell>
          <cell r="B1625">
            <v>101.58333333333333</v>
          </cell>
          <cell r="C1625"/>
          <cell r="D1625">
            <v>101.58333333333333</v>
          </cell>
          <cell r="E1625"/>
          <cell r="F1625">
            <v>1.34</v>
          </cell>
          <cell r="G1625"/>
          <cell r="H1625">
            <v>100.24333333333333</v>
          </cell>
          <cell r="I1625">
            <v>0</v>
          </cell>
          <cell r="J1625"/>
          <cell r="K1625">
            <v>100.24333333333333</v>
          </cell>
        </row>
        <row r="1626">
          <cell r="A1626">
            <v>7.5</v>
          </cell>
          <cell r="B1626">
            <v>101.29166666666667</v>
          </cell>
          <cell r="C1626"/>
          <cell r="D1626">
            <v>101.29166666666667</v>
          </cell>
          <cell r="E1626"/>
          <cell r="F1626">
            <v>1.34</v>
          </cell>
          <cell r="G1626"/>
          <cell r="H1626">
            <v>99.951666666666668</v>
          </cell>
          <cell r="I1626">
            <v>0</v>
          </cell>
          <cell r="J1626"/>
          <cell r="K1626">
            <v>99.951666666666668</v>
          </cell>
        </row>
        <row r="1627">
          <cell r="A1627">
            <v>7.375</v>
          </cell>
          <cell r="B1627">
            <v>100.97222222222223</v>
          </cell>
          <cell r="C1627"/>
          <cell r="D1627">
            <v>100.97222222222223</v>
          </cell>
          <cell r="E1627"/>
          <cell r="F1627">
            <v>1.34</v>
          </cell>
          <cell r="G1627"/>
          <cell r="H1627">
            <v>99.632222222222225</v>
          </cell>
          <cell r="I1627">
            <v>0</v>
          </cell>
          <cell r="J1627"/>
          <cell r="K1627">
            <v>99.632222222222225</v>
          </cell>
        </row>
        <row r="1628">
          <cell r="A1628">
            <v>7.25</v>
          </cell>
          <cell r="B1628">
            <v>100.625</v>
          </cell>
          <cell r="C1628"/>
          <cell r="D1628">
            <v>100.625</v>
          </cell>
          <cell r="E1628"/>
          <cell r="F1628">
            <v>1.34</v>
          </cell>
          <cell r="G1628"/>
          <cell r="H1628">
            <v>99.284999999999997</v>
          </cell>
          <cell r="I1628">
            <v>0</v>
          </cell>
          <cell r="J1628"/>
          <cell r="K1628">
            <v>99.284999999999997</v>
          </cell>
        </row>
        <row r="1629">
          <cell r="A1629">
            <v>7.125</v>
          </cell>
          <cell r="B1629">
            <v>100.25</v>
          </cell>
          <cell r="C1629"/>
          <cell r="D1629">
            <v>100.25</v>
          </cell>
          <cell r="E1629"/>
          <cell r="F1629">
            <v>1.34</v>
          </cell>
          <cell r="G1629"/>
          <cell r="H1629">
            <v>98.91</v>
          </cell>
          <cell r="I1629">
            <v>0</v>
          </cell>
          <cell r="J1629"/>
          <cell r="K1629">
            <v>98.91</v>
          </cell>
        </row>
        <row r="1630">
          <cell r="A1630">
            <v>7</v>
          </cell>
          <cell r="B1630">
            <v>99.875</v>
          </cell>
          <cell r="C1630"/>
          <cell r="D1630">
            <v>99.875</v>
          </cell>
          <cell r="E1630"/>
          <cell r="F1630">
            <v>1.34</v>
          </cell>
          <cell r="G1630"/>
          <cell r="H1630">
            <v>98.534999999999997</v>
          </cell>
          <cell r="I1630">
            <v>0</v>
          </cell>
          <cell r="J1630"/>
          <cell r="K1630">
            <v>98.534999999999997</v>
          </cell>
        </row>
        <row r="1631">
          <cell r="A1631">
            <v>6.875</v>
          </cell>
          <cell r="B1631">
            <v>99.5</v>
          </cell>
          <cell r="C1631"/>
          <cell r="D1631">
            <v>99.5</v>
          </cell>
          <cell r="E1631"/>
          <cell r="F1631">
            <v>1.34</v>
          </cell>
          <cell r="G1631"/>
          <cell r="H1631">
            <v>98.16</v>
          </cell>
          <cell r="I1631">
            <v>0</v>
          </cell>
          <cell r="J1631"/>
          <cell r="K1631">
            <v>98.16</v>
          </cell>
        </row>
        <row r="1632">
          <cell r="A1632">
            <v>6.75</v>
          </cell>
          <cell r="B1632">
            <v>99.125</v>
          </cell>
          <cell r="C1632"/>
          <cell r="D1632">
            <v>99.125</v>
          </cell>
          <cell r="E1632"/>
          <cell r="F1632">
            <v>1.34</v>
          </cell>
          <cell r="G1632"/>
          <cell r="H1632">
            <v>97.784999999999997</v>
          </cell>
          <cell r="I1632">
            <v>0</v>
          </cell>
          <cell r="J1632"/>
          <cell r="K1632">
            <v>97.784999999999997</v>
          </cell>
        </row>
        <row r="1633">
          <cell r="A1633">
            <v>6.625</v>
          </cell>
          <cell r="B1633">
            <v>98.75</v>
          </cell>
          <cell r="C1633"/>
          <cell r="D1633">
            <v>98.75</v>
          </cell>
          <cell r="E1633"/>
          <cell r="F1633">
            <v>1.34</v>
          </cell>
          <cell r="G1633"/>
          <cell r="H1633">
            <v>97.41</v>
          </cell>
          <cell r="I1633">
            <v>0</v>
          </cell>
          <cell r="J1633"/>
          <cell r="K1633">
            <v>97.41</v>
          </cell>
        </row>
        <row r="1634">
          <cell r="A1634">
            <v>6.5</v>
          </cell>
          <cell r="B1634">
            <v>98.375</v>
          </cell>
          <cell r="C1634"/>
          <cell r="D1634">
            <v>98.375</v>
          </cell>
          <cell r="E1634"/>
          <cell r="F1634">
            <v>1.34</v>
          </cell>
          <cell r="G1634"/>
          <cell r="H1634">
            <v>97.034999999999997</v>
          </cell>
          <cell r="I1634">
            <v>0</v>
          </cell>
          <cell r="J1634"/>
          <cell r="K1634">
            <v>97.034999999999997</v>
          </cell>
        </row>
        <row r="1635">
          <cell r="A1635">
            <v>6.375</v>
          </cell>
          <cell r="B1635">
            <v>97.875</v>
          </cell>
          <cell r="C1635"/>
          <cell r="D1635">
            <v>97.875</v>
          </cell>
          <cell r="E1635"/>
          <cell r="F1635">
            <v>1.34</v>
          </cell>
          <cell r="G1635"/>
          <cell r="H1635">
            <v>96.534999999999997</v>
          </cell>
          <cell r="I1635">
            <v>0</v>
          </cell>
          <cell r="J1635"/>
          <cell r="K1635">
            <v>96.534999999999997</v>
          </cell>
        </row>
        <row r="1636">
          <cell r="A1636">
            <v>6.25</v>
          </cell>
          <cell r="B1636">
            <v>97.375</v>
          </cell>
          <cell r="C1636"/>
          <cell r="D1636">
            <v>97.375</v>
          </cell>
          <cell r="E1636"/>
          <cell r="F1636">
            <v>1.34</v>
          </cell>
          <cell r="G1636"/>
          <cell r="H1636">
            <v>96.034999999999997</v>
          </cell>
          <cell r="I1636">
            <v>0</v>
          </cell>
          <cell r="J1636"/>
          <cell r="K1636">
            <v>96.034999999999997</v>
          </cell>
        </row>
        <row r="1637">
          <cell r="A1637">
            <v>6.125</v>
          </cell>
          <cell r="B1637">
            <v>96.875</v>
          </cell>
          <cell r="C1637"/>
          <cell r="D1637">
            <v>96.875</v>
          </cell>
          <cell r="E1637"/>
          <cell r="F1637">
            <v>1.34</v>
          </cell>
          <cell r="G1637"/>
          <cell r="H1637">
            <v>95.534999999999997</v>
          </cell>
          <cell r="I1637">
            <v>0</v>
          </cell>
          <cell r="J1637"/>
          <cell r="K1637">
            <v>95.534999999999997</v>
          </cell>
        </row>
        <row r="1638">
          <cell r="A1638">
            <v>6</v>
          </cell>
          <cell r="B1638">
            <v>96.25</v>
          </cell>
          <cell r="C1638"/>
          <cell r="D1638">
            <v>96.25</v>
          </cell>
          <cell r="E1638"/>
          <cell r="F1638">
            <v>1.34</v>
          </cell>
          <cell r="G1638"/>
          <cell r="H1638">
            <v>94.91</v>
          </cell>
          <cell r="I1638">
            <v>0</v>
          </cell>
          <cell r="J1638"/>
          <cell r="K1638">
            <v>94.91</v>
          </cell>
        </row>
        <row r="1639">
          <cell r="A1639">
            <v>5.875</v>
          </cell>
          <cell r="B1639">
            <v>95.625</v>
          </cell>
          <cell r="C1639"/>
          <cell r="D1639">
            <v>95.625</v>
          </cell>
          <cell r="E1639"/>
          <cell r="F1639">
            <v>1.34</v>
          </cell>
          <cell r="G1639"/>
          <cell r="H1639">
            <v>94.284999999999997</v>
          </cell>
          <cell r="I1639">
            <v>0</v>
          </cell>
          <cell r="J1639"/>
          <cell r="K1639">
            <v>94.284999999999997</v>
          </cell>
        </row>
        <row r="1640">
          <cell r="A1640"/>
          <cell r="B1640"/>
          <cell r="C1640"/>
          <cell r="D1640"/>
          <cell r="E1640"/>
          <cell r="F1640"/>
          <cell r="G1640"/>
          <cell r="H1640"/>
          <cell r="I1640"/>
          <cell r="J1640"/>
          <cell r="K1640"/>
        </row>
        <row r="1641">
          <cell r="A1641"/>
          <cell r="B1641"/>
          <cell r="C1641"/>
          <cell r="D1641"/>
          <cell r="E1641"/>
          <cell r="F1641"/>
          <cell r="G1641"/>
          <cell r="H1641"/>
          <cell r="I1641"/>
          <cell r="J1641"/>
          <cell r="K1641"/>
        </row>
        <row r="1642">
          <cell r="A1642"/>
          <cell r="B1642"/>
          <cell r="C1642"/>
          <cell r="D1642"/>
          <cell r="E1642"/>
          <cell r="F1642"/>
          <cell r="G1642"/>
          <cell r="H1642"/>
          <cell r="I1642"/>
          <cell r="J1642"/>
          <cell r="K1642"/>
        </row>
        <row r="1643">
          <cell r="A1643"/>
          <cell r="B1643"/>
          <cell r="C1643"/>
          <cell r="D1643"/>
          <cell r="E1643"/>
          <cell r="F1643"/>
          <cell r="G1643"/>
          <cell r="H1643"/>
          <cell r="I1643"/>
          <cell r="J1643"/>
          <cell r="K1643"/>
        </row>
        <row r="1644">
          <cell r="A1644"/>
          <cell r="B1644"/>
          <cell r="C1644"/>
          <cell r="D1644"/>
          <cell r="E1644"/>
          <cell r="F1644"/>
          <cell r="G1644"/>
          <cell r="H1644"/>
          <cell r="I1644"/>
          <cell r="J1644"/>
          <cell r="K1644"/>
        </row>
        <row r="1645">
          <cell r="A1645"/>
          <cell r="B1645"/>
          <cell r="C1645"/>
          <cell r="D1645"/>
          <cell r="E1645"/>
          <cell r="F1645"/>
          <cell r="G1645"/>
          <cell r="H1645"/>
          <cell r="I1645"/>
          <cell r="J1645"/>
          <cell r="K1645"/>
        </row>
        <row r="1646">
          <cell r="A1646"/>
          <cell r="B1646"/>
          <cell r="C1646"/>
          <cell r="D1646"/>
          <cell r="E1646"/>
          <cell r="F1646"/>
          <cell r="G1646"/>
          <cell r="H1646"/>
          <cell r="I1646"/>
          <cell r="J1646"/>
          <cell r="K1646"/>
        </row>
        <row r="1943">
          <cell r="A1943">
            <v>8.25</v>
          </cell>
          <cell r="B1943">
            <v>103.09399999999999</v>
          </cell>
          <cell r="C1943"/>
          <cell r="D1943">
            <v>103.09399999999999</v>
          </cell>
          <cell r="E1943"/>
          <cell r="F1943">
            <v>1.6900000000000002</v>
          </cell>
          <cell r="G1943">
            <v>0</v>
          </cell>
          <cell r="H1943">
            <v>101.404</v>
          </cell>
          <cell r="I1943">
            <v>0</v>
          </cell>
          <cell r="J1943"/>
          <cell r="K1943">
            <v>101.404</v>
          </cell>
        </row>
        <row r="1944">
          <cell r="A1944">
            <v>8.125</v>
          </cell>
          <cell r="B1944">
            <v>102.883</v>
          </cell>
          <cell r="C1944"/>
          <cell r="D1944">
            <v>102.883</v>
          </cell>
          <cell r="E1944"/>
          <cell r="F1944">
            <v>1.6900000000000002</v>
          </cell>
          <cell r="G1944"/>
          <cell r="H1944">
            <v>101.193</v>
          </cell>
          <cell r="I1944">
            <v>0</v>
          </cell>
          <cell r="J1944"/>
          <cell r="K1944">
            <v>101.193</v>
          </cell>
        </row>
        <row r="1945">
          <cell r="A1945">
            <v>8</v>
          </cell>
          <cell r="B1945">
            <v>102.648</v>
          </cell>
          <cell r="C1945"/>
          <cell r="D1945">
            <v>102.648</v>
          </cell>
          <cell r="E1945"/>
          <cell r="F1945">
            <v>1.6900000000000002</v>
          </cell>
          <cell r="G1945"/>
          <cell r="H1945">
            <v>100.958</v>
          </cell>
          <cell r="I1945">
            <v>0</v>
          </cell>
          <cell r="J1945"/>
          <cell r="K1945">
            <v>100.958</v>
          </cell>
        </row>
        <row r="1946">
          <cell r="A1946">
            <v>7.875</v>
          </cell>
          <cell r="B1946">
            <v>102.39100000000001</v>
          </cell>
          <cell r="C1946"/>
          <cell r="D1946">
            <v>102.39100000000001</v>
          </cell>
          <cell r="E1946"/>
          <cell r="F1946">
            <v>1.6900000000000002</v>
          </cell>
          <cell r="G1946"/>
          <cell r="H1946">
            <v>100.70100000000001</v>
          </cell>
          <cell r="I1946">
            <v>0</v>
          </cell>
          <cell r="J1946"/>
          <cell r="K1946">
            <v>100.70100000000001</v>
          </cell>
        </row>
        <row r="1947">
          <cell r="A1947">
            <v>7.75</v>
          </cell>
          <cell r="B1947">
            <v>102.10899999999999</v>
          </cell>
          <cell r="C1947"/>
          <cell r="D1947">
            <v>102.10899999999999</v>
          </cell>
          <cell r="E1947"/>
          <cell r="F1947">
            <v>1.6900000000000002</v>
          </cell>
          <cell r="G1947"/>
          <cell r="H1947">
            <v>100.419</v>
          </cell>
          <cell r="I1947">
            <v>0</v>
          </cell>
          <cell r="J1947"/>
          <cell r="K1947">
            <v>100.419</v>
          </cell>
        </row>
        <row r="1948">
          <cell r="A1948">
            <v>7.625</v>
          </cell>
          <cell r="B1948">
            <v>101.80500000000001</v>
          </cell>
          <cell r="C1948"/>
          <cell r="D1948">
            <v>101.80500000000001</v>
          </cell>
          <cell r="E1948"/>
          <cell r="F1948">
            <v>1.6900000000000002</v>
          </cell>
          <cell r="G1948"/>
          <cell r="H1948">
            <v>100.11500000000001</v>
          </cell>
          <cell r="I1948">
            <v>0</v>
          </cell>
          <cell r="J1948"/>
          <cell r="K1948">
            <v>100.11500000000001</v>
          </cell>
        </row>
        <row r="1949">
          <cell r="A1949">
            <v>7.5</v>
          </cell>
          <cell r="B1949">
            <v>101.477</v>
          </cell>
          <cell r="C1949"/>
          <cell r="D1949">
            <v>101.477</v>
          </cell>
          <cell r="E1949"/>
          <cell r="F1949">
            <v>1.6900000000000002</v>
          </cell>
          <cell r="G1949"/>
          <cell r="H1949">
            <v>99.787000000000006</v>
          </cell>
          <cell r="I1949">
            <v>0</v>
          </cell>
          <cell r="J1949"/>
          <cell r="K1949">
            <v>99.787000000000006</v>
          </cell>
        </row>
        <row r="1950">
          <cell r="A1950">
            <v>7.375</v>
          </cell>
          <cell r="B1950">
            <v>101.125</v>
          </cell>
          <cell r="C1950"/>
          <cell r="D1950">
            <v>101.125</v>
          </cell>
          <cell r="E1950"/>
          <cell r="F1950">
            <v>1.6900000000000002</v>
          </cell>
          <cell r="G1950"/>
          <cell r="H1950">
            <v>99.435000000000002</v>
          </cell>
          <cell r="I1950">
            <v>0</v>
          </cell>
          <cell r="J1950"/>
          <cell r="K1950">
            <v>99.435000000000002</v>
          </cell>
        </row>
        <row r="1951">
          <cell r="A1951">
            <v>7.25</v>
          </cell>
          <cell r="B1951">
            <v>100.75</v>
          </cell>
          <cell r="C1951"/>
          <cell r="D1951">
            <v>100.75</v>
          </cell>
          <cell r="E1951"/>
          <cell r="F1951">
            <v>1.6900000000000002</v>
          </cell>
          <cell r="G1951"/>
          <cell r="H1951">
            <v>99.06</v>
          </cell>
          <cell r="I1951">
            <v>0</v>
          </cell>
          <cell r="J1951"/>
          <cell r="K1951">
            <v>99.06</v>
          </cell>
        </row>
        <row r="1952">
          <cell r="A1952">
            <v>7.125</v>
          </cell>
          <cell r="B1952">
            <v>100.375</v>
          </cell>
          <cell r="C1952"/>
          <cell r="D1952">
            <v>100.375</v>
          </cell>
          <cell r="E1952"/>
          <cell r="F1952">
            <v>1.6900000000000002</v>
          </cell>
          <cell r="G1952"/>
          <cell r="H1952">
            <v>98.685000000000002</v>
          </cell>
          <cell r="I1952">
            <v>0</v>
          </cell>
          <cell r="J1952"/>
          <cell r="K1952">
            <v>98.685000000000002</v>
          </cell>
        </row>
        <row r="1953">
          <cell r="A1953">
            <v>7</v>
          </cell>
          <cell r="B1953">
            <v>100</v>
          </cell>
          <cell r="C1953"/>
          <cell r="D1953">
            <v>100</v>
          </cell>
          <cell r="E1953"/>
          <cell r="F1953">
            <v>1.6900000000000002</v>
          </cell>
          <cell r="G1953"/>
          <cell r="H1953">
            <v>98.31</v>
          </cell>
          <cell r="I1953">
            <v>0</v>
          </cell>
          <cell r="J1953"/>
          <cell r="K1953">
            <v>98.31</v>
          </cell>
        </row>
        <row r="1954">
          <cell r="A1954">
            <v>6.875</v>
          </cell>
          <cell r="B1954">
            <v>99.625</v>
          </cell>
          <cell r="C1954"/>
          <cell r="D1954">
            <v>99.625</v>
          </cell>
          <cell r="E1954"/>
          <cell r="F1954">
            <v>1.6900000000000002</v>
          </cell>
          <cell r="G1954"/>
          <cell r="H1954">
            <v>97.935000000000002</v>
          </cell>
          <cell r="I1954">
            <v>0</v>
          </cell>
          <cell r="J1954"/>
          <cell r="K1954">
            <v>97.935000000000002</v>
          </cell>
        </row>
        <row r="1955">
          <cell r="A1955">
            <v>6.75</v>
          </cell>
          <cell r="B1955">
            <v>99.25</v>
          </cell>
          <cell r="C1955"/>
          <cell r="D1955">
            <v>99.25</v>
          </cell>
          <cell r="E1955"/>
          <cell r="F1955">
            <v>1.6900000000000002</v>
          </cell>
          <cell r="G1955"/>
          <cell r="H1955">
            <v>97.56</v>
          </cell>
          <cell r="I1955">
            <v>0</v>
          </cell>
          <cell r="J1955"/>
          <cell r="K1955">
            <v>97.56</v>
          </cell>
        </row>
        <row r="1956">
          <cell r="A1956">
            <v>6.625</v>
          </cell>
          <cell r="B1956">
            <v>98.875</v>
          </cell>
          <cell r="C1956"/>
          <cell r="D1956">
            <v>98.875</v>
          </cell>
          <cell r="E1956"/>
          <cell r="F1956">
            <v>1.6900000000000002</v>
          </cell>
          <cell r="G1956"/>
          <cell r="H1956">
            <v>97.185000000000002</v>
          </cell>
          <cell r="I1956">
            <v>0</v>
          </cell>
          <cell r="J1956"/>
          <cell r="K1956">
            <v>97.185000000000002</v>
          </cell>
        </row>
        <row r="1957">
          <cell r="A1957">
            <v>6.5</v>
          </cell>
          <cell r="B1957">
            <v>98.5</v>
          </cell>
          <cell r="C1957"/>
          <cell r="D1957">
            <v>98.5</v>
          </cell>
          <cell r="E1957"/>
          <cell r="F1957">
            <v>1.6900000000000002</v>
          </cell>
          <cell r="G1957"/>
          <cell r="H1957">
            <v>96.81</v>
          </cell>
          <cell r="I1957">
            <v>0</v>
          </cell>
          <cell r="J1957"/>
          <cell r="K1957">
            <v>96.81</v>
          </cell>
        </row>
        <row r="1958">
          <cell r="A1958">
            <v>6.375</v>
          </cell>
          <cell r="B1958">
            <v>98.125</v>
          </cell>
          <cell r="C1958"/>
          <cell r="D1958">
            <v>98.125</v>
          </cell>
          <cell r="E1958"/>
          <cell r="F1958">
            <v>1.6900000000000002</v>
          </cell>
          <cell r="G1958"/>
          <cell r="H1958">
            <v>96.435000000000002</v>
          </cell>
          <cell r="I1958">
            <v>0</v>
          </cell>
          <cell r="J1958"/>
          <cell r="K1958">
            <v>96.435000000000002</v>
          </cell>
        </row>
        <row r="1959">
          <cell r="A1959">
            <v>6.25</v>
          </cell>
          <cell r="B1959">
            <v>97.625</v>
          </cell>
          <cell r="C1959"/>
          <cell r="D1959">
            <v>97.625</v>
          </cell>
          <cell r="E1959"/>
          <cell r="F1959">
            <v>1.6900000000000002</v>
          </cell>
          <cell r="G1959"/>
          <cell r="H1959">
            <v>95.935000000000002</v>
          </cell>
          <cell r="I1959">
            <v>0</v>
          </cell>
          <cell r="J1959"/>
          <cell r="K1959">
            <v>95.935000000000002</v>
          </cell>
        </row>
        <row r="1960">
          <cell r="A1960">
            <v>6.125</v>
          </cell>
          <cell r="B1960">
            <v>97.125</v>
          </cell>
          <cell r="C1960"/>
          <cell r="D1960">
            <v>97.125</v>
          </cell>
          <cell r="E1960"/>
          <cell r="F1960">
            <v>1.6900000000000002</v>
          </cell>
          <cell r="G1960"/>
          <cell r="H1960">
            <v>95.435000000000002</v>
          </cell>
          <cell r="I1960">
            <v>0</v>
          </cell>
          <cell r="J1960"/>
          <cell r="K1960">
            <v>95.435000000000002</v>
          </cell>
        </row>
        <row r="1961">
          <cell r="A1961">
            <v>6</v>
          </cell>
          <cell r="B1961">
            <v>96.625</v>
          </cell>
          <cell r="C1961"/>
          <cell r="D1961">
            <v>96.625</v>
          </cell>
          <cell r="E1961"/>
          <cell r="F1961">
            <v>1.6900000000000002</v>
          </cell>
          <cell r="G1961"/>
          <cell r="H1961">
            <v>94.935000000000002</v>
          </cell>
          <cell r="I1961">
            <v>0</v>
          </cell>
          <cell r="J1961"/>
          <cell r="K1961">
            <v>94.935000000000002</v>
          </cell>
        </row>
        <row r="1962">
          <cell r="A1962">
            <v>5.875</v>
          </cell>
          <cell r="B1962">
            <v>96</v>
          </cell>
          <cell r="C1962"/>
          <cell r="D1962">
            <v>96</v>
          </cell>
          <cell r="E1962"/>
          <cell r="F1962">
            <v>1.6900000000000002</v>
          </cell>
          <cell r="G1962"/>
          <cell r="H1962">
            <v>94.31</v>
          </cell>
          <cell r="I1962">
            <v>0</v>
          </cell>
          <cell r="J1962"/>
          <cell r="K1962">
            <v>94.31</v>
          </cell>
        </row>
        <row r="1963">
          <cell r="A1963">
            <v>5.75</v>
          </cell>
          <cell r="B1963">
            <v>95.375</v>
          </cell>
          <cell r="C1963"/>
          <cell r="D1963">
            <v>95.375</v>
          </cell>
          <cell r="E1963"/>
          <cell r="F1963">
            <v>1.6900000000000002</v>
          </cell>
          <cell r="G1963"/>
          <cell r="H1963">
            <v>93.685000000000002</v>
          </cell>
          <cell r="I1963">
            <v>0</v>
          </cell>
          <cell r="J1963"/>
          <cell r="K1963">
            <v>93.685000000000002</v>
          </cell>
        </row>
        <row r="1964">
          <cell r="A1964"/>
          <cell r="B1964"/>
          <cell r="C1964"/>
          <cell r="D1964"/>
          <cell r="E1964"/>
          <cell r="F1964"/>
          <cell r="G1964"/>
          <cell r="H1964"/>
          <cell r="I1964"/>
          <cell r="J1964"/>
          <cell r="K1964"/>
        </row>
        <row r="1965">
          <cell r="A1965"/>
          <cell r="B1965"/>
          <cell r="C1965"/>
          <cell r="D1965"/>
          <cell r="E1965"/>
          <cell r="F1965"/>
          <cell r="G1965"/>
          <cell r="H1965"/>
          <cell r="I1965"/>
          <cell r="J1965"/>
          <cell r="K1965"/>
        </row>
        <row r="1966">
          <cell r="A1966"/>
          <cell r="B1966"/>
          <cell r="C1966"/>
          <cell r="D1966"/>
          <cell r="E1966"/>
          <cell r="F1966"/>
          <cell r="G1966"/>
          <cell r="H1966"/>
          <cell r="I1966"/>
          <cell r="J1966"/>
          <cell r="K1966"/>
        </row>
        <row r="1967">
          <cell r="A1967"/>
          <cell r="B1967"/>
          <cell r="C1967"/>
          <cell r="D1967"/>
          <cell r="E1967"/>
          <cell r="F1967"/>
          <cell r="G1967"/>
          <cell r="H1967"/>
          <cell r="I1967"/>
          <cell r="J1967"/>
          <cell r="K1967"/>
        </row>
        <row r="1968">
          <cell r="A1968"/>
          <cell r="B1968"/>
          <cell r="C1968"/>
          <cell r="D1968"/>
          <cell r="E1968"/>
          <cell r="F1968"/>
          <cell r="G1968"/>
          <cell r="H1968"/>
          <cell r="I1968"/>
          <cell r="J1968"/>
          <cell r="K1968"/>
        </row>
        <row r="1969">
          <cell r="A1969"/>
          <cell r="B1969"/>
          <cell r="C1969"/>
          <cell r="D1969"/>
          <cell r="E1969"/>
          <cell r="F1969"/>
          <cell r="G1969"/>
          <cell r="H1969"/>
          <cell r="I1969"/>
          <cell r="J1969"/>
          <cell r="K1969"/>
        </row>
        <row r="1970">
          <cell r="A1970"/>
          <cell r="B1970"/>
          <cell r="C1970"/>
          <cell r="D1970"/>
          <cell r="E1970"/>
          <cell r="F1970"/>
          <cell r="G1970"/>
          <cell r="H1970"/>
          <cell r="I1970"/>
          <cell r="J1970"/>
          <cell r="K1970"/>
        </row>
        <row r="1971">
          <cell r="A1971" t="str">
            <v>(1 YEAR PREPAYMENT PENATLY)- FIXED   - LINKED TO ARM</v>
          </cell>
          <cell r="B1971"/>
          <cell r="C1971"/>
          <cell r="D1971"/>
          <cell r="E1971"/>
          <cell r="F1971"/>
          <cell r="G1971"/>
          <cell r="H1971"/>
          <cell r="I1971" t="str">
            <v xml:space="preserve">Wholesale Rate Sheet </v>
          </cell>
          <cell r="J1971"/>
          <cell r="K1971"/>
        </row>
        <row r="1972">
          <cell r="A1972" t="str">
            <v>AIA30/1P1</v>
          </cell>
          <cell r="B1972" t="str">
            <v>AIA</v>
          </cell>
          <cell r="C1972"/>
          <cell r="D1972"/>
          <cell r="E1972"/>
          <cell r="F1972"/>
          <cell r="G1972"/>
          <cell r="H1972"/>
          <cell r="I1972" t="str">
            <v>West Region</v>
          </cell>
          <cell r="J1972"/>
          <cell r="K1972"/>
        </row>
        <row r="2005">
          <cell r="A2005">
            <v>7.875</v>
          </cell>
          <cell r="B2005">
            <v>104.664</v>
          </cell>
          <cell r="C2005">
            <v>0.55833102735023488</v>
          </cell>
          <cell r="D2005">
            <v>105.22233102735024</v>
          </cell>
          <cell r="E2005">
            <v>0.435</v>
          </cell>
          <cell r="F2005">
            <v>0.375</v>
          </cell>
          <cell r="G2005">
            <v>0</v>
          </cell>
          <cell r="H2005">
            <v>104.41233102735023</v>
          </cell>
          <cell r="I2005">
            <v>0</v>
          </cell>
          <cell r="J2005"/>
          <cell r="K2005">
            <v>104.41233102735023</v>
          </cell>
        </row>
        <row r="2006">
          <cell r="A2006">
            <v>7.75</v>
          </cell>
          <cell r="B2006">
            <v>104.309</v>
          </cell>
          <cell r="C2006">
            <v>0.60012653450037634</v>
          </cell>
          <cell r="D2006">
            <v>104.90912653450037</v>
          </cell>
          <cell r="E2006">
            <v>0.435</v>
          </cell>
          <cell r="F2006">
            <v>0.375</v>
          </cell>
          <cell r="G2006">
            <v>0</v>
          </cell>
          <cell r="H2006">
            <v>104.09912653450037</v>
          </cell>
          <cell r="I2006">
            <v>0</v>
          </cell>
          <cell r="J2006"/>
          <cell r="K2006">
            <v>104.09912653450037</v>
          </cell>
        </row>
        <row r="2007">
          <cell r="A2007">
            <v>7.625</v>
          </cell>
          <cell r="B2007">
            <v>105.054</v>
          </cell>
          <cell r="C2007">
            <v>0.65472031167613554</v>
          </cell>
          <cell r="D2007">
            <v>105.70872031167613</v>
          </cell>
          <cell r="E2007">
            <v>0.435</v>
          </cell>
          <cell r="F2007">
            <v>0.375</v>
          </cell>
          <cell r="G2007">
            <v>0</v>
          </cell>
          <cell r="H2007">
            <v>104.89872031167613</v>
          </cell>
          <cell r="I2007">
            <v>0</v>
          </cell>
          <cell r="J2007"/>
          <cell r="K2007">
            <v>104.89872031167613</v>
          </cell>
        </row>
        <row r="2008">
          <cell r="A2008">
            <v>7.5</v>
          </cell>
          <cell r="B2008">
            <v>104.78700000000001</v>
          </cell>
          <cell r="C2008">
            <v>0.71320601804099537</v>
          </cell>
          <cell r="D2008">
            <v>105.500206018041</v>
          </cell>
          <cell r="E2008">
            <v>0.435</v>
          </cell>
          <cell r="F2008">
            <v>0.375</v>
          </cell>
          <cell r="G2008">
            <v>0</v>
          </cell>
          <cell r="H2008">
            <v>104.690206018041</v>
          </cell>
          <cell r="I2008">
            <v>0</v>
          </cell>
          <cell r="J2008"/>
          <cell r="K2008">
            <v>104.690206018041</v>
          </cell>
        </row>
        <row r="2009">
          <cell r="A2009">
            <v>7.375</v>
          </cell>
          <cell r="B2009">
            <v>104.45699999999999</v>
          </cell>
          <cell r="C2009">
            <v>0.7747793530222602</v>
          </cell>
          <cell r="D2009">
            <v>105.23177935302225</v>
          </cell>
          <cell r="E2009">
            <v>0.435</v>
          </cell>
          <cell r="F2009">
            <v>0.375</v>
          </cell>
          <cell r="G2009">
            <v>0</v>
          </cell>
          <cell r="H2009">
            <v>104.42177935302225</v>
          </cell>
          <cell r="I2009">
            <v>0</v>
          </cell>
          <cell r="J2009"/>
          <cell r="K2009">
            <v>104.42177935302225</v>
          </cell>
        </row>
        <row r="2010">
          <cell r="A2010">
            <v>7.25</v>
          </cell>
          <cell r="B2010">
            <v>103.92400000000001</v>
          </cell>
          <cell r="C2010">
            <v>0.82822321807392485</v>
          </cell>
          <cell r="D2010">
            <v>104.75222321807394</v>
          </cell>
          <cell r="E2010">
            <v>0.435</v>
          </cell>
          <cell r="F2010">
            <v>0.375</v>
          </cell>
          <cell r="G2010">
            <v>0</v>
          </cell>
          <cell r="H2010">
            <v>103.94222321807393</v>
          </cell>
          <cell r="I2010">
            <v>0</v>
          </cell>
          <cell r="J2010"/>
          <cell r="K2010">
            <v>103.94222321807393</v>
          </cell>
        </row>
        <row r="2011">
          <cell r="A2011">
            <v>7.125</v>
          </cell>
          <cell r="B2011">
            <v>103.26300000000001</v>
          </cell>
          <cell r="C2011">
            <v>0.87863429865376697</v>
          </cell>
          <cell r="D2011">
            <v>104.14163429865377</v>
          </cell>
          <cell r="E2011">
            <v>0.435</v>
          </cell>
          <cell r="F2011">
            <v>0.375</v>
          </cell>
          <cell r="G2011">
            <v>0</v>
          </cell>
          <cell r="H2011">
            <v>103.33163429865377</v>
          </cell>
          <cell r="I2011">
            <v>0</v>
          </cell>
          <cell r="J2011"/>
          <cell r="K2011">
            <v>103.33163429865377</v>
          </cell>
        </row>
        <row r="2012">
          <cell r="A2012">
            <v>7</v>
          </cell>
          <cell r="B2012">
            <v>102.898</v>
          </cell>
          <cell r="C2012">
            <v>0.92941882148098509</v>
          </cell>
          <cell r="D2012">
            <v>103.82741882148098</v>
          </cell>
          <cell r="E2012">
            <v>0.435</v>
          </cell>
          <cell r="F2012">
            <v>0.375</v>
          </cell>
          <cell r="G2012">
            <v>0</v>
          </cell>
          <cell r="H2012">
            <v>103.01741882148097</v>
          </cell>
          <cell r="I2012">
            <v>0</v>
          </cell>
          <cell r="J2012"/>
          <cell r="K2012">
            <v>103.01741882148097</v>
          </cell>
        </row>
        <row r="2013">
          <cell r="A2013">
            <v>6.875</v>
          </cell>
          <cell r="B2013">
            <v>102.44</v>
          </cell>
          <cell r="C2013">
            <v>0.97963707029997038</v>
          </cell>
          <cell r="D2013">
            <v>103.41963707029997</v>
          </cell>
          <cell r="E2013">
            <v>0.435</v>
          </cell>
          <cell r="F2013">
            <v>0.375</v>
          </cell>
          <cell r="G2013">
            <v>0</v>
          </cell>
          <cell r="H2013">
            <v>102.60963707029997</v>
          </cell>
          <cell r="I2013">
            <v>0</v>
          </cell>
          <cell r="J2013"/>
          <cell r="K2013">
            <v>102.60963707029997</v>
          </cell>
        </row>
        <row r="2014">
          <cell r="A2014">
            <v>6.75</v>
          </cell>
          <cell r="B2014">
            <v>101.88800000000001</v>
          </cell>
          <cell r="C2014">
            <v>1.0280353823492594</v>
          </cell>
          <cell r="D2014">
            <v>102.91603538234926</v>
          </cell>
          <cell r="E2014">
            <v>0.435</v>
          </cell>
          <cell r="F2014">
            <v>0.375</v>
          </cell>
          <cell r="G2014">
            <v>0</v>
          </cell>
          <cell r="H2014">
            <v>102.10603538234926</v>
          </cell>
          <cell r="I2014">
            <v>0</v>
          </cell>
          <cell r="J2014"/>
          <cell r="K2014">
            <v>102.10603538234926</v>
          </cell>
        </row>
        <row r="2015">
          <cell r="A2015">
            <v>6.625</v>
          </cell>
          <cell r="B2015">
            <v>101.48099999999999</v>
          </cell>
          <cell r="C2015">
            <v>1.0731419487640863</v>
          </cell>
          <cell r="D2015">
            <v>102.55414194876408</v>
          </cell>
          <cell r="E2015">
            <v>0.435</v>
          </cell>
          <cell r="F2015">
            <v>0.375</v>
          </cell>
          <cell r="G2015">
            <v>0</v>
          </cell>
          <cell r="H2015">
            <v>101.74414194876408</v>
          </cell>
          <cell r="I2015">
            <v>0</v>
          </cell>
          <cell r="J2015"/>
          <cell r="K2015">
            <v>101.74414194876408</v>
          </cell>
        </row>
        <row r="2016">
          <cell r="A2016">
            <v>6.5</v>
          </cell>
          <cell r="B2016">
            <v>101.09699999999999</v>
          </cell>
          <cell r="C2016">
            <v>1.1135579725934197</v>
          </cell>
          <cell r="D2016">
            <v>102.21055797259342</v>
          </cell>
          <cell r="E2016">
            <v>0.435</v>
          </cell>
          <cell r="F2016">
            <v>0.375</v>
          </cell>
          <cell r="G2016">
            <v>0</v>
          </cell>
          <cell r="H2016">
            <v>101.40055797259342</v>
          </cell>
          <cell r="I2016">
            <v>0</v>
          </cell>
          <cell r="J2016"/>
          <cell r="K2016">
            <v>101.40055797259342</v>
          </cell>
        </row>
        <row r="2017">
          <cell r="A2017">
            <v>6.375</v>
          </cell>
          <cell r="B2017">
            <v>100.57299999999999</v>
          </cell>
          <cell r="C2017">
            <v>1.1475731089140164</v>
          </cell>
          <cell r="D2017">
            <v>101.72057310891401</v>
          </cell>
          <cell r="E2017">
            <v>0.435</v>
          </cell>
          <cell r="F2017">
            <v>0.375</v>
          </cell>
          <cell r="G2017">
            <v>0</v>
          </cell>
          <cell r="H2017">
            <v>100.91057310891401</v>
          </cell>
          <cell r="I2017">
            <v>0</v>
          </cell>
          <cell r="J2017"/>
          <cell r="K2017">
            <v>100.91057310891401</v>
          </cell>
        </row>
        <row r="2018">
          <cell r="A2018">
            <v>6.25</v>
          </cell>
          <cell r="B2018">
            <v>99.998999999999995</v>
          </cell>
          <cell r="C2018">
            <v>1.1739341544104718</v>
          </cell>
          <cell r="D2018">
            <v>101.17293415441047</v>
          </cell>
          <cell r="E2018">
            <v>0.435</v>
          </cell>
          <cell r="F2018">
            <v>0.375</v>
          </cell>
          <cell r="G2018">
            <v>0</v>
          </cell>
          <cell r="H2018">
            <v>100.36293415441047</v>
          </cell>
          <cell r="I2018">
            <v>0</v>
          </cell>
          <cell r="J2018"/>
          <cell r="K2018">
            <v>100.36293415441047</v>
          </cell>
        </row>
        <row r="2019">
          <cell r="A2019">
            <v>6.125</v>
          </cell>
          <cell r="B2019">
            <v>99.492000000000004</v>
          </cell>
          <cell r="C2019">
            <v>1.1914619382646172</v>
          </cell>
          <cell r="D2019">
            <v>100.68346193826463</v>
          </cell>
          <cell r="E2019">
            <v>0.435</v>
          </cell>
          <cell r="F2019">
            <v>0.27500000000000002</v>
          </cell>
          <cell r="G2019">
            <v>0</v>
          </cell>
          <cell r="H2019">
            <v>99.97346193826462</v>
          </cell>
          <cell r="I2019">
            <v>0</v>
          </cell>
          <cell r="J2019"/>
          <cell r="K2019">
            <v>99.97346193826462</v>
          </cell>
        </row>
        <row r="2020">
          <cell r="A2020">
            <v>6</v>
          </cell>
          <cell r="B2020">
            <v>98.905000000000001</v>
          </cell>
          <cell r="C2020">
            <v>1.2261032992851351</v>
          </cell>
          <cell r="D2020">
            <v>100.13110329928513</v>
          </cell>
          <cell r="E2020">
            <v>0.435</v>
          </cell>
          <cell r="F2020">
            <v>0.375</v>
          </cell>
          <cell r="G2020">
            <v>0</v>
          </cell>
          <cell r="H2020">
            <v>99.321103299285127</v>
          </cell>
          <cell r="I2020">
            <v>0</v>
          </cell>
          <cell r="J2020"/>
          <cell r="K2020">
            <v>99.321103299285127</v>
          </cell>
        </row>
        <row r="2021">
          <cell r="A2021">
            <v>5.875</v>
          </cell>
          <cell r="B2021">
            <v>98.394999999999996</v>
          </cell>
          <cell r="C2021">
            <v>1.2582542829647416</v>
          </cell>
          <cell r="D2021">
            <v>99.653254282964738</v>
          </cell>
          <cell r="E2021">
            <v>0.435</v>
          </cell>
          <cell r="F2021">
            <v>0.375</v>
          </cell>
          <cell r="G2021">
            <v>0</v>
          </cell>
          <cell r="H2021">
            <v>98.843254282964736</v>
          </cell>
          <cell r="I2021">
            <v>0</v>
          </cell>
          <cell r="J2021"/>
          <cell r="K2021">
            <v>98.843254282964736</v>
          </cell>
        </row>
        <row r="2022">
          <cell r="A2022">
            <v>5.75</v>
          </cell>
          <cell r="B2022">
            <v>97.813000000000002</v>
          </cell>
          <cell r="C2022">
            <v>1.2874604346057832</v>
          </cell>
          <cell r="D2022">
            <v>99.100460434605779</v>
          </cell>
          <cell r="E2022">
            <v>0.435</v>
          </cell>
          <cell r="F2022">
            <v>0.375</v>
          </cell>
          <cell r="G2022">
            <v>0</v>
          </cell>
          <cell r="H2022">
            <v>98.290460434605777</v>
          </cell>
          <cell r="I2022">
            <v>0</v>
          </cell>
          <cell r="J2022"/>
          <cell r="K2022">
            <v>98.290460434605777</v>
          </cell>
        </row>
        <row r="2023">
          <cell r="A2023">
            <v>5.625</v>
          </cell>
          <cell r="B2023">
            <v>97.117000000000004</v>
          </cell>
          <cell r="C2023">
            <v>1.3103523159702306</v>
          </cell>
          <cell r="D2023">
            <v>98.427352315970239</v>
          </cell>
          <cell r="E2023">
            <v>0.435</v>
          </cell>
          <cell r="F2023">
            <v>0.375</v>
          </cell>
          <cell r="G2023">
            <v>0</v>
          </cell>
          <cell r="H2023">
            <v>97.617352315970237</v>
          </cell>
          <cell r="I2023">
            <v>0</v>
          </cell>
          <cell r="J2023"/>
          <cell r="K2023">
            <v>97.617352315970237</v>
          </cell>
        </row>
        <row r="2024">
          <cell r="A2024">
            <v>5.5</v>
          </cell>
          <cell r="B2024">
            <v>96.51</v>
          </cell>
          <cell r="C2024">
            <v>1.332099769761613</v>
          </cell>
          <cell r="D2024">
            <v>97.842099769761617</v>
          </cell>
          <cell r="E2024">
            <v>0.435</v>
          </cell>
          <cell r="F2024">
            <v>0.375</v>
          </cell>
          <cell r="G2024">
            <v>0</v>
          </cell>
          <cell r="H2024">
            <v>97.032099769761615</v>
          </cell>
          <cell r="I2024">
            <v>0</v>
          </cell>
          <cell r="J2024"/>
          <cell r="K2024">
            <v>97.032099769761615</v>
          </cell>
        </row>
        <row r="2025">
          <cell r="A2025">
            <v>5.375</v>
          </cell>
          <cell r="B2025">
            <v>95.917000000000002</v>
          </cell>
          <cell r="C2025">
            <v>1.349396508770641</v>
          </cell>
          <cell r="D2025">
            <v>97.26639650877064</v>
          </cell>
          <cell r="E2025">
            <v>0.435</v>
          </cell>
          <cell r="F2025">
            <v>0.375</v>
          </cell>
          <cell r="G2025">
            <v>0</v>
          </cell>
          <cell r="H2025">
            <v>96.456396508770638</v>
          </cell>
          <cell r="I2025">
            <v>0</v>
          </cell>
          <cell r="J2025"/>
          <cell r="K2025">
            <v>96.456396508770638</v>
          </cell>
        </row>
        <row r="2026">
          <cell r="A2026">
            <v>5.25</v>
          </cell>
          <cell r="B2026">
            <v>95.146000000000001</v>
          </cell>
          <cell r="C2026">
            <v>1.3619320322486328</v>
          </cell>
          <cell r="D2026">
            <v>96.507932032248632</v>
          </cell>
          <cell r="E2026">
            <v>0.435</v>
          </cell>
          <cell r="F2026">
            <v>0.375</v>
          </cell>
          <cell r="G2026">
            <v>0</v>
          </cell>
          <cell r="H2026">
            <v>95.69793203224863</v>
          </cell>
          <cell r="I2026">
            <v>0</v>
          </cell>
          <cell r="J2026"/>
          <cell r="K2026">
            <v>95.69793203224863</v>
          </cell>
        </row>
        <row r="2027">
          <cell r="A2027">
            <v>5.125</v>
          </cell>
          <cell r="B2027">
            <v>95.129000000000005</v>
          </cell>
          <cell r="C2027">
            <v>1.3719680144753188</v>
          </cell>
          <cell r="D2027">
            <v>96.500968014475319</v>
          </cell>
          <cell r="E2027">
            <v>0.435</v>
          </cell>
          <cell r="F2027">
            <v>0.375</v>
          </cell>
          <cell r="G2027">
            <v>0</v>
          </cell>
          <cell r="H2027">
            <v>95.690968014475317</v>
          </cell>
          <cell r="I2027">
            <v>0</v>
          </cell>
          <cell r="J2027"/>
          <cell r="K2027">
            <v>95.690968014475317</v>
          </cell>
        </row>
        <row r="2028">
          <cell r="A2028">
            <v>5</v>
          </cell>
          <cell r="B2028">
            <v>94.415999999999997</v>
          </cell>
          <cell r="C2028">
            <v>1.3849446652924806</v>
          </cell>
          <cell r="D2028">
            <v>95.800944665292477</v>
          </cell>
          <cell r="E2028">
            <v>0.435</v>
          </cell>
          <cell r="F2028">
            <v>0.375</v>
          </cell>
          <cell r="G2028">
            <v>0</v>
          </cell>
          <cell r="H2028">
            <v>94.990944665292474</v>
          </cell>
          <cell r="I2028">
            <v>0</v>
          </cell>
          <cell r="J2028"/>
          <cell r="K2028">
            <v>94.990944665292474</v>
          </cell>
        </row>
        <row r="2029">
          <cell r="A2029">
            <v>4.875</v>
          </cell>
          <cell r="B2029">
            <v>93.64</v>
          </cell>
          <cell r="C2029">
            <v>1.3980988298836645</v>
          </cell>
          <cell r="D2029">
            <v>95.038098829883666</v>
          </cell>
          <cell r="E2029">
            <v>0.435</v>
          </cell>
          <cell r="F2029">
            <v>0.375</v>
          </cell>
          <cell r="G2029">
            <v>0</v>
          </cell>
          <cell r="H2029">
            <v>94.228098829883663</v>
          </cell>
          <cell r="I2029">
            <v>0</v>
          </cell>
          <cell r="J2029"/>
          <cell r="K2029">
            <v>94.228098829883663</v>
          </cell>
        </row>
        <row r="2030">
          <cell r="A2030">
            <v>4.75</v>
          </cell>
          <cell r="B2030">
            <v>92.762</v>
          </cell>
          <cell r="C2030">
            <v>1.4114225825536417</v>
          </cell>
          <cell r="D2030">
            <v>94.173422582553641</v>
          </cell>
          <cell r="E2030">
            <v>0.435</v>
          </cell>
          <cell r="F2030">
            <v>0.375</v>
          </cell>
          <cell r="G2030">
            <v>0</v>
          </cell>
          <cell r="H2030">
            <v>93.363422582553639</v>
          </cell>
          <cell r="I2030">
            <v>0</v>
          </cell>
          <cell r="J2030"/>
          <cell r="K2030">
            <v>93.363422582553639</v>
          </cell>
        </row>
        <row r="2034">
          <cell r="A2034">
            <v>7.75</v>
          </cell>
          <cell r="B2034">
            <v>101.77809999999999</v>
          </cell>
          <cell r="C2034">
            <v>0.6236258818925321</v>
          </cell>
          <cell r="D2034">
            <v>102.40172588189253</v>
          </cell>
          <cell r="E2034">
            <v>0.61</v>
          </cell>
          <cell r="F2034">
            <v>-0.59708333333332952</v>
          </cell>
          <cell r="G2034">
            <v>0</v>
          </cell>
          <cell r="H2034">
            <v>102.38880921522586</v>
          </cell>
          <cell r="I2034">
            <v>0</v>
          </cell>
          <cell r="J2034"/>
          <cell r="K2034">
            <v>102.38880921522586</v>
          </cell>
        </row>
        <row r="2035">
          <cell r="A2035">
            <v>7.625</v>
          </cell>
          <cell r="B2035">
            <v>101.90689999999999</v>
          </cell>
          <cell r="C2035">
            <v>0.67488455781423251</v>
          </cell>
          <cell r="D2035">
            <v>102.58178455781423</v>
          </cell>
          <cell r="E2035">
            <v>0.61</v>
          </cell>
          <cell r="F2035">
            <v>-0.30499999999999883</v>
          </cell>
          <cell r="G2035">
            <v>0</v>
          </cell>
          <cell r="H2035">
            <v>102.27678455781422</v>
          </cell>
          <cell r="I2035">
            <v>0</v>
          </cell>
          <cell r="J2035"/>
          <cell r="K2035">
            <v>102.27678455781422</v>
          </cell>
        </row>
        <row r="2036">
          <cell r="A2036">
            <v>7.5</v>
          </cell>
          <cell r="B2036">
            <v>101.70059999999999</v>
          </cell>
          <cell r="C2036">
            <v>0.72379037117104539</v>
          </cell>
          <cell r="D2036">
            <v>102.42439037117104</v>
          </cell>
          <cell r="E2036">
            <v>0.61</v>
          </cell>
          <cell r="F2036">
            <v>-0.27249999999999763</v>
          </cell>
          <cell r="G2036">
            <v>0</v>
          </cell>
          <cell r="H2036">
            <v>102.08689037117104</v>
          </cell>
          <cell r="I2036">
            <v>0</v>
          </cell>
          <cell r="J2036"/>
          <cell r="K2036">
            <v>102.08689037117104</v>
          </cell>
        </row>
        <row r="2037">
          <cell r="A2037">
            <v>7.375</v>
          </cell>
          <cell r="B2037">
            <v>101.4806</v>
          </cell>
          <cell r="C2037">
            <v>0.77368308706149624</v>
          </cell>
          <cell r="D2037">
            <v>102.25428308706149</v>
          </cell>
          <cell r="E2037">
            <v>0.61</v>
          </cell>
          <cell r="F2037">
            <v>-0.32708333333333106</v>
          </cell>
          <cell r="G2037">
            <v>0</v>
          </cell>
          <cell r="H2037">
            <v>101.97136642039483</v>
          </cell>
          <cell r="I2037">
            <v>0</v>
          </cell>
          <cell r="J2037"/>
          <cell r="K2037">
            <v>101.97136642039483</v>
          </cell>
        </row>
        <row r="2038">
          <cell r="A2038">
            <v>7.25</v>
          </cell>
          <cell r="B2038">
            <v>101.3781</v>
          </cell>
          <cell r="C2038">
            <v>0.82360853900415887</v>
          </cell>
          <cell r="D2038">
            <v>102.20170853900416</v>
          </cell>
          <cell r="E2038">
            <v>0.61</v>
          </cell>
          <cell r="F2038">
            <v>-0.32041666666666802</v>
          </cell>
          <cell r="G2038">
            <v>0</v>
          </cell>
          <cell r="H2038">
            <v>101.91212520567083</v>
          </cell>
          <cell r="I2038">
            <v>0</v>
          </cell>
          <cell r="J2038"/>
          <cell r="K2038">
            <v>101.91212520567083</v>
          </cell>
        </row>
        <row r="2039">
          <cell r="A2039">
            <v>7.125</v>
          </cell>
          <cell r="B2039">
            <v>101.40089999999999</v>
          </cell>
          <cell r="C2039">
            <v>0.87236164847436104</v>
          </cell>
          <cell r="D2039">
            <v>102.27326164847436</v>
          </cell>
          <cell r="E2039">
            <v>0.61</v>
          </cell>
          <cell r="F2039">
            <v>7.9166666666639074E-3</v>
          </cell>
          <cell r="G2039">
            <v>0</v>
          </cell>
          <cell r="H2039">
            <v>101.6553449818077</v>
          </cell>
          <cell r="I2039">
            <v>0</v>
          </cell>
          <cell r="J2039"/>
          <cell r="K2039">
            <v>101.6553449818077</v>
          </cell>
        </row>
        <row r="2040">
          <cell r="A2040">
            <v>7</v>
          </cell>
          <cell r="B2040">
            <v>101.1397</v>
          </cell>
          <cell r="C2040">
            <v>0.91849551950415798</v>
          </cell>
          <cell r="D2040">
            <v>102.05819551950417</v>
          </cell>
          <cell r="E2040">
            <v>0.61</v>
          </cell>
          <cell r="F2040">
            <v>2.1666666666664391E-2</v>
          </cell>
          <cell r="G2040">
            <v>0</v>
          </cell>
          <cell r="H2040">
            <v>101.42652885283751</v>
          </cell>
          <cell r="I2040">
            <v>0</v>
          </cell>
          <cell r="J2040"/>
          <cell r="K2040">
            <v>101.42652885283751</v>
          </cell>
        </row>
        <row r="2041">
          <cell r="A2041">
            <v>6.875</v>
          </cell>
          <cell r="B2041">
            <v>100.8734</v>
          </cell>
          <cell r="C2041">
            <v>0.96037016523299634</v>
          </cell>
          <cell r="D2041">
            <v>101.83377016523301</v>
          </cell>
          <cell r="E2041">
            <v>0.61</v>
          </cell>
          <cell r="F2041">
            <v>-0.21333333333333504</v>
          </cell>
          <cell r="G2041">
            <v>0</v>
          </cell>
          <cell r="H2041">
            <v>101.43710349856634</v>
          </cell>
          <cell r="I2041">
            <v>0</v>
          </cell>
          <cell r="J2041"/>
          <cell r="K2041">
            <v>101.43710349856634</v>
          </cell>
        </row>
        <row r="2042">
          <cell r="A2042">
            <v>6.75</v>
          </cell>
          <cell r="B2042">
            <v>100.54219999999999</v>
          </cell>
          <cell r="C2042">
            <v>0.99628142024958177</v>
          </cell>
          <cell r="D2042">
            <v>101.53848142024958</v>
          </cell>
          <cell r="E2042">
            <v>0.61</v>
          </cell>
          <cell r="F2042">
            <v>-0.21333333333333504</v>
          </cell>
          <cell r="G2042">
            <v>0</v>
          </cell>
          <cell r="H2042">
            <v>101.14181475358292</v>
          </cell>
          <cell r="I2042">
            <v>0</v>
          </cell>
          <cell r="J2042"/>
          <cell r="K2042">
            <v>101.14181475358292</v>
          </cell>
        </row>
        <row r="2043">
          <cell r="A2043">
            <v>6.625</v>
          </cell>
          <cell r="B2043">
            <v>100.27970000000001</v>
          </cell>
          <cell r="C2043">
            <v>1.0245887605036648</v>
          </cell>
          <cell r="D2043">
            <v>101.30428876050367</v>
          </cell>
          <cell r="E2043">
            <v>0.61</v>
          </cell>
          <cell r="F2043">
            <v>-6.6666666666666707E-2</v>
          </cell>
          <cell r="G2043">
            <v>0</v>
          </cell>
          <cell r="H2043">
            <v>100.76095542717033</v>
          </cell>
          <cell r="I2043">
            <v>0</v>
          </cell>
          <cell r="J2043"/>
          <cell r="K2043">
            <v>100.76095542717033</v>
          </cell>
        </row>
        <row r="2044">
          <cell r="A2044">
            <v>6.5</v>
          </cell>
          <cell r="B2044">
            <v>99.948400000000007</v>
          </cell>
          <cell r="C2044">
            <v>1.0438653664088597</v>
          </cell>
          <cell r="D2044">
            <v>100.99226536640887</v>
          </cell>
          <cell r="E2044">
            <v>0.61</v>
          </cell>
          <cell r="F2044">
            <v>-0.191249999999998</v>
          </cell>
          <cell r="G2044">
            <v>0</v>
          </cell>
          <cell r="H2044">
            <v>100.57351536640887</v>
          </cell>
          <cell r="I2044">
            <v>0</v>
          </cell>
          <cell r="J2044"/>
          <cell r="K2044">
            <v>100.57351536640887</v>
          </cell>
        </row>
        <row r="2045">
          <cell r="A2045">
            <v>6.375</v>
          </cell>
          <cell r="B2045">
            <v>99.542199999999994</v>
          </cell>
          <cell r="C2045">
            <v>1.0813957336768123</v>
          </cell>
          <cell r="D2045">
            <v>100.62359573367681</v>
          </cell>
          <cell r="E2045">
            <v>0.61</v>
          </cell>
          <cell r="F2045">
            <v>-0.26624999999999799</v>
          </cell>
          <cell r="G2045">
            <v>0</v>
          </cell>
          <cell r="H2045">
            <v>100.27984573367681</v>
          </cell>
          <cell r="I2045">
            <v>0</v>
          </cell>
          <cell r="J2045"/>
          <cell r="K2045">
            <v>100.27984573367681</v>
          </cell>
        </row>
        <row r="2046">
          <cell r="A2046">
            <v>6.25</v>
          </cell>
          <cell r="B2046">
            <v>99.098399999999998</v>
          </cell>
          <cell r="C2046">
            <v>1.11673163637932</v>
          </cell>
          <cell r="D2046">
            <v>100.21513163637931</v>
          </cell>
          <cell r="E2046">
            <v>0.61</v>
          </cell>
          <cell r="F2046">
            <v>-0.31666666666666665</v>
          </cell>
          <cell r="G2046">
            <v>0</v>
          </cell>
          <cell r="H2046">
            <v>99.921798303045975</v>
          </cell>
          <cell r="I2046">
            <v>0</v>
          </cell>
          <cell r="J2046"/>
          <cell r="K2046">
            <v>99.921798303045975</v>
          </cell>
        </row>
        <row r="2047">
          <cell r="A2047">
            <v>6.125</v>
          </cell>
          <cell r="B2047">
            <v>99.297499999999999</v>
          </cell>
          <cell r="C2047">
            <v>1.1492095706938446</v>
          </cell>
          <cell r="D2047">
            <v>100.44670957069384</v>
          </cell>
          <cell r="E2047">
            <v>0.61</v>
          </cell>
          <cell r="F2047">
            <v>0.49791666666666673</v>
          </cell>
          <cell r="G2047">
            <v>0</v>
          </cell>
          <cell r="H2047">
            <v>99.338792904027173</v>
          </cell>
          <cell r="I2047">
            <v>0</v>
          </cell>
          <cell r="J2047"/>
          <cell r="K2047">
            <v>99.338792904027173</v>
          </cell>
        </row>
        <row r="2048">
          <cell r="A2048">
            <v>6</v>
          </cell>
          <cell r="B2048">
            <v>98.842500000000001</v>
          </cell>
          <cell r="C2048">
            <v>1.175188528653438</v>
          </cell>
          <cell r="D2048">
            <v>100.01768852865344</v>
          </cell>
          <cell r="E2048">
            <v>0.61</v>
          </cell>
          <cell r="F2048">
            <v>0.4483333333333353</v>
          </cell>
          <cell r="G2048">
            <v>0</v>
          </cell>
          <cell r="H2048">
            <v>98.9593551953201</v>
          </cell>
          <cell r="I2048">
            <v>0</v>
          </cell>
          <cell r="J2048"/>
          <cell r="K2048">
            <v>98.9593551953201</v>
          </cell>
        </row>
        <row r="2049">
          <cell r="A2049">
            <v>5.875</v>
          </cell>
          <cell r="B2049">
            <v>98.367500000000007</v>
          </cell>
          <cell r="C2049">
            <v>1.2001075198788873</v>
          </cell>
          <cell r="D2049">
            <v>99.567607519878891</v>
          </cell>
          <cell r="E2049">
            <v>0.61</v>
          </cell>
          <cell r="F2049">
            <v>0.44791666666666669</v>
          </cell>
          <cell r="G2049">
            <v>0</v>
          </cell>
          <cell r="H2049">
            <v>98.50969085321222</v>
          </cell>
          <cell r="I2049">
            <v>0</v>
          </cell>
          <cell r="J2049"/>
          <cell r="K2049">
            <v>98.50969085321222</v>
          </cell>
        </row>
        <row r="2050">
          <cell r="A2050">
            <v>5.75</v>
          </cell>
          <cell r="B2050">
            <v>97.85</v>
          </cell>
          <cell r="C2050">
            <v>1.220373990714686</v>
          </cell>
          <cell r="D2050">
            <v>99.070373990714685</v>
          </cell>
          <cell r="E2050">
            <v>0.61</v>
          </cell>
          <cell r="F2050">
            <v>0.4483333333333353</v>
          </cell>
          <cell r="G2050">
            <v>0</v>
          </cell>
          <cell r="H2050">
            <v>98.012040657381348</v>
          </cell>
          <cell r="I2050">
            <v>0</v>
          </cell>
          <cell r="J2050"/>
          <cell r="K2050">
            <v>98.012040657381348</v>
          </cell>
        </row>
        <row r="2051">
          <cell r="A2051">
            <v>5.625</v>
          </cell>
          <cell r="B2051">
            <v>97.292500000000004</v>
          </cell>
          <cell r="C2051">
            <v>1.2354980652420697</v>
          </cell>
          <cell r="D2051">
            <v>98.527998065242073</v>
          </cell>
          <cell r="E2051">
            <v>0.61</v>
          </cell>
          <cell r="F2051">
            <v>0.40208333333333357</v>
          </cell>
          <cell r="G2051">
            <v>0</v>
          </cell>
          <cell r="H2051">
            <v>97.515914731908737</v>
          </cell>
          <cell r="I2051">
            <v>0</v>
          </cell>
          <cell r="J2051"/>
          <cell r="K2051">
            <v>97.515914731908737</v>
          </cell>
        </row>
        <row r="2052">
          <cell r="A2052">
            <v>5.5</v>
          </cell>
          <cell r="B2052">
            <v>96.7</v>
          </cell>
          <cell r="C2052">
            <v>1.2479906782557784</v>
          </cell>
          <cell r="D2052">
            <v>97.947990678255778</v>
          </cell>
          <cell r="E2052">
            <v>0.61</v>
          </cell>
          <cell r="F2052">
            <v>0.40083333333333349</v>
          </cell>
          <cell r="G2052">
            <v>0</v>
          </cell>
          <cell r="H2052">
            <v>96.93715734492244</v>
          </cell>
          <cell r="I2052">
            <v>0</v>
          </cell>
          <cell r="J2052"/>
          <cell r="K2052">
            <v>96.93715734492244</v>
          </cell>
        </row>
        <row r="2053">
          <cell r="A2053">
            <v>5.375</v>
          </cell>
          <cell r="B2053">
            <v>96.072500000000005</v>
          </cell>
          <cell r="C2053">
            <v>1.2637998095544902</v>
          </cell>
          <cell r="D2053">
            <v>97.33629980955449</v>
          </cell>
          <cell r="E2053">
            <v>0.61</v>
          </cell>
          <cell r="F2053">
            <v>0.39958333333333346</v>
          </cell>
          <cell r="G2053">
            <v>0</v>
          </cell>
          <cell r="H2053">
            <v>96.326716476221151</v>
          </cell>
          <cell r="I2053">
            <v>0</v>
          </cell>
          <cell r="J2053"/>
          <cell r="K2053">
            <v>96.326716476221151</v>
          </cell>
        </row>
        <row r="2054">
          <cell r="A2054">
            <v>5.25</v>
          </cell>
          <cell r="B2054">
            <v>95.41</v>
          </cell>
          <cell r="C2054">
            <v>1.2799496190579389</v>
          </cell>
          <cell r="D2054">
            <v>96.689949619057941</v>
          </cell>
          <cell r="E2054">
            <v>0.61</v>
          </cell>
          <cell r="F2054">
            <v>0.44791666666666669</v>
          </cell>
          <cell r="G2054">
            <v>0</v>
          </cell>
          <cell r="H2054">
            <v>95.63203295239127</v>
          </cell>
          <cell r="I2054">
            <v>0</v>
          </cell>
          <cell r="J2054"/>
          <cell r="K2054">
            <v>95.63203295239127</v>
          </cell>
        </row>
        <row r="2055">
          <cell r="A2055">
            <v>5.125</v>
          </cell>
          <cell r="B2055">
            <v>93.691199999999995</v>
          </cell>
          <cell r="C2055">
            <v>1.2964498662264292</v>
          </cell>
          <cell r="D2055">
            <v>94.98764986622642</v>
          </cell>
          <cell r="E2055">
            <v>0.61</v>
          </cell>
          <cell r="F2055">
            <v>-0.35208333333333408</v>
          </cell>
          <cell r="G2055">
            <v>0</v>
          </cell>
          <cell r="H2055">
            <v>94.72973319955976</v>
          </cell>
          <cell r="I2055">
            <v>0</v>
          </cell>
          <cell r="J2055"/>
          <cell r="K2055">
            <v>94.72973319955976</v>
          </cell>
        </row>
        <row r="2056">
          <cell r="A2056">
            <v>5</v>
          </cell>
          <cell r="B2056">
            <v>93.026200000000003</v>
          </cell>
          <cell r="C2056">
            <v>1.3104616881792834</v>
          </cell>
          <cell r="D2056">
            <v>94.336661688179291</v>
          </cell>
          <cell r="E2056">
            <v>0.61</v>
          </cell>
          <cell r="F2056">
            <v>-0.35749999999999704</v>
          </cell>
          <cell r="G2056">
            <v>0</v>
          </cell>
          <cell r="H2056">
            <v>94.084161688179293</v>
          </cell>
          <cell r="I2056">
            <v>0</v>
          </cell>
          <cell r="J2056"/>
          <cell r="K2056">
            <v>94.084161688179293</v>
          </cell>
        </row>
        <row r="2057">
          <cell r="A2057">
            <v>4.875</v>
          </cell>
          <cell r="B2057">
            <v>92.334999999999994</v>
          </cell>
          <cell r="C2057">
            <v>1.3211709877456339</v>
          </cell>
          <cell r="D2057">
            <v>93.656170987745625</v>
          </cell>
          <cell r="E2057">
            <v>0.61</v>
          </cell>
          <cell r="F2057">
            <v>-0.85916666666666575</v>
          </cell>
          <cell r="G2057">
            <v>0</v>
          </cell>
          <cell r="H2057">
            <v>93.905337654412293</v>
          </cell>
          <cell r="I2057">
            <v>0</v>
          </cell>
          <cell r="J2057"/>
          <cell r="K2057">
            <v>93.905337654412293</v>
          </cell>
        </row>
        <row r="2058">
          <cell r="A2058">
            <v>4.75</v>
          </cell>
          <cell r="B2058">
            <v>91.643699999999995</v>
          </cell>
          <cell r="C2058">
            <v>1.3320028590489337</v>
          </cell>
          <cell r="D2058">
            <v>92.975702859048923</v>
          </cell>
          <cell r="E2058">
            <v>0.61</v>
          </cell>
          <cell r="F2058">
            <v>-0.79833333333333201</v>
          </cell>
          <cell r="G2058">
            <v>0</v>
          </cell>
          <cell r="H2058">
            <v>93.164036192382255</v>
          </cell>
          <cell r="I2058">
            <v>0</v>
          </cell>
          <cell r="J2058"/>
          <cell r="K2058">
            <v>93.164036192382255</v>
          </cell>
        </row>
        <row r="2059">
          <cell r="A2059">
            <v>4.625</v>
          </cell>
          <cell r="B2059" t="e">
            <v>#N/A</v>
          </cell>
          <cell r="C2059">
            <v>1.342972912843351</v>
          </cell>
          <cell r="D2059" t="e">
            <v>#N/A</v>
          </cell>
          <cell r="E2059">
            <v>0.61</v>
          </cell>
          <cell r="F2059">
            <v>-5.2083333333333336E-2</v>
          </cell>
          <cell r="G2059">
            <v>0</v>
          </cell>
          <cell r="H2059" t="e">
            <v>#N/A</v>
          </cell>
          <cell r="I2059">
            <v>0</v>
          </cell>
          <cell r="J2059"/>
          <cell r="K2059" t="e">
            <v>#N/A</v>
          </cell>
        </row>
        <row r="2211">
          <cell r="A2211">
            <v>7.875</v>
          </cell>
          <cell r="B2211">
            <v>101.801</v>
          </cell>
          <cell r="C2211">
            <v>0.56535660196418347</v>
          </cell>
          <cell r="D2211">
            <v>102.36635660196418</v>
          </cell>
          <cell r="E2211">
            <v>0.61</v>
          </cell>
          <cell r="F2211">
            <v>-0.71083333333333487</v>
          </cell>
          <cell r="G2211">
            <v>0</v>
          </cell>
          <cell r="H2211">
            <v>102.46718993529753</v>
          </cell>
          <cell r="I2211">
            <v>0</v>
          </cell>
          <cell r="J2211"/>
          <cell r="K2211">
            <v>102.46718993529753</v>
          </cell>
        </row>
        <row r="2212">
          <cell r="A2212">
            <v>7.75</v>
          </cell>
          <cell r="B2212">
            <v>101.471</v>
          </cell>
          <cell r="C2212">
            <v>0.6236258818925321</v>
          </cell>
          <cell r="D2212">
            <v>102.09462588189254</v>
          </cell>
          <cell r="E2212">
            <v>0.61</v>
          </cell>
          <cell r="F2212">
            <v>-0.59708333333332952</v>
          </cell>
          <cell r="G2212">
            <v>0</v>
          </cell>
          <cell r="H2212">
            <v>102.08170921522587</v>
          </cell>
          <cell r="I2212">
            <v>0</v>
          </cell>
          <cell r="J2212"/>
          <cell r="K2212">
            <v>102.08170921522587</v>
          </cell>
        </row>
        <row r="2213">
          <cell r="A2213">
            <v>7.625</v>
          </cell>
          <cell r="B2213">
            <v>102.154</v>
          </cell>
          <cell r="C2213">
            <v>0.67488455781423251</v>
          </cell>
          <cell r="D2213">
            <v>102.82888455781423</v>
          </cell>
          <cell r="E2213">
            <v>0.61</v>
          </cell>
          <cell r="F2213">
            <v>-0.30499999999999883</v>
          </cell>
          <cell r="G2213">
            <v>0</v>
          </cell>
          <cell r="H2213">
            <v>102.52388455781423</v>
          </cell>
          <cell r="I2213">
            <v>0</v>
          </cell>
          <cell r="J2213"/>
          <cell r="K2213">
            <v>102.52388455781423</v>
          </cell>
        </row>
        <row r="2214">
          <cell r="A2214">
            <v>7.5</v>
          </cell>
          <cell r="B2214">
            <v>101.965</v>
          </cell>
          <cell r="C2214">
            <v>0.72379037117104539</v>
          </cell>
          <cell r="D2214">
            <v>102.68879037117105</v>
          </cell>
          <cell r="E2214">
            <v>0.61</v>
          </cell>
          <cell r="F2214">
            <v>-0.27249999999999763</v>
          </cell>
          <cell r="G2214">
            <v>0</v>
          </cell>
          <cell r="H2214">
            <v>102.35129037117105</v>
          </cell>
          <cell r="I2214">
            <v>0</v>
          </cell>
          <cell r="J2214"/>
          <cell r="K2214">
            <v>102.35129037117105</v>
          </cell>
        </row>
        <row r="2215">
          <cell r="A2215">
            <v>7.375</v>
          </cell>
          <cell r="B2215">
            <v>101.503</v>
          </cell>
          <cell r="C2215">
            <v>0.77368308706149624</v>
          </cell>
          <cell r="D2215">
            <v>102.2766830870615</v>
          </cell>
          <cell r="E2215">
            <v>0.61</v>
          </cell>
          <cell r="F2215">
            <v>-0.32708333333333106</v>
          </cell>
          <cell r="G2215">
            <v>0</v>
          </cell>
          <cell r="H2215">
            <v>101.99376642039483</v>
          </cell>
          <cell r="I2215">
            <v>0</v>
          </cell>
          <cell r="J2215"/>
          <cell r="K2215">
            <v>101.99376642039483</v>
          </cell>
        </row>
        <row r="2216">
          <cell r="A2216">
            <v>7.25</v>
          </cell>
          <cell r="B2216">
            <v>100.98699999999999</v>
          </cell>
          <cell r="C2216">
            <v>0.82360853900415887</v>
          </cell>
          <cell r="D2216">
            <v>101.81060853900415</v>
          </cell>
          <cell r="E2216">
            <v>0.61</v>
          </cell>
          <cell r="F2216">
            <v>-0.32041666666666802</v>
          </cell>
          <cell r="G2216">
            <v>0</v>
          </cell>
          <cell r="H2216">
            <v>101.52102520567082</v>
          </cell>
          <cell r="I2216">
            <v>0</v>
          </cell>
          <cell r="J2216"/>
          <cell r="K2216">
            <v>101.52102520567082</v>
          </cell>
        </row>
        <row r="2217">
          <cell r="A2217">
            <v>7.125</v>
          </cell>
          <cell r="B2217">
            <v>101.511</v>
          </cell>
          <cell r="C2217">
            <v>0.87236164847436104</v>
          </cell>
          <cell r="D2217">
            <v>102.38336164847436</v>
          </cell>
          <cell r="E2217">
            <v>0.61</v>
          </cell>
          <cell r="F2217">
            <v>7.9166666666639074E-3</v>
          </cell>
          <cell r="G2217">
            <v>0</v>
          </cell>
          <cell r="H2217">
            <v>101.7654449818077</v>
          </cell>
          <cell r="I2217">
            <v>0</v>
          </cell>
          <cell r="J2217"/>
          <cell r="K2217">
            <v>101.7654449818077</v>
          </cell>
        </row>
        <row r="2218">
          <cell r="A2218">
            <v>7</v>
          </cell>
          <cell r="B2218">
            <v>101.166</v>
          </cell>
          <cell r="C2218">
            <v>0.91849551950415798</v>
          </cell>
          <cell r="D2218">
            <v>102.08449551950416</v>
          </cell>
          <cell r="E2218">
            <v>0.61</v>
          </cell>
          <cell r="F2218">
            <v>2.1666666666664391E-2</v>
          </cell>
          <cell r="G2218">
            <v>0</v>
          </cell>
          <cell r="H2218">
            <v>101.4528288528375</v>
          </cell>
          <cell r="I2218">
            <v>0</v>
          </cell>
          <cell r="J2218"/>
          <cell r="K2218">
            <v>101.4528288528375</v>
          </cell>
        </row>
        <row r="2219">
          <cell r="A2219">
            <v>6.875</v>
          </cell>
          <cell r="B2219">
            <v>100.69</v>
          </cell>
          <cell r="C2219">
            <v>0.96037016523299634</v>
          </cell>
          <cell r="D2219">
            <v>101.650370165233</v>
          </cell>
          <cell r="E2219">
            <v>0.61</v>
          </cell>
          <cell r="F2219">
            <v>-0.21333333333333504</v>
          </cell>
          <cell r="G2219">
            <v>0</v>
          </cell>
          <cell r="H2219">
            <v>101.25370349856634</v>
          </cell>
          <cell r="I2219">
            <v>0</v>
          </cell>
          <cell r="J2219"/>
          <cell r="K2219">
            <v>101.25370349856634</v>
          </cell>
        </row>
        <row r="2220">
          <cell r="A2220">
            <v>6.75</v>
          </cell>
          <cell r="B2220">
            <v>100.101</v>
          </cell>
          <cell r="C2220">
            <v>0.99628142024958177</v>
          </cell>
          <cell r="D2220">
            <v>101.09728142024959</v>
          </cell>
          <cell r="E2220">
            <v>0.61</v>
          </cell>
          <cell r="F2220">
            <v>-0.21333333333333504</v>
          </cell>
          <cell r="G2220">
            <v>0</v>
          </cell>
          <cell r="H2220">
            <v>100.70061475358293</v>
          </cell>
          <cell r="I2220">
            <v>0</v>
          </cell>
          <cell r="J2220"/>
          <cell r="K2220">
            <v>100.70061475358293</v>
          </cell>
        </row>
        <row r="2221">
          <cell r="A2221">
            <v>6.625</v>
          </cell>
          <cell r="B2221">
            <v>100.232</v>
          </cell>
          <cell r="C2221">
            <v>1.0245887605036648</v>
          </cell>
          <cell r="D2221">
            <v>101.25658876050366</v>
          </cell>
          <cell r="E2221">
            <v>0.61</v>
          </cell>
          <cell r="F2221">
            <v>-6.6666666666666707E-2</v>
          </cell>
          <cell r="G2221">
            <v>0</v>
          </cell>
          <cell r="H2221">
            <v>100.71325542717032</v>
          </cell>
          <cell r="I2221">
            <v>0</v>
          </cell>
          <cell r="J2221"/>
          <cell r="K2221">
            <v>100.71325542717032</v>
          </cell>
        </row>
        <row r="2222">
          <cell r="A2222">
            <v>6.5</v>
          </cell>
          <cell r="B2222">
            <v>99.820999999999998</v>
          </cell>
          <cell r="C2222">
            <v>1.0438653664088597</v>
          </cell>
          <cell r="D2222">
            <v>100.86486536640886</v>
          </cell>
          <cell r="E2222">
            <v>0.61</v>
          </cell>
          <cell r="F2222">
            <v>-0.191249999999998</v>
          </cell>
          <cell r="G2222">
            <v>0</v>
          </cell>
          <cell r="H2222">
            <v>100.44611536640886</v>
          </cell>
          <cell r="I2222">
            <v>0</v>
          </cell>
          <cell r="J2222"/>
          <cell r="K2222">
            <v>100.44611536640886</v>
          </cell>
        </row>
        <row r="2223">
          <cell r="A2223">
            <v>6.375</v>
          </cell>
          <cell r="B2223">
            <v>99.454999999999998</v>
          </cell>
          <cell r="C2223">
            <v>1.0813957336768123</v>
          </cell>
          <cell r="D2223">
            <v>100.53639573367681</v>
          </cell>
          <cell r="E2223">
            <v>0.61</v>
          </cell>
          <cell r="F2223">
            <v>-0.26624999999999799</v>
          </cell>
          <cell r="G2223">
            <v>0</v>
          </cell>
          <cell r="H2223">
            <v>100.19264573367681</v>
          </cell>
          <cell r="I2223">
            <v>0</v>
          </cell>
          <cell r="J2223"/>
          <cell r="K2223">
            <v>100.19264573367681</v>
          </cell>
        </row>
        <row r="2224">
          <cell r="A2224">
            <v>6.25</v>
          </cell>
          <cell r="B2224">
            <v>98.978999999999999</v>
          </cell>
          <cell r="C2224">
            <v>1.11673163637932</v>
          </cell>
          <cell r="D2224">
            <v>100.09573163637931</v>
          </cell>
          <cell r="E2224">
            <v>0.61</v>
          </cell>
          <cell r="F2224">
            <v>-0.31666666666666665</v>
          </cell>
          <cell r="G2224">
            <v>0</v>
          </cell>
          <cell r="H2224">
            <v>99.802398303045976</v>
          </cell>
          <cell r="I2224">
            <v>0</v>
          </cell>
          <cell r="J2224"/>
          <cell r="K2224">
            <v>99.802398303045976</v>
          </cell>
        </row>
        <row r="2225">
          <cell r="A2225">
            <v>6.125</v>
          </cell>
          <cell r="B2225">
            <v>99.296999999999997</v>
          </cell>
          <cell r="C2225">
            <v>1.1492095706938446</v>
          </cell>
          <cell r="D2225">
            <v>100.44620957069384</v>
          </cell>
          <cell r="E2225">
            <v>0.61</v>
          </cell>
          <cell r="F2225">
            <v>0.49791666666666673</v>
          </cell>
          <cell r="G2225">
            <v>0</v>
          </cell>
          <cell r="H2225">
            <v>99.33829290402717</v>
          </cell>
          <cell r="I2225">
            <v>0</v>
          </cell>
          <cell r="J2225"/>
          <cell r="K2225">
            <v>99.33829290402717</v>
          </cell>
        </row>
        <row r="2226">
          <cell r="A2226">
            <v>6</v>
          </cell>
          <cell r="B2226">
            <v>98.81</v>
          </cell>
          <cell r="C2226">
            <v>1.175188528653438</v>
          </cell>
          <cell r="D2226">
            <v>99.985188528653438</v>
          </cell>
          <cell r="E2226">
            <v>0.61</v>
          </cell>
          <cell r="F2226">
            <v>0.4483333333333353</v>
          </cell>
          <cell r="G2226">
            <v>0</v>
          </cell>
          <cell r="H2226">
            <v>98.926855195320101</v>
          </cell>
          <cell r="I2226">
            <v>0</v>
          </cell>
          <cell r="J2226"/>
          <cell r="K2226">
            <v>98.926855195320101</v>
          </cell>
        </row>
        <row r="2227">
          <cell r="A2227">
            <v>5.875</v>
          </cell>
          <cell r="B2227">
            <v>98.33</v>
          </cell>
          <cell r="C2227">
            <v>1.2001075198788873</v>
          </cell>
          <cell r="D2227">
            <v>99.530107519878882</v>
          </cell>
          <cell r="E2227">
            <v>0.61</v>
          </cell>
          <cell r="F2227">
            <v>0.44791666666666669</v>
          </cell>
          <cell r="G2227">
            <v>0</v>
          </cell>
          <cell r="H2227">
            <v>98.472190853212211</v>
          </cell>
          <cell r="I2227">
            <v>0</v>
          </cell>
          <cell r="J2227"/>
          <cell r="K2227">
            <v>98.472190853212211</v>
          </cell>
        </row>
        <row r="2228">
          <cell r="A2228">
            <v>5.75</v>
          </cell>
          <cell r="B2228">
            <v>97.769000000000005</v>
          </cell>
          <cell r="C2228">
            <v>1.220373990714686</v>
          </cell>
          <cell r="D2228">
            <v>98.989373990714697</v>
          </cell>
          <cell r="E2228">
            <v>0.61</v>
          </cell>
          <cell r="F2228">
            <v>0.4483333333333353</v>
          </cell>
          <cell r="G2228">
            <v>0</v>
          </cell>
          <cell r="H2228">
            <v>97.931040657381359</v>
          </cell>
          <cell r="I2228">
            <v>0</v>
          </cell>
          <cell r="J2228"/>
          <cell r="K2228">
            <v>97.931040657381359</v>
          </cell>
        </row>
        <row r="2229">
          <cell r="A2229">
            <v>5.625</v>
          </cell>
          <cell r="B2229">
            <v>97.102999999999994</v>
          </cell>
          <cell r="C2229">
            <v>1.2354980652420697</v>
          </cell>
          <cell r="D2229">
            <v>98.338498065242064</v>
          </cell>
          <cell r="E2229">
            <v>0.61</v>
          </cell>
          <cell r="F2229">
            <v>0.40208333333333357</v>
          </cell>
          <cell r="G2229">
            <v>0</v>
          </cell>
          <cell r="H2229">
            <v>97.326414731908727</v>
          </cell>
          <cell r="I2229">
            <v>0</v>
          </cell>
          <cell r="J2229"/>
          <cell r="K2229">
            <v>97.326414731908727</v>
          </cell>
        </row>
        <row r="2230">
          <cell r="A2230">
            <v>5.5</v>
          </cell>
          <cell r="B2230">
            <v>96.498000000000005</v>
          </cell>
          <cell r="C2230">
            <v>1.2479906782557784</v>
          </cell>
          <cell r="D2230">
            <v>97.745990678255779</v>
          </cell>
          <cell r="E2230">
            <v>0.61</v>
          </cell>
          <cell r="F2230">
            <v>0.40083333333333349</v>
          </cell>
          <cell r="G2230">
            <v>0</v>
          </cell>
          <cell r="H2230">
            <v>96.735157344922442</v>
          </cell>
          <cell r="I2230">
            <v>0</v>
          </cell>
          <cell r="J2230"/>
          <cell r="K2230">
            <v>96.735157344922442</v>
          </cell>
        </row>
        <row r="2231">
          <cell r="A2231">
            <v>5.375</v>
          </cell>
          <cell r="B2231">
            <v>95.909000000000006</v>
          </cell>
          <cell r="C2231">
            <v>1.2637998095544902</v>
          </cell>
          <cell r="D2231">
            <v>97.17279980955449</v>
          </cell>
          <cell r="E2231">
            <v>0.61</v>
          </cell>
          <cell r="F2231">
            <v>0.39958333333333346</v>
          </cell>
          <cell r="G2231">
            <v>0</v>
          </cell>
          <cell r="H2231">
            <v>96.163216476221152</v>
          </cell>
          <cell r="I2231">
            <v>0</v>
          </cell>
          <cell r="J2231"/>
          <cell r="K2231">
            <v>96.163216476221152</v>
          </cell>
        </row>
        <row r="2232">
          <cell r="A2232">
            <v>5.25</v>
          </cell>
          <cell r="B2232">
            <v>95.021000000000001</v>
          </cell>
          <cell r="C2232">
            <v>1.2799496190579389</v>
          </cell>
          <cell r="D2232">
            <v>96.300949619057945</v>
          </cell>
          <cell r="E2232">
            <v>0.61</v>
          </cell>
          <cell r="F2232">
            <v>0.44791666666666669</v>
          </cell>
          <cell r="G2232">
            <v>0</v>
          </cell>
          <cell r="H2232">
            <v>95.243032952391275</v>
          </cell>
          <cell r="I2232">
            <v>0</v>
          </cell>
          <cell r="J2232"/>
          <cell r="K2232">
            <v>95.243032952391275</v>
          </cell>
        </row>
        <row r="2233">
          <cell r="A2233">
            <v>5.125</v>
          </cell>
          <cell r="B2233">
            <v>93.084000000000003</v>
          </cell>
          <cell r="C2233">
            <v>1.2964498662264292</v>
          </cell>
          <cell r="D2233">
            <v>94.380449866226428</v>
          </cell>
          <cell r="E2233">
            <v>0.61</v>
          </cell>
          <cell r="F2233">
            <v>-0.35208333333333408</v>
          </cell>
          <cell r="G2233">
            <v>0</v>
          </cell>
          <cell r="H2233">
            <v>94.122533199559768</v>
          </cell>
          <cell r="I2233">
            <v>0</v>
          </cell>
          <cell r="J2233"/>
          <cell r="K2233">
            <v>94.122533199559768</v>
          </cell>
        </row>
        <row r="2234">
          <cell r="A2234">
            <v>5</v>
          </cell>
          <cell r="B2234">
            <v>92.358000000000004</v>
          </cell>
          <cell r="C2234">
            <v>1.3104616881792834</v>
          </cell>
          <cell r="D2234">
            <v>93.668461688179292</v>
          </cell>
          <cell r="E2234">
            <v>0.61</v>
          </cell>
          <cell r="F2234">
            <v>-0.35749999999999704</v>
          </cell>
          <cell r="G2234">
            <v>0</v>
          </cell>
          <cell r="H2234">
            <v>93.415961688179294</v>
          </cell>
          <cell r="I2234">
            <v>0</v>
          </cell>
          <cell r="J2234"/>
          <cell r="K2234">
            <v>93.415961688179294</v>
          </cell>
        </row>
        <row r="2235">
          <cell r="A2235">
            <v>4.875</v>
          </cell>
          <cell r="B2235">
            <v>91.578000000000003</v>
          </cell>
          <cell r="C2235">
            <v>1.3211709877456339</v>
          </cell>
          <cell r="D2235">
            <v>92.899170987745634</v>
          </cell>
          <cell r="E2235">
            <v>0.61</v>
          </cell>
          <cell r="F2235">
            <v>-0.85916666666666575</v>
          </cell>
          <cell r="G2235">
            <v>0</v>
          </cell>
          <cell r="H2235">
            <v>93.148337654412302</v>
          </cell>
          <cell r="I2235">
            <v>0</v>
          </cell>
          <cell r="J2235"/>
          <cell r="K2235">
            <v>93.148337654412302</v>
          </cell>
        </row>
        <row r="2450">
          <cell r="A2450">
            <v>7.75</v>
          </cell>
          <cell r="B2450">
            <v>101.68582717641085</v>
          </cell>
          <cell r="C2450"/>
          <cell r="D2450">
            <v>101.68582717641085</v>
          </cell>
          <cell r="E2450">
            <v>-5.0000000000000072E-2</v>
          </cell>
          <cell r="F2450">
            <v>0</v>
          </cell>
          <cell r="G2450">
            <v>0</v>
          </cell>
          <cell r="H2450">
            <v>101.73582717641085</v>
          </cell>
          <cell r="I2450">
            <v>0</v>
          </cell>
          <cell r="J2450"/>
          <cell r="K2450">
            <v>101.73582717641085</v>
          </cell>
        </row>
        <row r="2451">
          <cell r="A2451">
            <v>7.625</v>
          </cell>
          <cell r="B2451">
            <v>101.73162765822475</v>
          </cell>
          <cell r="C2451"/>
          <cell r="D2451">
            <v>101.73162765822475</v>
          </cell>
          <cell r="E2451">
            <v>-5.0000000000000072E-2</v>
          </cell>
          <cell r="F2451">
            <v>0</v>
          </cell>
          <cell r="G2451">
            <v>0</v>
          </cell>
          <cell r="H2451">
            <v>101.78162765822475</v>
          </cell>
          <cell r="I2451">
            <v>0</v>
          </cell>
          <cell r="J2451"/>
          <cell r="K2451">
            <v>101.78162765822475</v>
          </cell>
        </row>
        <row r="2452">
          <cell r="A2452">
            <v>7.5</v>
          </cell>
          <cell r="B2452">
            <v>101.78072727682759</v>
          </cell>
          <cell r="C2452"/>
          <cell r="D2452">
            <v>101.78072727682759</v>
          </cell>
          <cell r="E2452">
            <v>-5.0000000000000072E-2</v>
          </cell>
          <cell r="F2452">
            <v>0</v>
          </cell>
          <cell r="G2452">
            <v>0</v>
          </cell>
          <cell r="H2452">
            <v>101.83072727682759</v>
          </cell>
          <cell r="I2452">
            <v>0</v>
          </cell>
          <cell r="J2452"/>
          <cell r="K2452">
            <v>101.83072727682759</v>
          </cell>
        </row>
        <row r="2453">
          <cell r="A2453">
            <v>7.375</v>
          </cell>
          <cell r="B2453">
            <v>101.83355832860531</v>
          </cell>
          <cell r="C2453"/>
          <cell r="D2453">
            <v>101.83355832860531</v>
          </cell>
          <cell r="E2453">
            <v>-5.0000000000000072E-2</v>
          </cell>
          <cell r="F2453">
            <v>0</v>
          </cell>
          <cell r="G2453">
            <v>0</v>
          </cell>
          <cell r="H2453">
            <v>101.8835583286053</v>
          </cell>
          <cell r="I2453">
            <v>0</v>
          </cell>
          <cell r="J2453"/>
          <cell r="K2453">
            <v>101.8835583286053</v>
          </cell>
        </row>
        <row r="2454">
          <cell r="A2454">
            <v>7.25</v>
          </cell>
          <cell r="B2454">
            <v>102.21913226009657</v>
          </cell>
          <cell r="C2454"/>
          <cell r="D2454">
            <v>102.21913226009657</v>
          </cell>
          <cell r="E2454">
            <v>-5.0000000000000072E-2</v>
          </cell>
          <cell r="F2454">
            <v>0</v>
          </cell>
          <cell r="G2454">
            <v>0</v>
          </cell>
          <cell r="H2454">
            <v>102.26913226009657</v>
          </cell>
          <cell r="I2454">
            <v>0</v>
          </cell>
          <cell r="J2454"/>
          <cell r="K2454">
            <v>102.26913226009657</v>
          </cell>
        </row>
        <row r="2455">
          <cell r="A2455">
            <v>7.125</v>
          </cell>
          <cell r="B2455">
            <v>102.12184884369944</v>
          </cell>
          <cell r="C2455"/>
          <cell r="D2455">
            <v>102.12184884369944</v>
          </cell>
          <cell r="E2455">
            <v>-5.0000000000000072E-2</v>
          </cell>
          <cell r="F2455">
            <v>0</v>
          </cell>
          <cell r="G2455">
            <v>0</v>
          </cell>
          <cell r="H2455">
            <v>102.17184884369944</v>
          </cell>
          <cell r="I2455">
            <v>0</v>
          </cell>
          <cell r="J2455"/>
          <cell r="K2455">
            <v>102.17184884369944</v>
          </cell>
        </row>
        <row r="2456">
          <cell r="A2456">
            <v>7</v>
          </cell>
          <cell r="B2456">
            <v>102.00346805850165</v>
          </cell>
          <cell r="C2456"/>
          <cell r="D2456">
            <v>102.00346805850165</v>
          </cell>
          <cell r="E2456">
            <v>-5.0000000000000072E-2</v>
          </cell>
          <cell r="F2456">
            <v>0</v>
          </cell>
          <cell r="G2456">
            <v>0</v>
          </cell>
          <cell r="H2456">
            <v>102.05346805850165</v>
          </cell>
          <cell r="I2456">
            <v>0</v>
          </cell>
          <cell r="J2456"/>
          <cell r="K2456">
            <v>102.05346805850165</v>
          </cell>
        </row>
        <row r="2457">
          <cell r="A2457">
            <v>6.875</v>
          </cell>
          <cell r="B2457">
            <v>101.86170891527799</v>
          </cell>
          <cell r="C2457"/>
          <cell r="D2457">
            <v>101.86170891527799</v>
          </cell>
          <cell r="E2457">
            <v>-5.0000000000000072E-2</v>
          </cell>
          <cell r="F2457">
            <v>0</v>
          </cell>
          <cell r="G2457">
            <v>0</v>
          </cell>
          <cell r="H2457">
            <v>101.91170891527798</v>
          </cell>
          <cell r="I2457">
            <v>0</v>
          </cell>
          <cell r="J2457"/>
          <cell r="K2457">
            <v>101.91170891527798</v>
          </cell>
        </row>
        <row r="2458">
          <cell r="A2458">
            <v>6.75</v>
          </cell>
          <cell r="B2458">
            <v>101.69466267656229</v>
          </cell>
          <cell r="C2458"/>
          <cell r="D2458">
            <v>101.69466267656229</v>
          </cell>
          <cell r="E2458">
            <v>-5.0000000000000072E-2</v>
          </cell>
          <cell r="F2458">
            <v>0</v>
          </cell>
          <cell r="G2458">
            <v>0</v>
          </cell>
          <cell r="H2458">
            <v>101.74466267656229</v>
          </cell>
          <cell r="I2458">
            <v>0</v>
          </cell>
          <cell r="J2458"/>
          <cell r="K2458">
            <v>101.74466267656229</v>
          </cell>
        </row>
        <row r="2459">
          <cell r="A2459">
            <v>6.625</v>
          </cell>
          <cell r="B2459">
            <v>101.38076598243613</v>
          </cell>
          <cell r="C2459"/>
          <cell r="D2459">
            <v>101.38076598243613</v>
          </cell>
          <cell r="E2459">
            <v>-5.0000000000000072E-2</v>
          </cell>
          <cell r="F2459">
            <v>0</v>
          </cell>
          <cell r="G2459">
            <v>0</v>
          </cell>
          <cell r="H2459">
            <v>101.43076598243613</v>
          </cell>
          <cell r="I2459">
            <v>0</v>
          </cell>
          <cell r="J2459"/>
          <cell r="K2459">
            <v>101.43076598243613</v>
          </cell>
        </row>
        <row r="2460">
          <cell r="A2460">
            <v>6.5</v>
          </cell>
          <cell r="B2460">
            <v>101.21496039245817</v>
          </cell>
          <cell r="C2460"/>
          <cell r="D2460">
            <v>101.21496039245817</v>
          </cell>
          <cell r="E2460">
            <v>-5.0000000000000072E-2</v>
          </cell>
          <cell r="F2460">
            <v>0</v>
          </cell>
          <cell r="G2460">
            <v>0</v>
          </cell>
          <cell r="H2460">
            <v>101.26496039245816</v>
          </cell>
          <cell r="I2460">
            <v>0</v>
          </cell>
          <cell r="J2460"/>
          <cell r="K2460">
            <v>101.26496039245816</v>
          </cell>
        </row>
        <row r="2461">
          <cell r="A2461">
            <v>6.375</v>
          </cell>
          <cell r="B2461">
            <v>101.02084428613479</v>
          </cell>
          <cell r="C2461"/>
          <cell r="D2461">
            <v>101.02084428613479</v>
          </cell>
          <cell r="E2461">
            <v>-5.0000000000000072E-2</v>
          </cell>
          <cell r="F2461">
            <v>0</v>
          </cell>
          <cell r="G2461">
            <v>0</v>
          </cell>
          <cell r="H2461">
            <v>101.07084428613479</v>
          </cell>
          <cell r="I2461">
            <v>0</v>
          </cell>
          <cell r="J2461"/>
          <cell r="K2461">
            <v>101.07084428613479</v>
          </cell>
        </row>
        <row r="2462">
          <cell r="A2462">
            <v>6.25</v>
          </cell>
          <cell r="B2462">
            <v>100.89716640408007</v>
          </cell>
          <cell r="C2462"/>
          <cell r="D2462">
            <v>100.89716640408007</v>
          </cell>
          <cell r="E2462">
            <v>-5.0000000000000072E-2</v>
          </cell>
          <cell r="F2462">
            <v>0</v>
          </cell>
          <cell r="G2462">
            <v>0</v>
          </cell>
          <cell r="H2462">
            <v>100.94716640408006</v>
          </cell>
          <cell r="I2462">
            <v>0</v>
          </cell>
          <cell r="J2462"/>
          <cell r="K2462">
            <v>100.94716640408006</v>
          </cell>
        </row>
        <row r="2463">
          <cell r="A2463">
            <v>6.125</v>
          </cell>
          <cell r="B2463">
            <v>100.69416566053886</v>
          </cell>
          <cell r="C2463"/>
          <cell r="D2463">
            <v>100.69416566053886</v>
          </cell>
          <cell r="E2463">
            <v>-5.0000000000000072E-2</v>
          </cell>
          <cell r="F2463">
            <v>0</v>
          </cell>
          <cell r="G2463">
            <v>0</v>
          </cell>
          <cell r="H2463">
            <v>100.74416566053885</v>
          </cell>
          <cell r="I2463">
            <v>0</v>
          </cell>
          <cell r="J2463"/>
          <cell r="K2463">
            <v>100.74416566053885</v>
          </cell>
        </row>
        <row r="2464">
          <cell r="A2464">
            <v>6</v>
          </cell>
          <cell r="B2464">
            <v>100.46283553544994</v>
          </cell>
          <cell r="C2464"/>
          <cell r="D2464">
            <v>100.46283553544994</v>
          </cell>
          <cell r="E2464">
            <v>-5.0000000000000072E-2</v>
          </cell>
          <cell r="F2464">
            <v>0</v>
          </cell>
          <cell r="G2464">
            <v>0</v>
          </cell>
          <cell r="H2464">
            <v>100.51283553544994</v>
          </cell>
          <cell r="I2464">
            <v>0</v>
          </cell>
          <cell r="J2464"/>
          <cell r="K2464">
            <v>100.51283553544994</v>
          </cell>
        </row>
        <row r="2465">
          <cell r="A2465">
            <v>5.875</v>
          </cell>
          <cell r="B2465">
            <v>100.20855799998836</v>
          </cell>
          <cell r="C2465"/>
          <cell r="D2465">
            <v>100.20855799998836</v>
          </cell>
          <cell r="E2465">
            <v>-5.0000000000000072E-2</v>
          </cell>
          <cell r="F2465">
            <v>0</v>
          </cell>
          <cell r="G2465">
            <v>0</v>
          </cell>
          <cell r="H2465">
            <v>100.25855799998835</v>
          </cell>
          <cell r="I2465">
            <v>0</v>
          </cell>
          <cell r="J2465"/>
          <cell r="K2465">
            <v>100.25855799998835</v>
          </cell>
        </row>
        <row r="2466">
          <cell r="A2466">
            <v>5.75</v>
          </cell>
          <cell r="B2466">
            <v>99.94976295710552</v>
          </cell>
          <cell r="C2466"/>
          <cell r="D2466">
            <v>99.94976295710552</v>
          </cell>
          <cell r="E2466">
            <v>-5.0000000000000072E-2</v>
          </cell>
          <cell r="F2466">
            <v>0</v>
          </cell>
          <cell r="G2466">
            <v>0</v>
          </cell>
          <cell r="H2466">
            <v>99.999762957105517</v>
          </cell>
          <cell r="I2466">
            <v>0</v>
          </cell>
          <cell r="J2466"/>
          <cell r="K2466">
            <v>99.999762957105517</v>
          </cell>
        </row>
        <row r="2467">
          <cell r="A2467">
            <v>5.625</v>
          </cell>
          <cell r="B2467">
            <v>99.465345670050183</v>
          </cell>
          <cell r="C2467"/>
          <cell r="D2467">
            <v>99.465345670050183</v>
          </cell>
          <cell r="E2467">
            <v>-5.0000000000000072E-2</v>
          </cell>
          <cell r="F2467">
            <v>0</v>
          </cell>
          <cell r="G2467">
            <v>0</v>
          </cell>
          <cell r="H2467">
            <v>99.515345670050181</v>
          </cell>
          <cell r="I2467">
            <v>0</v>
          </cell>
          <cell r="J2467"/>
          <cell r="K2467">
            <v>99.515345670050181</v>
          </cell>
        </row>
        <row r="2468">
          <cell r="A2468">
            <v>5.5</v>
          </cell>
          <cell r="B2468">
            <v>99.2035936450539</v>
          </cell>
          <cell r="C2468"/>
          <cell r="D2468">
            <v>99.2035936450539</v>
          </cell>
          <cell r="E2468">
            <v>-5.0000000000000072E-2</v>
          </cell>
          <cell r="F2468">
            <v>0</v>
          </cell>
          <cell r="G2468">
            <v>0</v>
          </cell>
          <cell r="H2468">
            <v>99.253593645053897</v>
          </cell>
          <cell r="I2468">
            <v>0</v>
          </cell>
          <cell r="J2468"/>
          <cell r="K2468">
            <v>99.253593645053897</v>
          </cell>
        </row>
        <row r="2469">
          <cell r="A2469">
            <v>5.375</v>
          </cell>
          <cell r="B2469">
            <v>98.913467670954333</v>
          </cell>
          <cell r="C2469"/>
          <cell r="D2469">
            <v>98.913467670954333</v>
          </cell>
          <cell r="E2469">
            <v>-5.0000000000000072E-2</v>
          </cell>
          <cell r="F2469">
            <v>0</v>
          </cell>
          <cell r="G2469">
            <v>0</v>
          </cell>
          <cell r="H2469">
            <v>98.96346767095433</v>
          </cell>
          <cell r="I2469">
            <v>0</v>
          </cell>
          <cell r="J2469"/>
          <cell r="K2469">
            <v>98.96346767095433</v>
          </cell>
        </row>
        <row r="2470">
          <cell r="A2470">
            <v>5.25</v>
          </cell>
          <cell r="B2470">
            <v>98.6135667146971</v>
          </cell>
          <cell r="C2470"/>
          <cell r="D2470">
            <v>98.6135667146971</v>
          </cell>
          <cell r="E2470">
            <v>-5.0000000000000072E-2</v>
          </cell>
          <cell r="F2470">
            <v>0</v>
          </cell>
          <cell r="G2470">
            <v>0</v>
          </cell>
          <cell r="H2470">
            <v>98.663566714697097</v>
          </cell>
          <cell r="I2470">
            <v>0</v>
          </cell>
          <cell r="J2470"/>
          <cell r="K2470">
            <v>98.663566714697097</v>
          </cell>
        </row>
        <row r="2471">
          <cell r="A2471">
            <v>5.125</v>
          </cell>
          <cell r="B2471">
            <v>96.463603076172106</v>
          </cell>
          <cell r="C2471"/>
          <cell r="D2471">
            <v>96.463603076172106</v>
          </cell>
          <cell r="E2471">
            <v>-5.0000000000000072E-2</v>
          </cell>
          <cell r="F2471">
            <v>0</v>
          </cell>
          <cell r="G2471">
            <v>0</v>
          </cell>
          <cell r="H2471">
            <v>96.513603076172103</v>
          </cell>
          <cell r="I2471">
            <v>0</v>
          </cell>
          <cell r="J2471"/>
          <cell r="K2471">
            <v>96.513603076172103</v>
          </cell>
        </row>
        <row r="2472">
          <cell r="A2472">
            <v>5</v>
          </cell>
          <cell r="B2472">
            <v>96.156091270193315</v>
          </cell>
          <cell r="C2472"/>
          <cell r="D2472">
            <v>96.156091270193315</v>
          </cell>
          <cell r="E2472">
            <v>-5.0000000000000072E-2</v>
          </cell>
          <cell r="F2472">
            <v>0</v>
          </cell>
          <cell r="G2472">
            <v>0</v>
          </cell>
          <cell r="H2472">
            <v>96.206091270193312</v>
          </cell>
          <cell r="I2472">
            <v>0</v>
          </cell>
          <cell r="J2472"/>
          <cell r="K2472">
            <v>96.206091270193312</v>
          </cell>
        </row>
        <row r="2473">
          <cell r="A2473">
            <v>4.875</v>
          </cell>
          <cell r="B2473">
            <v>95.824493229835937</v>
          </cell>
          <cell r="C2473"/>
          <cell r="D2473">
            <v>95.824493229835937</v>
          </cell>
          <cell r="E2473">
            <v>-5.0000000000000072E-2</v>
          </cell>
          <cell r="F2473">
            <v>0</v>
          </cell>
          <cell r="G2473">
            <v>0</v>
          </cell>
          <cell r="H2473">
            <v>95.874493229835934</v>
          </cell>
          <cell r="I2473">
            <v>0</v>
          </cell>
          <cell r="J2473"/>
          <cell r="K2473">
            <v>95.874493229835934</v>
          </cell>
        </row>
        <row r="2474">
          <cell r="A2474">
            <v>4.75</v>
          </cell>
          <cell r="B2474">
            <v>95.487468285719785</v>
          </cell>
          <cell r="C2474"/>
          <cell r="D2474">
            <v>95.487468285719785</v>
          </cell>
          <cell r="E2474">
            <v>-5.0000000000000072E-2</v>
          </cell>
          <cell r="F2474">
            <v>0</v>
          </cell>
          <cell r="G2474">
            <v>0</v>
          </cell>
          <cell r="H2474">
            <v>95.537468285719783</v>
          </cell>
          <cell r="I2474">
            <v>0</v>
          </cell>
          <cell r="J2474"/>
          <cell r="K2474">
            <v>95.537468285719783</v>
          </cell>
        </row>
        <row r="2477">
          <cell r="A2477">
            <v>7.75</v>
          </cell>
          <cell r="B2477">
            <v>101.68582717641085</v>
          </cell>
          <cell r="C2477"/>
          <cell r="D2477">
            <v>101.68582717641085</v>
          </cell>
          <cell r="E2477">
            <v>0.27500000000000002</v>
          </cell>
          <cell r="F2477">
            <v>0</v>
          </cell>
          <cell r="G2477">
            <v>0</v>
          </cell>
          <cell r="H2477">
            <v>101.41082717641085</v>
          </cell>
          <cell r="I2477">
            <v>0</v>
          </cell>
          <cell r="J2477"/>
          <cell r="K2477">
            <v>101.41082717641085</v>
          </cell>
        </row>
        <row r="2478">
          <cell r="A2478">
            <v>7.625</v>
          </cell>
          <cell r="B2478">
            <v>101.73162765822475</v>
          </cell>
          <cell r="C2478"/>
          <cell r="D2478">
            <v>101.73162765822475</v>
          </cell>
          <cell r="E2478">
            <v>0.27500000000000002</v>
          </cell>
          <cell r="F2478">
            <v>0</v>
          </cell>
          <cell r="G2478">
            <v>0</v>
          </cell>
          <cell r="H2478">
            <v>101.45662765822475</v>
          </cell>
          <cell r="I2478">
            <v>0</v>
          </cell>
          <cell r="J2478"/>
          <cell r="K2478">
            <v>101.45662765822475</v>
          </cell>
        </row>
        <row r="2479">
          <cell r="A2479">
            <v>7.5</v>
          </cell>
          <cell r="B2479">
            <v>101.78072727682759</v>
          </cell>
          <cell r="C2479"/>
          <cell r="D2479">
            <v>101.78072727682759</v>
          </cell>
          <cell r="E2479">
            <v>0.27500000000000002</v>
          </cell>
          <cell r="F2479">
            <v>0</v>
          </cell>
          <cell r="G2479">
            <v>0</v>
          </cell>
          <cell r="H2479">
            <v>101.50572727682759</v>
          </cell>
          <cell r="I2479">
            <v>0</v>
          </cell>
          <cell r="J2479"/>
          <cell r="K2479">
            <v>101.50572727682759</v>
          </cell>
        </row>
        <row r="2480">
          <cell r="A2480">
            <v>7.375</v>
          </cell>
          <cell r="B2480">
            <v>101.83355832860531</v>
          </cell>
          <cell r="C2480"/>
          <cell r="D2480">
            <v>101.83355832860531</v>
          </cell>
          <cell r="E2480">
            <v>0.27500000000000002</v>
          </cell>
          <cell r="F2480">
            <v>0</v>
          </cell>
          <cell r="G2480">
            <v>0</v>
          </cell>
          <cell r="H2480">
            <v>101.5585583286053</v>
          </cell>
          <cell r="I2480">
            <v>0</v>
          </cell>
          <cell r="J2480"/>
          <cell r="K2480">
            <v>101.5585583286053</v>
          </cell>
        </row>
        <row r="2481">
          <cell r="A2481">
            <v>7.25</v>
          </cell>
          <cell r="B2481">
            <v>102.21913226009657</v>
          </cell>
          <cell r="C2481"/>
          <cell r="D2481">
            <v>102.21913226009657</v>
          </cell>
          <cell r="E2481">
            <v>0.27500000000000002</v>
          </cell>
          <cell r="F2481">
            <v>0</v>
          </cell>
          <cell r="G2481">
            <v>0</v>
          </cell>
          <cell r="H2481">
            <v>101.94413226009657</v>
          </cell>
          <cell r="I2481">
            <v>0</v>
          </cell>
          <cell r="J2481"/>
          <cell r="K2481">
            <v>101.94413226009657</v>
          </cell>
        </row>
        <row r="2482">
          <cell r="A2482">
            <v>7.125</v>
          </cell>
          <cell r="B2482">
            <v>102.12184884369944</v>
          </cell>
          <cell r="C2482"/>
          <cell r="D2482">
            <v>102.12184884369944</v>
          </cell>
          <cell r="E2482">
            <v>0.27500000000000002</v>
          </cell>
          <cell r="F2482">
            <v>0</v>
          </cell>
          <cell r="G2482">
            <v>0</v>
          </cell>
          <cell r="H2482">
            <v>101.84684884369943</v>
          </cell>
          <cell r="I2482">
            <v>0</v>
          </cell>
          <cell r="J2482"/>
          <cell r="K2482">
            <v>101.84684884369943</v>
          </cell>
        </row>
        <row r="2483">
          <cell r="A2483">
            <v>7</v>
          </cell>
          <cell r="B2483">
            <v>102.00346805850165</v>
          </cell>
          <cell r="C2483"/>
          <cell r="D2483">
            <v>102.00346805850165</v>
          </cell>
          <cell r="E2483">
            <v>0.27500000000000002</v>
          </cell>
          <cell r="F2483">
            <v>0</v>
          </cell>
          <cell r="G2483">
            <v>0</v>
          </cell>
          <cell r="H2483">
            <v>101.72846805850165</v>
          </cell>
          <cell r="I2483">
            <v>0</v>
          </cell>
          <cell r="J2483"/>
          <cell r="K2483">
            <v>101.72846805850165</v>
          </cell>
        </row>
        <row r="2484">
          <cell r="A2484">
            <v>6.875</v>
          </cell>
          <cell r="B2484">
            <v>101.86170891527799</v>
          </cell>
          <cell r="C2484"/>
          <cell r="D2484">
            <v>101.86170891527799</v>
          </cell>
          <cell r="E2484">
            <v>0.27500000000000002</v>
          </cell>
          <cell r="F2484">
            <v>0</v>
          </cell>
          <cell r="G2484">
            <v>0</v>
          </cell>
          <cell r="H2484">
            <v>101.58670891527798</v>
          </cell>
          <cell r="I2484">
            <v>0</v>
          </cell>
          <cell r="J2484"/>
          <cell r="K2484">
            <v>101.58670891527798</v>
          </cell>
        </row>
        <row r="2485">
          <cell r="A2485">
            <v>6.75</v>
          </cell>
          <cell r="B2485">
            <v>101.69466267656229</v>
          </cell>
          <cell r="C2485"/>
          <cell r="D2485">
            <v>101.69466267656229</v>
          </cell>
          <cell r="E2485">
            <v>0.27500000000000002</v>
          </cell>
          <cell r="F2485">
            <v>0</v>
          </cell>
          <cell r="G2485">
            <v>0</v>
          </cell>
          <cell r="H2485">
            <v>101.41966267656228</v>
          </cell>
          <cell r="I2485">
            <v>0</v>
          </cell>
          <cell r="J2485"/>
          <cell r="K2485">
            <v>101.41966267656228</v>
          </cell>
        </row>
        <row r="2486">
          <cell r="A2486">
            <v>6.625</v>
          </cell>
          <cell r="B2486">
            <v>101.38076598243613</v>
          </cell>
          <cell r="C2486"/>
          <cell r="D2486">
            <v>101.38076598243613</v>
          </cell>
          <cell r="E2486">
            <v>0.27500000000000002</v>
          </cell>
          <cell r="F2486">
            <v>0</v>
          </cell>
          <cell r="G2486">
            <v>0</v>
          </cell>
          <cell r="H2486">
            <v>101.10576598243613</v>
          </cell>
          <cell r="I2486">
            <v>0</v>
          </cell>
          <cell r="J2486"/>
          <cell r="K2486">
            <v>101.10576598243613</v>
          </cell>
        </row>
        <row r="2487">
          <cell r="A2487">
            <v>6.5</v>
          </cell>
          <cell r="B2487">
            <v>101.21496039245817</v>
          </cell>
          <cell r="C2487"/>
          <cell r="D2487">
            <v>101.21496039245817</v>
          </cell>
          <cell r="E2487">
            <v>0.27500000000000002</v>
          </cell>
          <cell r="F2487">
            <v>0</v>
          </cell>
          <cell r="G2487">
            <v>0</v>
          </cell>
          <cell r="H2487">
            <v>100.93996039245816</v>
          </cell>
          <cell r="I2487">
            <v>0</v>
          </cell>
          <cell r="J2487"/>
          <cell r="K2487">
            <v>100.93996039245816</v>
          </cell>
        </row>
        <row r="2488">
          <cell r="A2488">
            <v>6.375</v>
          </cell>
          <cell r="B2488">
            <v>101.02084428613479</v>
          </cell>
          <cell r="C2488"/>
          <cell r="D2488">
            <v>101.02084428613479</v>
          </cell>
          <cell r="E2488">
            <v>0.27500000000000002</v>
          </cell>
          <cell r="F2488">
            <v>0</v>
          </cell>
          <cell r="G2488">
            <v>0</v>
          </cell>
          <cell r="H2488">
            <v>100.74584428613478</v>
          </cell>
          <cell r="I2488">
            <v>0</v>
          </cell>
          <cell r="J2488"/>
          <cell r="K2488">
            <v>100.74584428613478</v>
          </cell>
        </row>
        <row r="2489">
          <cell r="A2489">
            <v>6.25</v>
          </cell>
          <cell r="B2489">
            <v>100.89716640408007</v>
          </cell>
          <cell r="C2489"/>
          <cell r="D2489">
            <v>100.89716640408007</v>
          </cell>
          <cell r="E2489">
            <v>0.27500000000000002</v>
          </cell>
          <cell r="F2489">
            <v>0</v>
          </cell>
          <cell r="G2489">
            <v>0</v>
          </cell>
          <cell r="H2489">
            <v>100.62216640408006</v>
          </cell>
          <cell r="I2489">
            <v>0</v>
          </cell>
          <cell r="J2489"/>
          <cell r="K2489">
            <v>100.62216640408006</v>
          </cell>
        </row>
        <row r="2490">
          <cell r="A2490">
            <v>6.125</v>
          </cell>
          <cell r="B2490">
            <v>100.69416566053886</v>
          </cell>
          <cell r="C2490"/>
          <cell r="D2490">
            <v>100.69416566053886</v>
          </cell>
          <cell r="E2490">
            <v>0.27500000000000002</v>
          </cell>
          <cell r="F2490">
            <v>0</v>
          </cell>
          <cell r="G2490">
            <v>0</v>
          </cell>
          <cell r="H2490">
            <v>100.41916566053885</v>
          </cell>
          <cell r="I2490">
            <v>0</v>
          </cell>
          <cell r="J2490"/>
          <cell r="K2490">
            <v>100.41916566053885</v>
          </cell>
        </row>
        <row r="2491">
          <cell r="A2491">
            <v>6</v>
          </cell>
          <cell r="B2491">
            <v>100.46283553544994</v>
          </cell>
          <cell r="C2491"/>
          <cell r="D2491">
            <v>100.46283553544994</v>
          </cell>
          <cell r="E2491">
            <v>0.27500000000000002</v>
          </cell>
          <cell r="F2491">
            <v>0</v>
          </cell>
          <cell r="G2491">
            <v>0</v>
          </cell>
          <cell r="H2491">
            <v>100.18783553544993</v>
          </cell>
          <cell r="I2491">
            <v>0</v>
          </cell>
          <cell r="J2491"/>
          <cell r="K2491">
            <v>100.18783553544993</v>
          </cell>
        </row>
        <row r="2492">
          <cell r="A2492">
            <v>5.875</v>
          </cell>
          <cell r="B2492">
            <v>100.20855799998836</v>
          </cell>
          <cell r="C2492"/>
          <cell r="D2492">
            <v>100.20855799998836</v>
          </cell>
          <cell r="E2492">
            <v>0.27500000000000002</v>
          </cell>
          <cell r="F2492">
            <v>0</v>
          </cell>
          <cell r="G2492">
            <v>0</v>
          </cell>
          <cell r="H2492">
            <v>99.933557999988352</v>
          </cell>
          <cell r="I2492">
            <v>0</v>
          </cell>
          <cell r="J2492"/>
          <cell r="K2492">
            <v>99.933557999988352</v>
          </cell>
        </row>
        <row r="2493">
          <cell r="A2493">
            <v>5.75</v>
          </cell>
          <cell r="B2493">
            <v>99.94976295710552</v>
          </cell>
          <cell r="C2493"/>
          <cell r="D2493">
            <v>99.94976295710552</v>
          </cell>
          <cell r="E2493">
            <v>0.27500000000000002</v>
          </cell>
          <cell r="F2493">
            <v>0</v>
          </cell>
          <cell r="G2493">
            <v>0</v>
          </cell>
          <cell r="H2493">
            <v>99.674762957105514</v>
          </cell>
          <cell r="I2493">
            <v>0</v>
          </cell>
          <cell r="J2493"/>
          <cell r="K2493">
            <v>99.674762957105514</v>
          </cell>
        </row>
        <row r="2494">
          <cell r="A2494">
            <v>5.625</v>
          </cell>
          <cell r="B2494">
            <v>99.465345670050183</v>
          </cell>
          <cell r="C2494"/>
          <cell r="D2494">
            <v>99.465345670050183</v>
          </cell>
          <cell r="E2494">
            <v>0.27500000000000002</v>
          </cell>
          <cell r="F2494">
            <v>0</v>
          </cell>
          <cell r="G2494">
            <v>0</v>
          </cell>
          <cell r="H2494">
            <v>99.190345670050178</v>
          </cell>
          <cell r="I2494">
            <v>0</v>
          </cell>
          <cell r="J2494"/>
          <cell r="K2494">
            <v>99.190345670050178</v>
          </cell>
        </row>
        <row r="2495">
          <cell r="A2495">
            <v>5.5</v>
          </cell>
          <cell r="B2495">
            <v>99.2035936450539</v>
          </cell>
          <cell r="C2495"/>
          <cell r="D2495">
            <v>99.2035936450539</v>
          </cell>
          <cell r="E2495">
            <v>0.27500000000000002</v>
          </cell>
          <cell r="F2495">
            <v>0</v>
          </cell>
          <cell r="G2495">
            <v>0</v>
          </cell>
          <cell r="H2495">
            <v>98.928593645053894</v>
          </cell>
          <cell r="I2495">
            <v>0</v>
          </cell>
          <cell r="J2495"/>
          <cell r="K2495">
            <v>98.928593645053894</v>
          </cell>
        </row>
        <row r="2496">
          <cell r="A2496">
            <v>5.375</v>
          </cell>
          <cell r="B2496">
            <v>98.913467670954333</v>
          </cell>
          <cell r="C2496"/>
          <cell r="D2496">
            <v>98.913467670954333</v>
          </cell>
          <cell r="E2496">
            <v>0.27500000000000002</v>
          </cell>
          <cell r="F2496">
            <v>0</v>
          </cell>
          <cell r="G2496">
            <v>0</v>
          </cell>
          <cell r="H2496">
            <v>98.638467670954327</v>
          </cell>
          <cell r="I2496">
            <v>0</v>
          </cell>
          <cell r="J2496"/>
          <cell r="K2496">
            <v>98.638467670954327</v>
          </cell>
        </row>
        <row r="2497">
          <cell r="A2497">
            <v>5.25</v>
          </cell>
          <cell r="B2497">
            <v>98.6135667146971</v>
          </cell>
          <cell r="C2497"/>
          <cell r="D2497">
            <v>98.6135667146971</v>
          </cell>
          <cell r="E2497">
            <v>0.27500000000000002</v>
          </cell>
          <cell r="F2497">
            <v>0</v>
          </cell>
          <cell r="G2497">
            <v>0</v>
          </cell>
          <cell r="H2497">
            <v>98.338566714697095</v>
          </cell>
          <cell r="I2497">
            <v>0</v>
          </cell>
          <cell r="J2497"/>
          <cell r="K2497">
            <v>98.338566714697095</v>
          </cell>
        </row>
        <row r="2498">
          <cell r="A2498">
            <v>5.125</v>
          </cell>
          <cell r="B2498">
            <v>96.463603076172106</v>
          </cell>
          <cell r="C2498"/>
          <cell r="D2498">
            <v>96.463603076172106</v>
          </cell>
          <cell r="E2498">
            <v>0.27500000000000002</v>
          </cell>
          <cell r="F2498">
            <v>0</v>
          </cell>
          <cell r="G2498">
            <v>0</v>
          </cell>
          <cell r="H2498">
            <v>96.1886030761721</v>
          </cell>
          <cell r="I2498">
            <v>0</v>
          </cell>
          <cell r="J2498"/>
          <cell r="K2498">
            <v>96.1886030761721</v>
          </cell>
        </row>
        <row r="2499">
          <cell r="A2499">
            <v>5</v>
          </cell>
          <cell r="B2499">
            <v>96.156091270193315</v>
          </cell>
          <cell r="C2499"/>
          <cell r="D2499">
            <v>96.156091270193315</v>
          </cell>
          <cell r="E2499">
            <v>0.27500000000000002</v>
          </cell>
          <cell r="F2499">
            <v>0</v>
          </cell>
          <cell r="G2499">
            <v>0</v>
          </cell>
          <cell r="H2499">
            <v>95.881091270193309</v>
          </cell>
          <cell r="I2499">
            <v>0</v>
          </cell>
          <cell r="J2499"/>
          <cell r="K2499">
            <v>95.881091270193309</v>
          </cell>
        </row>
        <row r="2500">
          <cell r="A2500">
            <v>4.875</v>
          </cell>
          <cell r="B2500">
            <v>95.824493229835937</v>
          </cell>
          <cell r="C2500"/>
          <cell r="D2500">
            <v>95.824493229835937</v>
          </cell>
          <cell r="E2500">
            <v>0.27500000000000002</v>
          </cell>
          <cell r="F2500">
            <v>0</v>
          </cell>
          <cell r="G2500">
            <v>0</v>
          </cell>
          <cell r="H2500">
            <v>95.549493229835932</v>
          </cell>
          <cell r="I2500">
            <v>0</v>
          </cell>
          <cell r="J2500"/>
          <cell r="K2500">
            <v>95.549493229835932</v>
          </cell>
        </row>
        <row r="2501">
          <cell r="A2501">
            <v>4.75</v>
          </cell>
          <cell r="B2501">
            <v>95.487468285719785</v>
          </cell>
          <cell r="C2501"/>
          <cell r="D2501">
            <v>95.487468285719785</v>
          </cell>
          <cell r="E2501">
            <v>0.27500000000000002</v>
          </cell>
          <cell r="F2501">
            <v>0</v>
          </cell>
          <cell r="G2501">
            <v>0</v>
          </cell>
          <cell r="H2501">
            <v>95.21246828571978</v>
          </cell>
          <cell r="I2501">
            <v>0</v>
          </cell>
          <cell r="J2501"/>
          <cell r="K2501">
            <v>95.21246828571978</v>
          </cell>
        </row>
        <row r="2502">
          <cell r="A2502"/>
          <cell r="B2502"/>
          <cell r="C2502"/>
          <cell r="D2502"/>
          <cell r="E2502"/>
          <cell r="F2502"/>
          <cell r="G2502"/>
          <cell r="H2502"/>
          <cell r="I2502"/>
          <cell r="J2502"/>
          <cell r="K2502"/>
        </row>
        <row r="2506">
          <cell r="A2506">
            <v>7.75</v>
          </cell>
          <cell r="B2506">
            <v>104.34399999999999</v>
          </cell>
          <cell r="C2506">
            <v>0.60012653450037634</v>
          </cell>
          <cell r="D2506">
            <v>104.94412653450037</v>
          </cell>
          <cell r="E2506">
            <v>-0.66999999999999993</v>
          </cell>
          <cell r="F2506">
            <v>0.375</v>
          </cell>
          <cell r="G2506">
            <v>0</v>
          </cell>
          <cell r="H2506">
            <v>105.23912653450037</v>
          </cell>
          <cell r="I2506">
            <v>0</v>
          </cell>
          <cell r="J2506"/>
          <cell r="K2506">
            <v>105.23912653450037</v>
          </cell>
        </row>
        <row r="2507">
          <cell r="A2507">
            <v>7.625</v>
          </cell>
          <cell r="B2507">
            <v>104.32599999999999</v>
          </cell>
          <cell r="C2507">
            <v>0.65472031167613554</v>
          </cell>
          <cell r="D2507">
            <v>104.98072031167612</v>
          </cell>
          <cell r="E2507">
            <v>-0.66999999999999993</v>
          </cell>
          <cell r="F2507">
            <v>0.375</v>
          </cell>
          <cell r="G2507">
            <v>0</v>
          </cell>
          <cell r="H2507">
            <v>105.27572031167612</v>
          </cell>
          <cell r="I2507">
            <v>0</v>
          </cell>
          <cell r="J2507"/>
          <cell r="K2507">
            <v>105.27572031167612</v>
          </cell>
        </row>
        <row r="2508">
          <cell r="A2508">
            <v>7.5</v>
          </cell>
          <cell r="B2508">
            <v>104.059</v>
          </cell>
          <cell r="C2508">
            <v>0.71320601804099537</v>
          </cell>
          <cell r="D2508">
            <v>104.77220601804099</v>
          </cell>
          <cell r="E2508">
            <v>-0.66999999999999993</v>
          </cell>
          <cell r="F2508">
            <v>0.375</v>
          </cell>
          <cell r="G2508">
            <v>0</v>
          </cell>
          <cell r="H2508">
            <v>105.06720601804099</v>
          </cell>
          <cell r="I2508">
            <v>0</v>
          </cell>
          <cell r="J2508"/>
          <cell r="K2508">
            <v>105.06720601804099</v>
          </cell>
        </row>
        <row r="2509">
          <cell r="A2509">
            <v>7.375</v>
          </cell>
          <cell r="B2509">
            <v>103.72799999999999</v>
          </cell>
          <cell r="C2509">
            <v>0.7747793530222602</v>
          </cell>
          <cell r="D2509">
            <v>104.50277935302225</v>
          </cell>
          <cell r="E2509">
            <v>-0.66999999999999993</v>
          </cell>
          <cell r="F2509">
            <v>0.375</v>
          </cell>
          <cell r="G2509">
            <v>0</v>
          </cell>
          <cell r="H2509">
            <v>104.79777935302225</v>
          </cell>
          <cell r="I2509">
            <v>0</v>
          </cell>
          <cell r="J2509"/>
          <cell r="K2509">
            <v>104.79777935302225</v>
          </cell>
        </row>
        <row r="2510">
          <cell r="A2510">
            <v>7.25</v>
          </cell>
          <cell r="B2510">
            <v>103.196</v>
          </cell>
          <cell r="C2510">
            <v>0.82822321807392485</v>
          </cell>
          <cell r="D2510">
            <v>104.02422321807393</v>
          </cell>
          <cell r="E2510">
            <v>-0.66999999999999993</v>
          </cell>
          <cell r="F2510">
            <v>0.375</v>
          </cell>
          <cell r="G2510">
            <v>0</v>
          </cell>
          <cell r="H2510">
            <v>104.31922321807393</v>
          </cell>
          <cell r="I2510">
            <v>0</v>
          </cell>
          <cell r="J2510"/>
          <cell r="K2510">
            <v>104.31922321807393</v>
          </cell>
        </row>
        <row r="2511">
          <cell r="A2511">
            <v>7.125</v>
          </cell>
          <cell r="B2511">
            <v>102.932</v>
          </cell>
          <cell r="C2511">
            <v>0.87863429865376697</v>
          </cell>
          <cell r="D2511">
            <v>103.81063429865377</v>
          </cell>
          <cell r="E2511">
            <v>-0.66999999999999993</v>
          </cell>
          <cell r="F2511">
            <v>0.375</v>
          </cell>
          <cell r="G2511">
            <v>0</v>
          </cell>
          <cell r="H2511">
            <v>104.10563429865377</v>
          </cell>
          <cell r="I2511">
            <v>0</v>
          </cell>
          <cell r="J2511"/>
          <cell r="K2511">
            <v>104.10563429865377</v>
          </cell>
        </row>
        <row r="2512">
          <cell r="A2512">
            <v>7</v>
          </cell>
          <cell r="B2512">
            <v>102.554</v>
          </cell>
          <cell r="C2512">
            <v>0.92941882148098509</v>
          </cell>
          <cell r="D2512">
            <v>103.48341882148098</v>
          </cell>
          <cell r="E2512">
            <v>-0.66999999999999993</v>
          </cell>
          <cell r="F2512">
            <v>0.375</v>
          </cell>
          <cell r="G2512">
            <v>0</v>
          </cell>
          <cell r="H2512">
            <v>103.77841882148098</v>
          </cell>
          <cell r="I2512">
            <v>0</v>
          </cell>
          <cell r="J2512"/>
          <cell r="K2512">
            <v>103.77841882148098</v>
          </cell>
        </row>
        <row r="2513">
          <cell r="A2513">
            <v>6.875</v>
          </cell>
          <cell r="B2513">
            <v>102.042</v>
          </cell>
          <cell r="C2513">
            <v>0.97963707029997038</v>
          </cell>
          <cell r="D2513">
            <v>103.02163707029997</v>
          </cell>
          <cell r="E2513">
            <v>-0.66999999999999993</v>
          </cell>
          <cell r="F2513">
            <v>0.375</v>
          </cell>
          <cell r="G2513">
            <v>0</v>
          </cell>
          <cell r="H2513">
            <v>103.31663707029998</v>
          </cell>
          <cell r="I2513">
            <v>0</v>
          </cell>
          <cell r="J2513"/>
          <cell r="K2513">
            <v>103.31663707029998</v>
          </cell>
        </row>
        <row r="2514">
          <cell r="A2514">
            <v>6.75</v>
          </cell>
          <cell r="B2514">
            <v>101.453</v>
          </cell>
          <cell r="C2514">
            <v>1.0280353823492594</v>
          </cell>
          <cell r="D2514">
            <v>102.48103538234926</v>
          </cell>
          <cell r="E2514">
            <v>-0.66999999999999993</v>
          </cell>
          <cell r="F2514">
            <v>0.375</v>
          </cell>
          <cell r="G2514">
            <v>0</v>
          </cell>
          <cell r="H2514">
            <v>102.77603538234926</v>
          </cell>
          <cell r="I2514">
            <v>0</v>
          </cell>
          <cell r="J2514"/>
          <cell r="K2514">
            <v>102.77603538234926</v>
          </cell>
        </row>
        <row r="2515">
          <cell r="A2515">
            <v>6.625</v>
          </cell>
          <cell r="B2515">
            <v>101.232</v>
          </cell>
          <cell r="C2515">
            <v>1.0731419487640863</v>
          </cell>
          <cell r="D2515">
            <v>102.30514194876409</v>
          </cell>
          <cell r="E2515">
            <v>-0.66999999999999993</v>
          </cell>
          <cell r="F2515">
            <v>0.375</v>
          </cell>
          <cell r="G2515">
            <v>0</v>
          </cell>
          <cell r="H2515">
            <v>102.60014194876409</v>
          </cell>
          <cell r="I2515">
            <v>0</v>
          </cell>
          <cell r="J2515"/>
          <cell r="K2515">
            <v>102.60014194876409</v>
          </cell>
        </row>
        <row r="2516">
          <cell r="A2516">
            <v>6.5</v>
          </cell>
          <cell r="B2516">
            <v>100.82</v>
          </cell>
          <cell r="C2516">
            <v>1.1135579725934197</v>
          </cell>
          <cell r="D2516">
            <v>101.93355797259342</v>
          </cell>
          <cell r="E2516">
            <v>-0.66999999999999993</v>
          </cell>
          <cell r="F2516">
            <v>0.375</v>
          </cell>
          <cell r="G2516">
            <v>0</v>
          </cell>
          <cell r="H2516">
            <v>102.22855797259342</v>
          </cell>
          <cell r="I2516">
            <v>0</v>
          </cell>
          <cell r="J2516"/>
          <cell r="K2516">
            <v>102.22855797259342</v>
          </cell>
        </row>
        <row r="2517">
          <cell r="A2517">
            <v>6.375</v>
          </cell>
          <cell r="B2517">
            <v>100.45399999999999</v>
          </cell>
          <cell r="C2517">
            <v>1.1475731089140164</v>
          </cell>
          <cell r="D2517">
            <v>101.60157310891401</v>
          </cell>
          <cell r="E2517">
            <v>-0.66999999999999993</v>
          </cell>
          <cell r="F2517">
            <v>0.375</v>
          </cell>
          <cell r="G2517">
            <v>0</v>
          </cell>
          <cell r="H2517">
            <v>101.89657310891401</v>
          </cell>
          <cell r="I2517">
            <v>0</v>
          </cell>
          <cell r="J2517"/>
          <cell r="K2517">
            <v>101.89657310891401</v>
          </cell>
        </row>
        <row r="2518">
          <cell r="A2518">
            <v>6.25</v>
          </cell>
          <cell r="B2518">
            <v>99.978999999999999</v>
          </cell>
          <cell r="C2518">
            <v>1.1739341544104718</v>
          </cell>
          <cell r="D2518">
            <v>101.15293415441047</v>
          </cell>
          <cell r="E2518">
            <v>-0.66999999999999993</v>
          </cell>
          <cell r="F2518">
            <v>0.375</v>
          </cell>
          <cell r="G2518">
            <v>0</v>
          </cell>
          <cell r="H2518">
            <v>101.44793415441048</v>
          </cell>
          <cell r="I2518">
            <v>0</v>
          </cell>
          <cell r="J2518"/>
          <cell r="K2518">
            <v>101.44793415441048</v>
          </cell>
        </row>
        <row r="2519">
          <cell r="A2519">
            <v>6.125</v>
          </cell>
          <cell r="B2519">
            <v>99.421999999999997</v>
          </cell>
          <cell r="C2519">
            <v>1.1914619382646172</v>
          </cell>
          <cell r="D2519">
            <v>100.61346193826462</v>
          </cell>
          <cell r="E2519">
            <v>-0.66999999999999993</v>
          </cell>
          <cell r="F2519">
            <v>0.27500000000000002</v>
          </cell>
          <cell r="G2519">
            <v>0</v>
          </cell>
          <cell r="H2519">
            <v>101.00846193826462</v>
          </cell>
          <cell r="I2519">
            <v>0</v>
          </cell>
          <cell r="J2519"/>
          <cell r="K2519">
            <v>101.00846193826462</v>
          </cell>
        </row>
        <row r="2520">
          <cell r="A2520">
            <v>6</v>
          </cell>
          <cell r="B2520">
            <v>98.933999999999997</v>
          </cell>
          <cell r="C2520">
            <v>1.2261032992851351</v>
          </cell>
          <cell r="D2520">
            <v>100.16010329928513</v>
          </cell>
          <cell r="E2520">
            <v>-0.66999999999999993</v>
          </cell>
          <cell r="F2520">
            <v>0.375</v>
          </cell>
          <cell r="G2520">
            <v>0</v>
          </cell>
          <cell r="H2520">
            <v>100.45510329928513</v>
          </cell>
          <cell r="I2520">
            <v>0</v>
          </cell>
          <cell r="J2520"/>
          <cell r="K2520">
            <v>100.45510329928513</v>
          </cell>
        </row>
        <row r="2521">
          <cell r="A2521">
            <v>5.99</v>
          </cell>
          <cell r="B2521">
            <v>98.783999999999992</v>
          </cell>
          <cell r="C2521">
            <v>1.2261032992851351</v>
          </cell>
          <cell r="D2521">
            <v>100.01010329928512</v>
          </cell>
          <cell r="E2521">
            <v>-0.66999999999999993</v>
          </cell>
          <cell r="F2521">
            <v>0.375</v>
          </cell>
          <cell r="G2521">
            <v>0</v>
          </cell>
          <cell r="H2521">
            <v>100.30510329928512</v>
          </cell>
          <cell r="I2521">
            <v>0</v>
          </cell>
          <cell r="J2521"/>
          <cell r="K2521">
            <v>100.30510329928512</v>
          </cell>
        </row>
        <row r="2522">
          <cell r="A2522">
            <v>5.875</v>
          </cell>
          <cell r="B2522">
            <v>98.454999999999998</v>
          </cell>
          <cell r="C2522">
            <v>1.2582542829647416</v>
          </cell>
          <cell r="D2522">
            <v>99.713254282964741</v>
          </cell>
          <cell r="E2522">
            <v>-0.66999999999999993</v>
          </cell>
          <cell r="F2522">
            <v>0.375</v>
          </cell>
          <cell r="G2522">
            <v>0</v>
          </cell>
          <cell r="H2522">
            <v>100.00825428296474</v>
          </cell>
          <cell r="I2522">
            <v>0</v>
          </cell>
          <cell r="J2522"/>
          <cell r="K2522">
            <v>100.00825428296474</v>
          </cell>
        </row>
        <row r="2523">
          <cell r="A2523">
            <v>5.75</v>
          </cell>
          <cell r="B2523">
            <v>97.893000000000001</v>
          </cell>
          <cell r="C2523">
            <v>1.2874604346057832</v>
          </cell>
          <cell r="D2523">
            <v>99.180460434605777</v>
          </cell>
          <cell r="E2523">
            <v>-0.66999999999999993</v>
          </cell>
          <cell r="F2523">
            <v>0.375</v>
          </cell>
          <cell r="G2523">
            <v>0</v>
          </cell>
          <cell r="H2523">
            <v>99.475460434605779</v>
          </cell>
          <cell r="I2523">
            <v>0</v>
          </cell>
          <cell r="J2523"/>
          <cell r="K2523">
            <v>99.475460434605779</v>
          </cell>
        </row>
        <row r="2524">
          <cell r="A2524">
            <v>5.625</v>
          </cell>
          <cell r="B2524">
            <v>97.337999999999994</v>
          </cell>
          <cell r="C2524">
            <v>1.3103523159702306</v>
          </cell>
          <cell r="D2524">
            <v>98.648352315970229</v>
          </cell>
          <cell r="E2524">
            <v>-0.66999999999999993</v>
          </cell>
          <cell r="F2524">
            <v>0.375</v>
          </cell>
          <cell r="G2524">
            <v>0</v>
          </cell>
          <cell r="H2524">
            <v>98.94335231597023</v>
          </cell>
          <cell r="I2524">
            <v>0</v>
          </cell>
          <cell r="J2524"/>
          <cell r="K2524">
            <v>98.94335231597023</v>
          </cell>
        </row>
        <row r="2525">
          <cell r="A2525">
            <v>5.5</v>
          </cell>
          <cell r="B2525">
            <v>96.736000000000004</v>
          </cell>
          <cell r="C2525">
            <v>1.332099769761613</v>
          </cell>
          <cell r="D2525">
            <v>98.068099769761616</v>
          </cell>
          <cell r="E2525">
            <v>-0.66999999999999993</v>
          </cell>
          <cell r="F2525">
            <v>0.375</v>
          </cell>
          <cell r="G2525">
            <v>0</v>
          </cell>
          <cell r="H2525">
            <v>98.363099769761618</v>
          </cell>
          <cell r="I2525">
            <v>0</v>
          </cell>
          <cell r="J2525"/>
          <cell r="K2525">
            <v>98.363099769761618</v>
          </cell>
        </row>
        <row r="2526">
          <cell r="A2526">
            <v>5.375</v>
          </cell>
          <cell r="B2526">
            <v>96.15</v>
          </cell>
          <cell r="C2526">
            <v>1.349396508770641</v>
          </cell>
          <cell r="D2526">
            <v>97.499396508770644</v>
          </cell>
          <cell r="E2526">
            <v>-0.66999999999999993</v>
          </cell>
          <cell r="F2526">
            <v>0.375</v>
          </cell>
          <cell r="G2526">
            <v>0</v>
          </cell>
          <cell r="H2526">
            <v>97.794396508770646</v>
          </cell>
          <cell r="I2526">
            <v>0</v>
          </cell>
          <cell r="J2526"/>
          <cell r="K2526">
            <v>97.794396508770646</v>
          </cell>
        </row>
        <row r="2527">
          <cell r="A2527">
            <v>5.25</v>
          </cell>
          <cell r="B2527">
            <v>95.146000000000001</v>
          </cell>
          <cell r="C2527">
            <v>1.3619320322486328</v>
          </cell>
          <cell r="D2527">
            <v>96.507932032248632</v>
          </cell>
          <cell r="E2527">
            <v>-0.66999999999999993</v>
          </cell>
          <cell r="F2527">
            <v>0.375</v>
          </cell>
          <cell r="G2527">
            <v>0</v>
          </cell>
          <cell r="H2527">
            <v>96.802932032248634</v>
          </cell>
          <cell r="I2527">
            <v>0</v>
          </cell>
          <cell r="J2527"/>
          <cell r="K2527">
            <v>96.802932032248634</v>
          </cell>
        </row>
        <row r="2528">
          <cell r="A2528">
            <v>5.125</v>
          </cell>
          <cell r="B2528">
            <v>95.129000000000005</v>
          </cell>
          <cell r="C2528">
            <v>1.3719680144753188</v>
          </cell>
          <cell r="D2528">
            <v>96.500968014475319</v>
          </cell>
          <cell r="E2528">
            <v>-0.66999999999999993</v>
          </cell>
          <cell r="F2528">
            <v>0.375</v>
          </cell>
          <cell r="G2528">
            <v>0</v>
          </cell>
          <cell r="H2528">
            <v>96.795968014475321</v>
          </cell>
          <cell r="I2528">
            <v>0</v>
          </cell>
          <cell r="J2528"/>
          <cell r="K2528">
            <v>96.795968014475321</v>
          </cell>
        </row>
        <row r="2529">
          <cell r="A2529">
            <v>5</v>
          </cell>
          <cell r="B2529">
            <v>94.415999999999997</v>
          </cell>
          <cell r="C2529">
            <v>1.3849446652924806</v>
          </cell>
          <cell r="D2529">
            <v>95.800944665292477</v>
          </cell>
          <cell r="E2529">
            <v>-0.66999999999999993</v>
          </cell>
          <cell r="F2529">
            <v>0.375</v>
          </cell>
          <cell r="G2529">
            <v>0</v>
          </cell>
          <cell r="H2529">
            <v>96.095944665292478</v>
          </cell>
          <cell r="I2529">
            <v>0</v>
          </cell>
          <cell r="J2529"/>
          <cell r="K2529">
            <v>96.095944665292478</v>
          </cell>
        </row>
        <row r="2530">
          <cell r="A2530">
            <v>4.875</v>
          </cell>
          <cell r="B2530">
            <v>93.64</v>
          </cell>
          <cell r="C2530">
            <v>1.3980988298836645</v>
          </cell>
          <cell r="D2530">
            <v>95.038098829883666</v>
          </cell>
          <cell r="E2530">
            <v>-0.66999999999999993</v>
          </cell>
          <cell r="F2530">
            <v>0.375</v>
          </cell>
          <cell r="G2530">
            <v>0</v>
          </cell>
          <cell r="H2530">
            <v>95.333098829883667</v>
          </cell>
          <cell r="I2530">
            <v>0</v>
          </cell>
          <cell r="J2530"/>
          <cell r="K2530">
            <v>95.333098829883667</v>
          </cell>
        </row>
        <row r="2531">
          <cell r="A2531">
            <v>4.75</v>
          </cell>
          <cell r="B2531">
            <v>92.762</v>
          </cell>
          <cell r="C2531">
            <v>1.4114225825536417</v>
          </cell>
          <cell r="D2531">
            <v>94.173422582553641</v>
          </cell>
          <cell r="E2531">
            <v>-0.66999999999999993</v>
          </cell>
          <cell r="F2531">
            <v>0.375</v>
          </cell>
          <cell r="G2531">
            <v>0</v>
          </cell>
          <cell r="H2531">
            <v>94.468422582553643</v>
          </cell>
          <cell r="I2531">
            <v>0</v>
          </cell>
          <cell r="J2531"/>
          <cell r="K2531">
            <v>94.468422582553643</v>
          </cell>
        </row>
        <row r="2534">
          <cell r="A2534">
            <v>7.25</v>
          </cell>
          <cell r="B2534">
            <v>103.459</v>
          </cell>
          <cell r="C2534">
            <v>0.56126029552525858</v>
          </cell>
          <cell r="D2534">
            <v>104.02026029552526</v>
          </cell>
          <cell r="E2534">
            <v>-0.12000000000000005</v>
          </cell>
          <cell r="F2534">
            <v>0.125</v>
          </cell>
          <cell r="G2534">
            <v>0</v>
          </cell>
          <cell r="H2534">
            <v>104.01526029552527</v>
          </cell>
          <cell r="I2534">
            <v>0</v>
          </cell>
          <cell r="J2534"/>
          <cell r="K2534">
            <v>104.01526029552527</v>
          </cell>
        </row>
        <row r="2535">
          <cell r="A2535">
            <v>7.125</v>
          </cell>
          <cell r="B2535">
            <v>103.184</v>
          </cell>
          <cell r="C2535">
            <v>0.58062189133641384</v>
          </cell>
          <cell r="D2535">
            <v>103.76462189133642</v>
          </cell>
          <cell r="E2535">
            <v>-0.12000000000000005</v>
          </cell>
          <cell r="F2535">
            <v>0.125</v>
          </cell>
          <cell r="G2535">
            <v>0</v>
          </cell>
          <cell r="H2535">
            <v>103.75962189133642</v>
          </cell>
          <cell r="I2535">
            <v>0</v>
          </cell>
          <cell r="J2535"/>
          <cell r="K2535">
            <v>103.75962189133642</v>
          </cell>
        </row>
        <row r="2536">
          <cell r="A2536">
            <v>7</v>
          </cell>
          <cell r="B2536">
            <v>103.51300000000001</v>
          </cell>
          <cell r="C2536">
            <v>0.60203982005500167</v>
          </cell>
          <cell r="D2536">
            <v>104.115039820055</v>
          </cell>
          <cell r="E2536">
            <v>-0.12000000000000005</v>
          </cell>
          <cell r="F2536">
            <v>0.125</v>
          </cell>
          <cell r="G2536">
            <v>0</v>
          </cell>
          <cell r="H2536">
            <v>104.11003982005501</v>
          </cell>
          <cell r="I2536">
            <v>0</v>
          </cell>
          <cell r="J2536"/>
          <cell r="K2536">
            <v>104.11003982005501</v>
          </cell>
        </row>
        <row r="2537">
          <cell r="A2537">
            <v>6.875</v>
          </cell>
          <cell r="B2537">
            <v>103.26900000000001</v>
          </cell>
          <cell r="C2537">
            <v>0.62534093630826337</v>
          </cell>
          <cell r="D2537">
            <v>103.89434093630827</v>
          </cell>
          <cell r="E2537">
            <v>-0.12000000000000005</v>
          </cell>
          <cell r="F2537">
            <v>0.125</v>
          </cell>
          <cell r="G2537">
            <v>0</v>
          </cell>
          <cell r="H2537">
            <v>103.88934093630827</v>
          </cell>
          <cell r="I2537">
            <v>0</v>
          </cell>
          <cell r="J2537"/>
          <cell r="K2537">
            <v>103.88934093630827</v>
          </cell>
        </row>
        <row r="2538">
          <cell r="A2538">
            <v>6.75</v>
          </cell>
          <cell r="B2538">
            <v>102.996</v>
          </cell>
          <cell r="C2538">
            <v>0.65025908368989305</v>
          </cell>
          <cell r="D2538">
            <v>103.64625908368988</v>
          </cell>
          <cell r="E2538">
            <v>-0.12000000000000005</v>
          </cell>
          <cell r="F2538">
            <v>0.125</v>
          </cell>
          <cell r="G2538">
            <v>0</v>
          </cell>
          <cell r="H2538">
            <v>103.64125908368989</v>
          </cell>
          <cell r="I2538">
            <v>0</v>
          </cell>
          <cell r="J2538"/>
          <cell r="K2538">
            <v>103.64125908368989</v>
          </cell>
        </row>
        <row r="2539">
          <cell r="A2539">
            <v>6.625</v>
          </cell>
          <cell r="B2539">
            <v>102.71599999999999</v>
          </cell>
          <cell r="C2539">
            <v>0.67610484962926121</v>
          </cell>
          <cell r="D2539">
            <v>103.39210484962925</v>
          </cell>
          <cell r="E2539">
            <v>-0.12000000000000005</v>
          </cell>
          <cell r="F2539">
            <v>0.125</v>
          </cell>
          <cell r="G2539">
            <v>0</v>
          </cell>
          <cell r="H2539">
            <v>103.38710484962925</v>
          </cell>
          <cell r="I2539">
            <v>0</v>
          </cell>
          <cell r="J2539"/>
          <cell r="K2539">
            <v>103.38710484962925</v>
          </cell>
        </row>
        <row r="2540">
          <cell r="A2540">
            <v>6.5</v>
          </cell>
          <cell r="B2540">
            <v>102.512</v>
          </cell>
          <cell r="C2540">
            <v>0.70497051076905048</v>
          </cell>
          <cell r="D2540">
            <v>103.21697051076904</v>
          </cell>
          <cell r="E2540">
            <v>-0.12000000000000005</v>
          </cell>
          <cell r="F2540">
            <v>0.125</v>
          </cell>
          <cell r="G2540">
            <v>0</v>
          </cell>
          <cell r="H2540">
            <v>103.21197051076905</v>
          </cell>
          <cell r="I2540">
            <v>0</v>
          </cell>
          <cell r="J2540"/>
          <cell r="K2540">
            <v>103.21197051076905</v>
          </cell>
        </row>
        <row r="2541">
          <cell r="A2541">
            <v>6.375</v>
          </cell>
          <cell r="B2541">
            <v>102.238</v>
          </cell>
          <cell r="C2541">
            <v>0.73854383975763349</v>
          </cell>
          <cell r="D2541">
            <v>102.97654383975764</v>
          </cell>
          <cell r="E2541">
            <v>-0.12000000000000005</v>
          </cell>
          <cell r="F2541">
            <v>0.125</v>
          </cell>
          <cell r="G2541">
            <v>0</v>
          </cell>
          <cell r="H2541">
            <v>102.97154383975764</v>
          </cell>
          <cell r="I2541">
            <v>0</v>
          </cell>
          <cell r="J2541"/>
          <cell r="K2541">
            <v>102.97154383975764</v>
          </cell>
        </row>
        <row r="2542">
          <cell r="A2542">
            <v>6.25</v>
          </cell>
          <cell r="B2542">
            <v>101.91</v>
          </cell>
          <cell r="C2542">
            <v>0.77507419526604571</v>
          </cell>
          <cell r="D2542">
            <v>102.68507419526604</v>
          </cell>
          <cell r="E2542">
            <v>-0.12000000000000005</v>
          </cell>
          <cell r="F2542">
            <v>0.125</v>
          </cell>
          <cell r="G2542">
            <v>0</v>
          </cell>
          <cell r="H2542">
            <v>102.68007419526604</v>
          </cell>
          <cell r="I2542">
            <v>0</v>
          </cell>
          <cell r="J2542"/>
          <cell r="K2542">
            <v>102.68007419526604</v>
          </cell>
        </row>
        <row r="2543">
          <cell r="A2543">
            <v>6.125</v>
          </cell>
          <cell r="B2543">
            <v>101.538</v>
          </cell>
          <cell r="C2543">
            <v>0.81193159693787897</v>
          </cell>
          <cell r="D2543">
            <v>102.34993159693788</v>
          </cell>
          <cell r="E2543">
            <v>-0.12000000000000005</v>
          </cell>
          <cell r="F2543">
            <v>0.125</v>
          </cell>
          <cell r="G2543">
            <v>0</v>
          </cell>
          <cell r="H2543">
            <v>102.34493159693788</v>
          </cell>
          <cell r="I2543">
            <v>0</v>
          </cell>
          <cell r="J2543"/>
          <cell r="K2543">
            <v>102.34493159693788</v>
          </cell>
        </row>
        <row r="2544">
          <cell r="A2544">
            <v>6</v>
          </cell>
          <cell r="B2544">
            <v>101.24</v>
          </cell>
          <cell r="C2544">
            <v>0.84454537091749549</v>
          </cell>
          <cell r="D2544">
            <v>102.0845453709175</v>
          </cell>
          <cell r="E2544">
            <v>-0.12000000000000005</v>
          </cell>
          <cell r="F2544">
            <v>0.125</v>
          </cell>
          <cell r="G2544">
            <v>0</v>
          </cell>
          <cell r="H2544">
            <v>102.0795453709175</v>
          </cell>
          <cell r="I2544">
            <v>0</v>
          </cell>
          <cell r="J2544"/>
          <cell r="K2544">
            <v>102.0795453709175</v>
          </cell>
        </row>
        <row r="2545">
          <cell r="A2545">
            <v>5.875</v>
          </cell>
          <cell r="B2545">
            <v>100.94</v>
          </cell>
          <cell r="C2545">
            <v>0.87241864753888954</v>
          </cell>
          <cell r="D2545">
            <v>101.81241864753889</v>
          </cell>
          <cell r="E2545">
            <v>-0.12000000000000005</v>
          </cell>
          <cell r="F2545">
            <v>0.125</v>
          </cell>
          <cell r="G2545">
            <v>0</v>
          </cell>
          <cell r="H2545">
            <v>101.8074186475389</v>
          </cell>
          <cell r="I2545">
            <v>0</v>
          </cell>
          <cell r="J2545"/>
          <cell r="K2545">
            <v>101.8074186475389</v>
          </cell>
        </row>
        <row r="2546">
          <cell r="A2546">
            <v>5.75</v>
          </cell>
          <cell r="B2546">
            <v>100.515</v>
          </cell>
          <cell r="C2546">
            <v>0.89405740022148339</v>
          </cell>
          <cell r="D2546">
            <v>101.40905740022149</v>
          </cell>
          <cell r="E2546">
            <v>-0.12000000000000005</v>
          </cell>
          <cell r="F2546">
            <v>0.125</v>
          </cell>
          <cell r="G2546">
            <v>0</v>
          </cell>
          <cell r="H2546">
            <v>101.40405740022149</v>
          </cell>
          <cell r="I2546">
            <v>0</v>
          </cell>
          <cell r="J2546"/>
          <cell r="K2546">
            <v>101.40405740022149</v>
          </cell>
        </row>
        <row r="2547">
          <cell r="A2547">
            <v>5.625</v>
          </cell>
          <cell r="B2547">
            <v>100.16</v>
          </cell>
          <cell r="C2547">
            <v>0.91157641302291992</v>
          </cell>
          <cell r="D2547">
            <v>101.07157641302291</v>
          </cell>
          <cell r="E2547">
            <v>-0.12000000000000005</v>
          </cell>
          <cell r="F2547">
            <v>0.125</v>
          </cell>
          <cell r="G2547">
            <v>0</v>
          </cell>
          <cell r="H2547">
            <v>101.06657641302291</v>
          </cell>
          <cell r="I2547">
            <v>0</v>
          </cell>
          <cell r="J2547"/>
          <cell r="K2547">
            <v>101.06657641302291</v>
          </cell>
        </row>
        <row r="2548">
          <cell r="A2548">
            <v>5.5</v>
          </cell>
          <cell r="B2548">
            <v>99.822000000000003</v>
          </cell>
          <cell r="C2548">
            <v>0.92675711880623857</v>
          </cell>
          <cell r="D2548">
            <v>100.74875711880624</v>
          </cell>
          <cell r="E2548">
            <v>-0.12000000000000005</v>
          </cell>
          <cell r="F2548">
            <v>0.125</v>
          </cell>
          <cell r="G2548">
            <v>0</v>
          </cell>
          <cell r="H2548">
            <v>100.74375711880624</v>
          </cell>
          <cell r="I2548">
            <v>0</v>
          </cell>
          <cell r="J2548"/>
          <cell r="K2548">
            <v>100.74375711880624</v>
          </cell>
        </row>
        <row r="2549">
          <cell r="A2549">
            <v>5.375</v>
          </cell>
          <cell r="B2549">
            <v>99.457999999999998</v>
          </cell>
          <cell r="C2549">
            <v>0.94182030861649346</v>
          </cell>
          <cell r="D2549">
            <v>100.3998203086165</v>
          </cell>
          <cell r="E2549">
            <v>-0.12000000000000005</v>
          </cell>
          <cell r="F2549">
            <v>0.125</v>
          </cell>
          <cell r="G2549">
            <v>0</v>
          </cell>
          <cell r="H2549">
            <v>100.3948203086165</v>
          </cell>
          <cell r="I2549">
            <v>0</v>
          </cell>
          <cell r="J2549"/>
          <cell r="K2549">
            <v>100.3948203086165</v>
          </cell>
        </row>
        <row r="2550">
          <cell r="A2550">
            <v>5.25</v>
          </cell>
          <cell r="B2550">
            <v>99.102999999999994</v>
          </cell>
          <cell r="C2550">
            <v>0.95620950695123663</v>
          </cell>
          <cell r="D2550">
            <v>100.05920950695123</v>
          </cell>
          <cell r="E2550">
            <v>-0.12000000000000005</v>
          </cell>
          <cell r="F2550">
            <v>0.125</v>
          </cell>
          <cell r="G2550">
            <v>0</v>
          </cell>
          <cell r="H2550">
            <v>100.05420950695124</v>
          </cell>
          <cell r="I2550">
            <v>0</v>
          </cell>
          <cell r="J2550"/>
          <cell r="K2550">
            <v>100.05420950695124</v>
          </cell>
        </row>
        <row r="2551">
          <cell r="A2551">
            <v>5.125</v>
          </cell>
          <cell r="B2551">
            <v>98.772000000000006</v>
          </cell>
          <cell r="C2551">
            <v>0.96597412571712737</v>
          </cell>
          <cell r="D2551">
            <v>99.73797412571713</v>
          </cell>
          <cell r="E2551">
            <v>-0.12000000000000005</v>
          </cell>
          <cell r="F2551">
            <v>0.125</v>
          </cell>
          <cell r="G2551">
            <v>0</v>
          </cell>
          <cell r="H2551">
            <v>99.732974125717135</v>
          </cell>
          <cell r="I2551">
            <v>0</v>
          </cell>
          <cell r="J2551"/>
          <cell r="K2551">
            <v>99.732974125717135</v>
          </cell>
        </row>
        <row r="2552">
          <cell r="A2552">
            <v>5</v>
          </cell>
          <cell r="B2552">
            <v>98.221999999999994</v>
          </cell>
          <cell r="C2552">
            <v>0.97578115344577854</v>
          </cell>
          <cell r="D2552">
            <v>99.197781153445774</v>
          </cell>
          <cell r="E2552">
            <v>-0.12000000000000005</v>
          </cell>
          <cell r="F2552">
            <v>0.125</v>
          </cell>
          <cell r="G2552">
            <v>0</v>
          </cell>
          <cell r="H2552">
            <v>99.192781153445779</v>
          </cell>
          <cell r="I2552">
            <v>0</v>
          </cell>
          <cell r="J2552"/>
          <cell r="K2552">
            <v>99.192781153445779</v>
          </cell>
        </row>
        <row r="2553">
          <cell r="A2553">
            <v>4.875</v>
          </cell>
          <cell r="B2553">
            <v>97.844999999999999</v>
          </cell>
          <cell r="C2553">
            <v>0.98464002628506886</v>
          </cell>
          <cell r="D2553">
            <v>98.829640026285063</v>
          </cell>
          <cell r="E2553">
            <v>-0.12000000000000005</v>
          </cell>
          <cell r="F2553">
            <v>0.125</v>
          </cell>
          <cell r="G2553">
            <v>0</v>
          </cell>
          <cell r="H2553">
            <v>98.824640026285067</v>
          </cell>
          <cell r="I2553">
            <v>0</v>
          </cell>
          <cell r="J2553"/>
          <cell r="K2553">
            <v>98.824640026285067</v>
          </cell>
        </row>
        <row r="2554">
          <cell r="A2554">
            <v>4.75</v>
          </cell>
          <cell r="B2554">
            <v>97.447999999999993</v>
          </cell>
          <cell r="C2554">
            <v>0.9931836013906743</v>
          </cell>
          <cell r="D2554">
            <v>98.441183601390662</v>
          </cell>
          <cell r="E2554">
            <v>-0.12000000000000005</v>
          </cell>
          <cell r="F2554">
            <v>0.125</v>
          </cell>
          <cell r="G2554">
            <v>0</v>
          </cell>
          <cell r="H2554">
            <v>98.436183601390667</v>
          </cell>
          <cell r="I2554">
            <v>0</v>
          </cell>
          <cell r="J2554"/>
          <cell r="K2554">
            <v>98.436183601390667</v>
          </cell>
        </row>
        <row r="2555">
          <cell r="A2555">
            <v>4.625</v>
          </cell>
          <cell r="B2555">
            <v>96.986000000000004</v>
          </cell>
          <cell r="C2555">
            <v>0.99945483888891884</v>
          </cell>
          <cell r="D2555">
            <v>97.985454838888927</v>
          </cell>
          <cell r="E2555">
            <v>-0.12000000000000005</v>
          </cell>
          <cell r="F2555">
            <v>0.125</v>
          </cell>
          <cell r="G2555">
            <v>0</v>
          </cell>
          <cell r="H2555">
            <v>97.980454838888932</v>
          </cell>
          <cell r="I2555">
            <v>0</v>
          </cell>
          <cell r="J2555"/>
          <cell r="K2555">
            <v>97.980454838888932</v>
          </cell>
        </row>
        <row r="2556">
          <cell r="A2556">
            <v>4.5</v>
          </cell>
          <cell r="B2556">
            <v>96.777000000000001</v>
          </cell>
          <cell r="C2556">
            <v>1.0064408622094436</v>
          </cell>
          <cell r="D2556">
            <v>97.783440862209446</v>
          </cell>
          <cell r="E2556">
            <v>-0.12000000000000005</v>
          </cell>
          <cell r="F2556">
            <v>0.125</v>
          </cell>
          <cell r="G2556">
            <v>0</v>
          </cell>
          <cell r="H2556">
            <v>97.77844086220945</v>
          </cell>
          <cell r="I2556">
            <v>0</v>
          </cell>
          <cell r="J2556"/>
          <cell r="K2556">
            <v>97.77844086220945</v>
          </cell>
        </row>
        <row r="2557">
          <cell r="A2557">
            <v>4.375</v>
          </cell>
          <cell r="B2557">
            <v>96.325000000000003</v>
          </cell>
          <cell r="C2557">
            <v>1.0126944802008624</v>
          </cell>
          <cell r="D2557">
            <v>97.337694480200867</v>
          </cell>
          <cell r="E2557">
            <v>-0.12000000000000005</v>
          </cell>
          <cell r="F2557">
            <v>0.125</v>
          </cell>
          <cell r="G2557">
            <v>0</v>
          </cell>
          <cell r="H2557">
            <v>97.332694480200871</v>
          </cell>
          <cell r="I2557">
            <v>0</v>
          </cell>
          <cell r="J2557"/>
          <cell r="K2557">
            <v>97.332694480200871</v>
          </cell>
        </row>
        <row r="2558">
          <cell r="A2558">
            <v>4.25</v>
          </cell>
          <cell r="B2558">
            <v>95.872</v>
          </cell>
          <cell r="C2558">
            <v>1.0182504869902909</v>
          </cell>
          <cell r="D2558">
            <v>96.890250486990297</v>
          </cell>
          <cell r="E2558">
            <v>-0.12000000000000005</v>
          </cell>
          <cell r="F2558">
            <v>0.125</v>
          </cell>
          <cell r="G2558">
            <v>0</v>
          </cell>
          <cell r="H2558">
            <v>96.885250486990302</v>
          </cell>
          <cell r="I2558">
            <v>0</v>
          </cell>
          <cell r="J2558"/>
          <cell r="K2558">
            <v>96.885250486990302</v>
          </cell>
        </row>
        <row r="2561">
          <cell r="A2561">
            <v>7.75</v>
          </cell>
          <cell r="B2561">
            <v>101.471</v>
          </cell>
          <cell r="C2561">
            <v>0.6236258818925321</v>
          </cell>
          <cell r="D2561">
            <v>102.09462588189254</v>
          </cell>
          <cell r="E2561">
            <v>-0.51500000000000001</v>
          </cell>
          <cell r="F2561">
            <v>-0.59708333333332952</v>
          </cell>
          <cell r="G2561">
            <v>0</v>
          </cell>
          <cell r="H2561">
            <v>103.20670921522587</v>
          </cell>
          <cell r="I2561">
            <v>0</v>
          </cell>
          <cell r="J2561"/>
          <cell r="K2561">
            <v>103.20670921522587</v>
          </cell>
        </row>
        <row r="2562">
          <cell r="A2562">
            <v>7.625</v>
          </cell>
          <cell r="B2562">
            <v>102.154</v>
          </cell>
          <cell r="C2562">
            <v>0.67488455781423251</v>
          </cell>
          <cell r="D2562">
            <v>102.82888455781423</v>
          </cell>
          <cell r="E2562">
            <v>-0.51500000000000001</v>
          </cell>
          <cell r="F2562">
            <v>-0.30499999999999883</v>
          </cell>
          <cell r="G2562">
            <v>0</v>
          </cell>
          <cell r="H2562">
            <v>103.64888455781423</v>
          </cell>
          <cell r="I2562">
            <v>0</v>
          </cell>
          <cell r="J2562"/>
          <cell r="K2562">
            <v>103.64888455781423</v>
          </cell>
        </row>
        <row r="2563">
          <cell r="A2563">
            <v>7.5</v>
          </cell>
          <cell r="B2563">
            <v>101.965</v>
          </cell>
          <cell r="C2563">
            <v>0.72379037117104539</v>
          </cell>
          <cell r="D2563">
            <v>102.68879037117105</v>
          </cell>
          <cell r="E2563">
            <v>-0.51500000000000001</v>
          </cell>
          <cell r="F2563">
            <v>-0.27249999999999763</v>
          </cell>
          <cell r="G2563">
            <v>0</v>
          </cell>
          <cell r="H2563">
            <v>103.47629037117105</v>
          </cell>
          <cell r="I2563">
            <v>0</v>
          </cell>
          <cell r="J2563"/>
          <cell r="K2563">
            <v>103.47629037117105</v>
          </cell>
        </row>
        <row r="2564">
          <cell r="A2564">
            <v>7.375</v>
          </cell>
          <cell r="B2564">
            <v>101.503</v>
          </cell>
          <cell r="C2564">
            <v>0.77368308706149624</v>
          </cell>
          <cell r="D2564">
            <v>102.2766830870615</v>
          </cell>
          <cell r="E2564">
            <v>-0.51500000000000001</v>
          </cell>
          <cell r="F2564">
            <v>-0.32708333333333106</v>
          </cell>
          <cell r="G2564">
            <v>0</v>
          </cell>
          <cell r="H2564">
            <v>103.11876642039483</v>
          </cell>
          <cell r="I2564">
            <v>0</v>
          </cell>
          <cell r="J2564"/>
          <cell r="K2564">
            <v>103.11876642039483</v>
          </cell>
        </row>
        <row r="2565">
          <cell r="A2565">
            <v>7.25</v>
          </cell>
          <cell r="B2565">
            <v>100.98699999999999</v>
          </cell>
          <cell r="C2565">
            <v>0.82360853900415887</v>
          </cell>
          <cell r="D2565">
            <v>101.81060853900415</v>
          </cell>
          <cell r="E2565">
            <v>-0.51500000000000001</v>
          </cell>
          <cell r="F2565">
            <v>-0.32041666666666802</v>
          </cell>
          <cell r="G2565">
            <v>0</v>
          </cell>
          <cell r="H2565">
            <v>102.64602520567082</v>
          </cell>
          <cell r="I2565">
            <v>0</v>
          </cell>
          <cell r="J2565"/>
          <cell r="K2565">
            <v>102.64602520567082</v>
          </cell>
        </row>
        <row r="2566">
          <cell r="A2566">
            <v>7.125</v>
          </cell>
          <cell r="B2566">
            <v>101.511</v>
          </cell>
          <cell r="C2566">
            <v>0.87236164847436104</v>
          </cell>
          <cell r="D2566">
            <v>102.38336164847436</v>
          </cell>
          <cell r="E2566">
            <v>-0.51500000000000001</v>
          </cell>
          <cell r="F2566">
            <v>7.9166666666639074E-3</v>
          </cell>
          <cell r="G2566">
            <v>0</v>
          </cell>
          <cell r="H2566">
            <v>102.8904449818077</v>
          </cell>
          <cell r="I2566">
            <v>0</v>
          </cell>
          <cell r="J2566"/>
          <cell r="K2566">
            <v>102.8904449818077</v>
          </cell>
        </row>
        <row r="2567">
          <cell r="A2567">
            <v>7</v>
          </cell>
          <cell r="B2567">
            <v>101.166</v>
          </cell>
          <cell r="C2567">
            <v>0.91849551950415798</v>
          </cell>
          <cell r="D2567">
            <v>102.08449551950416</v>
          </cell>
          <cell r="E2567">
            <v>-0.51500000000000001</v>
          </cell>
          <cell r="F2567">
            <v>2.1666666666664391E-2</v>
          </cell>
          <cell r="G2567">
            <v>0</v>
          </cell>
          <cell r="H2567">
            <v>102.5778288528375</v>
          </cell>
          <cell r="I2567">
            <v>0</v>
          </cell>
          <cell r="J2567"/>
          <cell r="K2567">
            <v>102.5778288528375</v>
          </cell>
        </row>
        <row r="2568">
          <cell r="A2568">
            <v>6.875</v>
          </cell>
          <cell r="B2568">
            <v>100.69</v>
          </cell>
          <cell r="C2568">
            <v>0.96037016523299634</v>
          </cell>
          <cell r="D2568">
            <v>101.650370165233</v>
          </cell>
          <cell r="E2568">
            <v>-0.51500000000000001</v>
          </cell>
          <cell r="F2568">
            <v>-0.21333333333333504</v>
          </cell>
          <cell r="G2568">
            <v>0</v>
          </cell>
          <cell r="H2568">
            <v>102.37870349856634</v>
          </cell>
          <cell r="I2568">
            <v>0</v>
          </cell>
          <cell r="J2568"/>
          <cell r="K2568">
            <v>102.37870349856634</v>
          </cell>
        </row>
        <row r="2569">
          <cell r="A2569">
            <v>6.75</v>
          </cell>
          <cell r="B2569">
            <v>100.101</v>
          </cell>
          <cell r="C2569">
            <v>0.99628142024958177</v>
          </cell>
          <cell r="D2569">
            <v>101.09728142024959</v>
          </cell>
          <cell r="E2569">
            <v>-0.51500000000000001</v>
          </cell>
          <cell r="F2569">
            <v>-0.21333333333333504</v>
          </cell>
          <cell r="G2569">
            <v>0</v>
          </cell>
          <cell r="H2569">
            <v>101.82561475358293</v>
          </cell>
          <cell r="I2569">
            <v>0</v>
          </cell>
          <cell r="J2569"/>
          <cell r="K2569">
            <v>101.82561475358293</v>
          </cell>
        </row>
        <row r="2570">
          <cell r="A2570">
            <v>6.625</v>
          </cell>
          <cell r="B2570">
            <v>100.232</v>
          </cell>
          <cell r="C2570">
            <v>1.0245887605036648</v>
          </cell>
          <cell r="D2570">
            <v>101.25658876050366</v>
          </cell>
          <cell r="E2570">
            <v>-0.51500000000000001</v>
          </cell>
          <cell r="F2570">
            <v>-6.6666666666666707E-2</v>
          </cell>
          <cell r="G2570">
            <v>0</v>
          </cell>
          <cell r="H2570">
            <v>101.83825542717032</v>
          </cell>
          <cell r="I2570">
            <v>0</v>
          </cell>
          <cell r="J2570"/>
          <cell r="K2570">
            <v>101.83825542717032</v>
          </cell>
        </row>
        <row r="2571">
          <cell r="A2571">
            <v>6.5</v>
          </cell>
          <cell r="B2571">
            <v>99.820999999999998</v>
          </cell>
          <cell r="C2571">
            <v>1.0438653664088597</v>
          </cell>
          <cell r="D2571">
            <v>100.86486536640886</v>
          </cell>
          <cell r="E2571">
            <v>-0.51500000000000001</v>
          </cell>
          <cell r="F2571">
            <v>-0.191249999999998</v>
          </cell>
          <cell r="G2571">
            <v>0</v>
          </cell>
          <cell r="H2571">
            <v>101.57111536640886</v>
          </cell>
          <cell r="I2571">
            <v>0</v>
          </cell>
          <cell r="J2571"/>
          <cell r="K2571">
            <v>101.57111536640886</v>
          </cell>
        </row>
        <row r="2572">
          <cell r="A2572">
            <v>6.375</v>
          </cell>
          <cell r="B2572">
            <v>99.454999999999998</v>
          </cell>
          <cell r="C2572">
            <v>1.0813957336768123</v>
          </cell>
          <cell r="D2572">
            <v>100.53639573367681</v>
          </cell>
          <cell r="E2572">
            <v>-0.51500000000000001</v>
          </cell>
          <cell r="F2572">
            <v>-0.26624999999999799</v>
          </cell>
          <cell r="G2572">
            <v>0</v>
          </cell>
          <cell r="H2572">
            <v>101.31764573367681</v>
          </cell>
          <cell r="I2572">
            <v>0</v>
          </cell>
          <cell r="J2572"/>
          <cell r="K2572">
            <v>101.31764573367681</v>
          </cell>
        </row>
        <row r="2573">
          <cell r="A2573">
            <v>6.25</v>
          </cell>
          <cell r="B2573">
            <v>98.978999999999999</v>
          </cell>
          <cell r="C2573">
            <v>1.11673163637932</v>
          </cell>
          <cell r="D2573">
            <v>100.09573163637931</v>
          </cell>
          <cell r="E2573">
            <v>-0.51500000000000001</v>
          </cell>
          <cell r="F2573">
            <v>-0.31666666666666665</v>
          </cell>
          <cell r="G2573">
            <v>0</v>
          </cell>
          <cell r="H2573">
            <v>100.92739830304598</v>
          </cell>
          <cell r="I2573">
            <v>0</v>
          </cell>
          <cell r="J2573"/>
          <cell r="K2573">
            <v>100.92739830304598</v>
          </cell>
        </row>
        <row r="2574">
          <cell r="A2574">
            <v>6.125</v>
          </cell>
          <cell r="B2574">
            <v>99.296999999999997</v>
          </cell>
          <cell r="C2574">
            <v>1.1492095706938446</v>
          </cell>
          <cell r="D2574">
            <v>100.44620957069384</v>
          </cell>
          <cell r="E2574">
            <v>-0.51500000000000001</v>
          </cell>
          <cell r="F2574">
            <v>0.49791666666666673</v>
          </cell>
          <cell r="G2574">
            <v>0</v>
          </cell>
          <cell r="H2574">
            <v>100.46329290402717</v>
          </cell>
          <cell r="I2574">
            <v>0</v>
          </cell>
          <cell r="J2574"/>
          <cell r="K2574">
            <v>100.46329290402717</v>
          </cell>
        </row>
        <row r="2575">
          <cell r="A2575">
            <v>6</v>
          </cell>
          <cell r="B2575">
            <v>98.81</v>
          </cell>
          <cell r="C2575">
            <v>1.175188528653438</v>
          </cell>
          <cell r="D2575">
            <v>99.985188528653438</v>
          </cell>
          <cell r="E2575">
            <v>-0.51500000000000001</v>
          </cell>
          <cell r="F2575">
            <v>0.4483333333333353</v>
          </cell>
          <cell r="G2575">
            <v>0</v>
          </cell>
          <cell r="H2575">
            <v>100.0518551953201</v>
          </cell>
          <cell r="I2575">
            <v>0</v>
          </cell>
          <cell r="J2575"/>
          <cell r="K2575">
            <v>100.0518551953201</v>
          </cell>
        </row>
        <row r="2576">
          <cell r="A2576">
            <v>5.875</v>
          </cell>
          <cell r="B2576">
            <v>98.33</v>
          </cell>
          <cell r="C2576">
            <v>1.2001075198788873</v>
          </cell>
          <cell r="D2576">
            <v>99.530107519878882</v>
          </cell>
          <cell r="E2576">
            <v>-0.51500000000000001</v>
          </cell>
          <cell r="F2576">
            <v>0.44791666666666669</v>
          </cell>
          <cell r="G2576">
            <v>0</v>
          </cell>
          <cell r="H2576">
            <v>99.597190853212211</v>
          </cell>
          <cell r="I2576">
            <v>0</v>
          </cell>
          <cell r="J2576"/>
          <cell r="K2576">
            <v>99.597190853212211</v>
          </cell>
        </row>
        <row r="2577">
          <cell r="A2577">
            <v>5.75</v>
          </cell>
          <cell r="B2577">
            <v>97.769000000000005</v>
          </cell>
          <cell r="C2577">
            <v>1.220373990714686</v>
          </cell>
          <cell r="D2577">
            <v>98.989373990714697</v>
          </cell>
          <cell r="E2577">
            <v>-0.51500000000000001</v>
          </cell>
          <cell r="F2577">
            <v>0.4483333333333353</v>
          </cell>
          <cell r="G2577">
            <v>0</v>
          </cell>
          <cell r="H2577">
            <v>99.056040657381359</v>
          </cell>
          <cell r="I2577">
            <v>0</v>
          </cell>
          <cell r="J2577"/>
          <cell r="K2577">
            <v>99.056040657381359</v>
          </cell>
        </row>
        <row r="2578">
          <cell r="A2578">
            <v>5.625</v>
          </cell>
          <cell r="B2578">
            <v>97.102999999999994</v>
          </cell>
          <cell r="C2578">
            <v>1.2354980652420697</v>
          </cell>
          <cell r="D2578">
            <v>98.338498065242064</v>
          </cell>
          <cell r="E2578">
            <v>-0.51500000000000001</v>
          </cell>
          <cell r="F2578">
            <v>0.40208333333333357</v>
          </cell>
          <cell r="G2578">
            <v>0</v>
          </cell>
          <cell r="H2578">
            <v>98.451414731908727</v>
          </cell>
          <cell r="I2578">
            <v>0</v>
          </cell>
          <cell r="J2578"/>
          <cell r="K2578">
            <v>98.451414731908727</v>
          </cell>
        </row>
        <row r="2579">
          <cell r="A2579">
            <v>5.5</v>
          </cell>
          <cell r="B2579">
            <v>96.498000000000005</v>
          </cell>
          <cell r="C2579">
            <v>1.2479906782557784</v>
          </cell>
          <cell r="D2579">
            <v>97.745990678255779</v>
          </cell>
          <cell r="E2579">
            <v>-0.51500000000000001</v>
          </cell>
          <cell r="F2579">
            <v>0.40083333333333349</v>
          </cell>
          <cell r="G2579">
            <v>0</v>
          </cell>
          <cell r="H2579">
            <v>97.860157344922442</v>
          </cell>
          <cell r="I2579">
            <v>0</v>
          </cell>
          <cell r="J2579"/>
          <cell r="K2579">
            <v>97.860157344922442</v>
          </cell>
        </row>
        <row r="2580">
          <cell r="A2580">
            <v>5.375</v>
          </cell>
          <cell r="B2580">
            <v>95.909000000000006</v>
          </cell>
          <cell r="C2580">
            <v>1.2637998095544902</v>
          </cell>
          <cell r="D2580">
            <v>97.17279980955449</v>
          </cell>
          <cell r="E2580">
            <v>-0.51500000000000001</v>
          </cell>
          <cell r="F2580">
            <v>0.39958333333333346</v>
          </cell>
          <cell r="G2580">
            <v>0</v>
          </cell>
          <cell r="H2580">
            <v>97.288216476221152</v>
          </cell>
          <cell r="I2580">
            <v>0</v>
          </cell>
          <cell r="J2580"/>
          <cell r="K2580">
            <v>97.288216476221152</v>
          </cell>
        </row>
        <row r="2581">
          <cell r="A2581">
            <v>5.25</v>
          </cell>
          <cell r="B2581">
            <v>95.021000000000001</v>
          </cell>
          <cell r="C2581">
            <v>1.2799496190579389</v>
          </cell>
          <cell r="D2581">
            <v>96.300949619057945</v>
          </cell>
          <cell r="E2581">
            <v>-0.51500000000000001</v>
          </cell>
          <cell r="F2581">
            <v>0.44791666666666669</v>
          </cell>
          <cell r="G2581">
            <v>0</v>
          </cell>
          <cell r="H2581">
            <v>96.368032952391275</v>
          </cell>
          <cell r="I2581">
            <v>0</v>
          </cell>
          <cell r="J2581"/>
          <cell r="K2581">
            <v>96.368032952391275</v>
          </cell>
        </row>
        <row r="2582">
          <cell r="A2582">
            <v>5.125</v>
          </cell>
          <cell r="B2582">
            <v>93.084000000000003</v>
          </cell>
          <cell r="C2582">
            <v>1.2964498662264292</v>
          </cell>
          <cell r="D2582">
            <v>94.380449866226428</v>
          </cell>
          <cell r="E2582">
            <v>-0.51500000000000001</v>
          </cell>
          <cell r="F2582">
            <v>-0.35208333333333408</v>
          </cell>
          <cell r="G2582">
            <v>0</v>
          </cell>
          <cell r="H2582">
            <v>95.247533199559768</v>
          </cell>
          <cell r="I2582">
            <v>0</v>
          </cell>
          <cell r="J2582"/>
          <cell r="K2582">
            <v>95.247533199559768</v>
          </cell>
        </row>
        <row r="2583">
          <cell r="A2583">
            <v>5</v>
          </cell>
          <cell r="B2583">
            <v>92.358000000000004</v>
          </cell>
          <cell r="C2583">
            <v>1.3104616881792834</v>
          </cell>
          <cell r="D2583">
            <v>93.668461688179292</v>
          </cell>
          <cell r="E2583">
            <v>-0.51500000000000001</v>
          </cell>
          <cell r="F2583">
            <v>-0.35749999999999704</v>
          </cell>
          <cell r="G2583">
            <v>0</v>
          </cell>
          <cell r="H2583">
            <v>94.540961688179294</v>
          </cell>
          <cell r="I2583">
            <v>0</v>
          </cell>
          <cell r="J2583"/>
          <cell r="K2583">
            <v>94.540961688179294</v>
          </cell>
        </row>
        <row r="2584">
          <cell r="A2584">
            <v>4.875</v>
          </cell>
          <cell r="B2584">
            <v>91.578000000000003</v>
          </cell>
          <cell r="C2584">
            <v>1.3211709877456339</v>
          </cell>
          <cell r="D2584">
            <v>92.899170987745634</v>
          </cell>
          <cell r="E2584">
            <v>-0.51500000000000001</v>
          </cell>
          <cell r="F2584">
            <v>-0.85916666666666575</v>
          </cell>
          <cell r="G2584">
            <v>0</v>
          </cell>
          <cell r="H2584">
            <v>94.273337654412302</v>
          </cell>
          <cell r="I2584">
            <v>0</v>
          </cell>
          <cell r="J2584"/>
          <cell r="K2584">
            <v>94.273337654412302</v>
          </cell>
        </row>
        <row r="2585">
          <cell r="A2585">
            <v>4.75</v>
          </cell>
          <cell r="B2585">
            <v>90.846000000000004</v>
          </cell>
          <cell r="C2585">
            <v>1.3320028590489337</v>
          </cell>
          <cell r="D2585">
            <v>92.178002859048931</v>
          </cell>
          <cell r="E2585">
            <v>-0.51500000000000001</v>
          </cell>
          <cell r="F2585">
            <v>-0.79833333333333201</v>
          </cell>
          <cell r="G2585">
            <v>0</v>
          </cell>
          <cell r="H2585">
            <v>93.491336192382263</v>
          </cell>
          <cell r="I2585">
            <v>0</v>
          </cell>
          <cell r="J2585"/>
          <cell r="K2585">
            <v>93.491336192382263</v>
          </cell>
        </row>
        <row r="2586">
          <cell r="A2586">
            <v>4.625</v>
          </cell>
          <cell r="B2586">
            <v>92.256</v>
          </cell>
          <cell r="C2586">
            <v>1.342972912843351</v>
          </cell>
          <cell r="D2586">
            <v>93.598972912843351</v>
          </cell>
          <cell r="E2586">
            <v>-0.51500000000000001</v>
          </cell>
          <cell r="F2586">
            <v>-5.2083333333333336E-2</v>
          </cell>
          <cell r="G2586">
            <v>0</v>
          </cell>
          <cell r="H2586">
            <v>94.16605624617668</v>
          </cell>
          <cell r="I2586">
            <v>0</v>
          </cell>
          <cell r="J2586"/>
          <cell r="K2586">
            <v>94.16605624617668</v>
          </cell>
        </row>
        <row r="2589">
          <cell r="A2589">
            <v>7.5</v>
          </cell>
          <cell r="B2589">
            <v>103.27800000000001</v>
          </cell>
          <cell r="C2589">
            <v>0.43874778089460281</v>
          </cell>
          <cell r="D2589">
            <v>103.71674778089461</v>
          </cell>
          <cell r="E2589">
            <v>-0.12700000000000003</v>
          </cell>
          <cell r="F2589"/>
          <cell r="G2589">
            <v>0</v>
          </cell>
          <cell r="H2589">
            <v>103.8437477808946</v>
          </cell>
          <cell r="I2589">
            <v>0</v>
          </cell>
          <cell r="J2589"/>
          <cell r="K2589">
            <v>103.8437477808946</v>
          </cell>
        </row>
        <row r="2590">
          <cell r="A2590">
            <v>7.375</v>
          </cell>
          <cell r="B2590">
            <v>103.08</v>
          </cell>
          <cell r="C2590">
            <v>0.45588363863471026</v>
          </cell>
          <cell r="D2590">
            <v>103.53588363863471</v>
          </cell>
          <cell r="E2590">
            <v>-0.12700000000000003</v>
          </cell>
          <cell r="F2590"/>
          <cell r="G2590">
            <v>0</v>
          </cell>
          <cell r="H2590">
            <v>103.66288363863471</v>
          </cell>
          <cell r="I2590">
            <v>0</v>
          </cell>
          <cell r="J2590"/>
          <cell r="K2590">
            <v>103.66288363863471</v>
          </cell>
        </row>
        <row r="2591">
          <cell r="A2591">
            <v>7.25</v>
          </cell>
          <cell r="B2591">
            <v>102.86499999999999</v>
          </cell>
          <cell r="C2591">
            <v>0.47526547396421986</v>
          </cell>
          <cell r="D2591">
            <v>103.34026547396421</v>
          </cell>
          <cell r="E2591">
            <v>-0.12700000000000003</v>
          </cell>
          <cell r="F2591"/>
          <cell r="G2591">
            <v>0</v>
          </cell>
          <cell r="H2591">
            <v>103.4672654739642</v>
          </cell>
          <cell r="I2591">
            <v>0</v>
          </cell>
          <cell r="J2591"/>
          <cell r="K2591">
            <v>103.4672654739642</v>
          </cell>
        </row>
        <row r="2592">
          <cell r="A2592">
            <v>7.125</v>
          </cell>
          <cell r="B2592">
            <v>103.14400000000001</v>
          </cell>
          <cell r="C2592">
            <v>0.49681490865003308</v>
          </cell>
          <cell r="D2592">
            <v>103.64081490865004</v>
          </cell>
          <cell r="E2592">
            <v>-0.12700000000000003</v>
          </cell>
          <cell r="F2592"/>
          <cell r="G2592">
            <v>0</v>
          </cell>
          <cell r="H2592">
            <v>103.76781490865004</v>
          </cell>
          <cell r="I2592">
            <v>0</v>
          </cell>
          <cell r="J2592"/>
          <cell r="K2592">
            <v>103.76781490865004</v>
          </cell>
        </row>
        <row r="2593">
          <cell r="A2593">
            <v>7</v>
          </cell>
          <cell r="B2593">
            <v>102.919</v>
          </cell>
          <cell r="C2593">
            <v>0.52037556715897559</v>
          </cell>
          <cell r="D2593">
            <v>103.43937556715898</v>
          </cell>
          <cell r="E2593">
            <v>-0.12700000000000003</v>
          </cell>
          <cell r="F2593"/>
          <cell r="G2593">
            <v>0</v>
          </cell>
          <cell r="H2593">
            <v>103.56637556715897</v>
          </cell>
          <cell r="I2593">
            <v>0</v>
          </cell>
          <cell r="J2593"/>
          <cell r="K2593">
            <v>103.56637556715897</v>
          </cell>
        </row>
        <row r="2594">
          <cell r="A2594">
            <v>6.875</v>
          </cell>
          <cell r="B2594">
            <v>102.30800000000001</v>
          </cell>
          <cell r="C2594">
            <v>0.54564084761869491</v>
          </cell>
          <cell r="D2594">
            <v>102.85364084761871</v>
          </cell>
          <cell r="E2594">
            <v>-0.12700000000000003</v>
          </cell>
          <cell r="F2594"/>
          <cell r="G2594">
            <v>0</v>
          </cell>
          <cell r="H2594">
            <v>102.9806408476187</v>
          </cell>
          <cell r="I2594">
            <v>0</v>
          </cell>
          <cell r="J2594"/>
          <cell r="K2594">
            <v>102.9806408476187</v>
          </cell>
        </row>
        <row r="2595">
          <cell r="A2595">
            <v>6.75</v>
          </cell>
          <cell r="B2595">
            <v>101.90600000000001</v>
          </cell>
          <cell r="C2595">
            <v>0.57220690482506398</v>
          </cell>
          <cell r="D2595">
            <v>102.47820690482507</v>
          </cell>
          <cell r="E2595">
            <v>-0.12700000000000003</v>
          </cell>
          <cell r="F2595"/>
          <cell r="G2595">
            <v>0</v>
          </cell>
          <cell r="H2595">
            <v>102.60520690482507</v>
          </cell>
          <cell r="I2595">
            <v>0</v>
          </cell>
          <cell r="J2595"/>
          <cell r="K2595">
            <v>102.60520690482507</v>
          </cell>
        </row>
        <row r="2596">
          <cell r="A2596">
            <v>6.625</v>
          </cell>
          <cell r="B2596">
            <v>101.747</v>
          </cell>
          <cell r="C2596">
            <v>0.60211237942935858</v>
          </cell>
          <cell r="D2596">
            <v>102.34911237942936</v>
          </cell>
          <cell r="E2596">
            <v>-0.12700000000000003</v>
          </cell>
          <cell r="F2596"/>
          <cell r="G2596">
            <v>0</v>
          </cell>
          <cell r="H2596">
            <v>102.47611237942935</v>
          </cell>
          <cell r="I2596">
            <v>0</v>
          </cell>
          <cell r="J2596"/>
          <cell r="K2596">
            <v>102.47611237942935</v>
          </cell>
        </row>
        <row r="2597">
          <cell r="A2597">
            <v>6.5</v>
          </cell>
          <cell r="B2597">
            <v>101.49299999999999</v>
          </cell>
          <cell r="C2597">
            <v>0.63714431752413758</v>
          </cell>
          <cell r="D2597">
            <v>102.13014431752413</v>
          </cell>
          <cell r="E2597">
            <v>-0.12700000000000003</v>
          </cell>
          <cell r="F2597"/>
          <cell r="G2597">
            <v>0</v>
          </cell>
          <cell r="H2597">
            <v>102.25714431752412</v>
          </cell>
          <cell r="I2597">
            <v>0</v>
          </cell>
          <cell r="J2597"/>
          <cell r="K2597">
            <v>102.25714431752412</v>
          </cell>
        </row>
        <row r="2598">
          <cell r="A2598">
            <v>6.375</v>
          </cell>
          <cell r="B2598">
            <v>101.2</v>
          </cell>
          <cell r="C2598">
            <v>0.67564783686188457</v>
          </cell>
          <cell r="D2598">
            <v>101.87564783686189</v>
          </cell>
          <cell r="E2598">
            <v>-0.12700000000000003</v>
          </cell>
          <cell r="F2598"/>
          <cell r="G2598">
            <v>0</v>
          </cell>
          <cell r="H2598">
            <v>102.00264783686188</v>
          </cell>
          <cell r="I2598">
            <v>0</v>
          </cell>
          <cell r="J2598"/>
          <cell r="K2598">
            <v>102.00264783686188</v>
          </cell>
        </row>
        <row r="2599">
          <cell r="A2599">
            <v>6.25</v>
          </cell>
          <cell r="B2599">
            <v>100.791</v>
          </cell>
          <cell r="C2599">
            <v>0.71500342732241795</v>
          </cell>
          <cell r="D2599">
            <v>101.50600342732241</v>
          </cell>
          <cell r="E2599">
            <v>-0.12700000000000003</v>
          </cell>
          <cell r="F2599"/>
          <cell r="G2599">
            <v>0</v>
          </cell>
          <cell r="H2599">
            <v>101.63300342732241</v>
          </cell>
          <cell r="I2599">
            <v>0</v>
          </cell>
          <cell r="J2599"/>
          <cell r="K2599">
            <v>101.63300342732241</v>
          </cell>
        </row>
        <row r="2600">
          <cell r="A2600">
            <v>6.125</v>
          </cell>
          <cell r="B2600">
            <v>100.494</v>
          </cell>
          <cell r="C2600">
            <v>0.75030594786228078</v>
          </cell>
          <cell r="D2600">
            <v>101.24430594786229</v>
          </cell>
          <cell r="E2600">
            <v>-0.12700000000000003</v>
          </cell>
          <cell r="F2600"/>
          <cell r="G2600">
            <v>0</v>
          </cell>
          <cell r="H2600">
            <v>101.37130594786228</v>
          </cell>
          <cell r="I2600">
            <v>0</v>
          </cell>
          <cell r="J2600"/>
          <cell r="K2600">
            <v>101.37130594786228</v>
          </cell>
        </row>
        <row r="2601">
          <cell r="A2601">
            <v>6</v>
          </cell>
          <cell r="B2601">
            <v>100.143</v>
          </cell>
          <cell r="C2601">
            <v>0.78086101853202361</v>
          </cell>
          <cell r="D2601">
            <v>100.92386101853202</v>
          </cell>
          <cell r="E2601">
            <v>-0.12700000000000003</v>
          </cell>
          <cell r="F2601"/>
          <cell r="G2601">
            <v>0</v>
          </cell>
          <cell r="H2601">
            <v>101.05086101853202</v>
          </cell>
          <cell r="I2601">
            <v>0</v>
          </cell>
          <cell r="J2601"/>
          <cell r="K2601">
            <v>101.05086101853202</v>
          </cell>
        </row>
        <row r="2602">
          <cell r="A2602">
            <v>5.875</v>
          </cell>
          <cell r="B2602">
            <v>99.825999999999993</v>
          </cell>
          <cell r="C2602">
            <v>0.80490800974401167</v>
          </cell>
          <cell r="D2602">
            <v>100.630908009744</v>
          </cell>
          <cell r="E2602">
            <v>-0.12700000000000003</v>
          </cell>
          <cell r="F2602"/>
          <cell r="G2602">
            <v>0</v>
          </cell>
          <cell r="H2602">
            <v>100.757908009744</v>
          </cell>
          <cell r="I2602">
            <v>0</v>
          </cell>
          <cell r="J2602"/>
          <cell r="K2602">
            <v>100.757908009744</v>
          </cell>
        </row>
        <row r="2603">
          <cell r="A2603">
            <v>5.75</v>
          </cell>
          <cell r="B2603">
            <v>99.331999999999994</v>
          </cell>
          <cell r="C2603">
            <v>0.82471406445732209</v>
          </cell>
          <cell r="D2603">
            <v>100.15671406445732</v>
          </cell>
          <cell r="E2603">
            <v>-0.12700000000000003</v>
          </cell>
          <cell r="F2603"/>
          <cell r="G2603">
            <v>0</v>
          </cell>
          <cell r="H2603">
            <v>100.28371406445731</v>
          </cell>
          <cell r="I2603">
            <v>0</v>
          </cell>
          <cell r="J2603"/>
          <cell r="K2603">
            <v>100.28371406445731</v>
          </cell>
        </row>
        <row r="2604">
          <cell r="A2604">
            <v>5.625</v>
          </cell>
          <cell r="B2604">
            <v>99.247</v>
          </cell>
          <cell r="C2604">
            <v>0.84212252907524909</v>
          </cell>
          <cell r="D2604">
            <v>100.08912252907525</v>
          </cell>
          <cell r="E2604">
            <v>-0.12700000000000003</v>
          </cell>
          <cell r="F2604">
            <v>0.25</v>
          </cell>
          <cell r="G2604">
            <v>0</v>
          </cell>
          <cell r="H2604">
            <v>99.96612252907525</v>
          </cell>
          <cell r="I2604">
            <v>0</v>
          </cell>
          <cell r="J2604"/>
          <cell r="K2604">
            <v>99.96612252907525</v>
          </cell>
        </row>
        <row r="2605">
          <cell r="A2605">
            <v>5.5</v>
          </cell>
          <cell r="B2605">
            <v>98.656999999999996</v>
          </cell>
          <cell r="C2605">
            <v>0.85945012668777188</v>
          </cell>
          <cell r="D2605">
            <v>99.516450126687772</v>
          </cell>
          <cell r="E2605">
            <v>-0.12700000000000003</v>
          </cell>
          <cell r="F2605"/>
          <cell r="G2605">
            <v>0</v>
          </cell>
          <cell r="H2605">
            <v>99.643450126687767</v>
          </cell>
          <cell r="I2605">
            <v>0</v>
          </cell>
          <cell r="J2605"/>
          <cell r="K2605">
            <v>99.643450126687767</v>
          </cell>
        </row>
        <row r="2606">
          <cell r="A2606">
            <v>5.375</v>
          </cell>
          <cell r="B2606">
            <v>98.272999999999996</v>
          </cell>
          <cell r="C2606">
            <v>0.87602933051056409</v>
          </cell>
          <cell r="D2606">
            <v>99.149029330510558</v>
          </cell>
          <cell r="E2606">
            <v>-0.12700000000000003</v>
          </cell>
          <cell r="F2606"/>
          <cell r="G2606">
            <v>0</v>
          </cell>
          <cell r="H2606">
            <v>99.276029330510553</v>
          </cell>
          <cell r="I2606">
            <v>0</v>
          </cell>
          <cell r="J2606"/>
          <cell r="K2606">
            <v>99.276029330510553</v>
          </cell>
        </row>
        <row r="2607">
          <cell r="A2607">
            <v>5.25</v>
          </cell>
          <cell r="B2607">
            <v>97.843000000000004</v>
          </cell>
          <cell r="C2607">
            <v>0.88776842760569774</v>
          </cell>
          <cell r="D2607">
            <v>98.730768427605696</v>
          </cell>
          <cell r="E2607">
            <v>-0.12700000000000003</v>
          </cell>
          <cell r="F2607"/>
          <cell r="G2607">
            <v>0</v>
          </cell>
          <cell r="H2607">
            <v>98.857768427605691</v>
          </cell>
          <cell r="I2607">
            <v>0</v>
          </cell>
          <cell r="J2607"/>
          <cell r="K2607">
            <v>98.857768427605691</v>
          </cell>
        </row>
        <row r="2608">
          <cell r="A2608">
            <v>5.125</v>
          </cell>
          <cell r="B2608">
            <v>97.638000000000005</v>
          </cell>
          <cell r="C2608">
            <v>0.89961594178490922</v>
          </cell>
          <cell r="D2608">
            <v>98.537615941784921</v>
          </cell>
          <cell r="E2608">
            <v>-0.12700000000000003</v>
          </cell>
          <cell r="F2608"/>
          <cell r="G2608">
            <v>0</v>
          </cell>
          <cell r="H2608">
            <v>98.664615941784916</v>
          </cell>
          <cell r="I2608">
            <v>0</v>
          </cell>
          <cell r="J2608"/>
          <cell r="K2608">
            <v>98.664615941784916</v>
          </cell>
        </row>
        <row r="2609">
          <cell r="A2609">
            <v>5</v>
          </cell>
          <cell r="B2609">
            <v>96.918999999999997</v>
          </cell>
          <cell r="C2609">
            <v>0.9102688580577174</v>
          </cell>
          <cell r="D2609">
            <v>97.829268858057716</v>
          </cell>
          <cell r="E2609">
            <v>-0.12700000000000003</v>
          </cell>
          <cell r="F2609"/>
          <cell r="G2609">
            <v>0</v>
          </cell>
          <cell r="H2609">
            <v>97.956268858057712</v>
          </cell>
          <cell r="I2609">
            <v>0</v>
          </cell>
          <cell r="J2609"/>
          <cell r="K2609">
            <v>97.956268858057712</v>
          </cell>
        </row>
        <row r="2610">
          <cell r="A2610">
            <v>4.875</v>
          </cell>
          <cell r="B2610">
            <v>96.528999999999996</v>
          </cell>
          <cell r="C2610">
            <v>0.92072833314189895</v>
          </cell>
          <cell r="D2610">
            <v>97.449728333141891</v>
          </cell>
          <cell r="E2610">
            <v>-0.12700000000000003</v>
          </cell>
          <cell r="F2610"/>
          <cell r="G2610">
            <v>0</v>
          </cell>
          <cell r="H2610">
            <v>97.576728333141887</v>
          </cell>
          <cell r="I2610">
            <v>0</v>
          </cell>
          <cell r="J2610"/>
          <cell r="K2610">
            <v>97.576728333141887</v>
          </cell>
        </row>
        <row r="2611">
          <cell r="A2611">
            <v>4.75</v>
          </cell>
          <cell r="B2611">
            <v>95.88</v>
          </cell>
          <cell r="C2611">
            <v>0.92872295036983565</v>
          </cell>
          <cell r="D2611">
            <v>96.808722950369827</v>
          </cell>
          <cell r="E2611">
            <v>-0.12700000000000003</v>
          </cell>
          <cell r="F2611"/>
          <cell r="G2611">
            <v>0</v>
          </cell>
          <cell r="H2611">
            <v>96.935722950369822</v>
          </cell>
          <cell r="I2611">
            <v>0</v>
          </cell>
          <cell r="J2611"/>
          <cell r="K2611">
            <v>96.935722950369822</v>
          </cell>
        </row>
        <row r="2612">
          <cell r="A2612">
            <v>4.625</v>
          </cell>
          <cell r="B2612">
            <v>95.891999999999996</v>
          </cell>
          <cell r="C2612">
            <v>0.93759016306802712</v>
          </cell>
          <cell r="D2612">
            <v>96.829590163068019</v>
          </cell>
          <cell r="E2612">
            <v>-0.12700000000000003</v>
          </cell>
          <cell r="F2612"/>
          <cell r="G2612">
            <v>0</v>
          </cell>
          <cell r="H2612">
            <v>96.956590163068014</v>
          </cell>
          <cell r="I2612">
            <v>0</v>
          </cell>
          <cell r="J2612"/>
          <cell r="K2612">
            <v>96.956590163068014</v>
          </cell>
        </row>
        <row r="2613">
          <cell r="A2613">
            <v>4.5</v>
          </cell>
          <cell r="B2613">
            <v>95.164000000000001</v>
          </cell>
          <cell r="C2613">
            <v>0.9454611666707915</v>
          </cell>
          <cell r="D2613">
            <v>96.109461166670798</v>
          </cell>
          <cell r="E2613">
            <v>-0.12700000000000003</v>
          </cell>
          <cell r="F2613"/>
          <cell r="G2613">
            <v>0</v>
          </cell>
          <cell r="H2613">
            <v>96.236461166670793</v>
          </cell>
          <cell r="I2613">
            <v>0</v>
          </cell>
          <cell r="J2613"/>
          <cell r="K2613">
            <v>96.236461166670793</v>
          </cell>
        </row>
        <row r="2614">
          <cell r="A2614"/>
          <cell r="B2614"/>
          <cell r="C2614"/>
          <cell r="D2614"/>
          <cell r="E2614"/>
          <cell r="F2614"/>
          <cell r="G2614"/>
          <cell r="H2614"/>
          <cell r="I2614"/>
          <cell r="J2614"/>
          <cell r="K2614"/>
        </row>
        <row r="2648">
          <cell r="A2648">
            <v>7.625</v>
          </cell>
          <cell r="B2648">
            <v>104.596</v>
          </cell>
          <cell r="C2648">
            <v>0.40472031167613554</v>
          </cell>
          <cell r="D2648">
            <v>105.00072031167613</v>
          </cell>
          <cell r="E2648">
            <v>8.4999999999999964E-2</v>
          </cell>
          <cell r="F2648">
            <v>0.375</v>
          </cell>
          <cell r="G2648">
            <v>0</v>
          </cell>
          <cell r="H2648">
            <v>104.54072031167614</v>
          </cell>
          <cell r="I2648">
            <v>0</v>
          </cell>
          <cell r="J2648"/>
          <cell r="K2648">
            <v>104.54072031167614</v>
          </cell>
        </row>
        <row r="2649">
          <cell r="A2649">
            <v>7.5</v>
          </cell>
          <cell r="B2649">
            <v>104.146</v>
          </cell>
          <cell r="C2649">
            <v>0.46320601804099537</v>
          </cell>
          <cell r="D2649">
            <v>104.60920601804099</v>
          </cell>
          <cell r="E2649">
            <v>8.4999999999999964E-2</v>
          </cell>
          <cell r="F2649">
            <v>0.375</v>
          </cell>
          <cell r="G2649">
            <v>0</v>
          </cell>
          <cell r="H2649">
            <v>104.149206018041</v>
          </cell>
          <cell r="I2649">
            <v>0</v>
          </cell>
          <cell r="J2649"/>
          <cell r="K2649">
            <v>104.149206018041</v>
          </cell>
        </row>
        <row r="2650">
          <cell r="A2650">
            <v>7.375</v>
          </cell>
          <cell r="B2650">
            <v>103.831</v>
          </cell>
          <cell r="C2650">
            <v>0.5247793530222602</v>
          </cell>
          <cell r="D2650">
            <v>104.35577935302226</v>
          </cell>
          <cell r="E2650">
            <v>8.4999999999999964E-2</v>
          </cell>
          <cell r="F2650">
            <v>0.375</v>
          </cell>
          <cell r="G2650">
            <v>0</v>
          </cell>
          <cell r="H2650">
            <v>103.89577935302226</v>
          </cell>
          <cell r="I2650">
            <v>0</v>
          </cell>
          <cell r="J2650"/>
          <cell r="K2650">
            <v>103.89577935302226</v>
          </cell>
        </row>
        <row r="2651">
          <cell r="A2651">
            <v>7.25</v>
          </cell>
          <cell r="B2651">
            <v>103.499</v>
          </cell>
          <cell r="C2651">
            <v>0.57822321807392485</v>
          </cell>
          <cell r="D2651">
            <v>104.07722321807393</v>
          </cell>
          <cell r="E2651">
            <v>8.4999999999999964E-2</v>
          </cell>
          <cell r="F2651">
            <v>0.375</v>
          </cell>
          <cell r="G2651">
            <v>0</v>
          </cell>
          <cell r="H2651">
            <v>103.61722321807393</v>
          </cell>
          <cell r="I2651">
            <v>0</v>
          </cell>
          <cell r="J2651"/>
          <cell r="K2651">
            <v>103.61722321807393</v>
          </cell>
        </row>
        <row r="2652">
          <cell r="A2652">
            <v>7.125</v>
          </cell>
          <cell r="B2652">
            <v>102.947</v>
          </cell>
          <cell r="C2652">
            <v>0.62863429865376697</v>
          </cell>
          <cell r="D2652">
            <v>103.57563429865377</v>
          </cell>
          <cell r="E2652">
            <v>8.4999999999999964E-2</v>
          </cell>
          <cell r="F2652">
            <v>0.375</v>
          </cell>
          <cell r="G2652">
            <v>0</v>
          </cell>
          <cell r="H2652">
            <v>103.11563429865377</v>
          </cell>
          <cell r="I2652">
            <v>0</v>
          </cell>
          <cell r="J2652"/>
          <cell r="K2652">
            <v>103.11563429865377</v>
          </cell>
        </row>
        <row r="2653">
          <cell r="A2653">
            <v>7</v>
          </cell>
          <cell r="B2653">
            <v>102.58</v>
          </cell>
          <cell r="C2653">
            <v>0.67941882148098509</v>
          </cell>
          <cell r="D2653">
            <v>103.25941882148098</v>
          </cell>
          <cell r="E2653">
            <v>8.4999999999999964E-2</v>
          </cell>
          <cell r="F2653">
            <v>0.375</v>
          </cell>
          <cell r="G2653">
            <v>0</v>
          </cell>
          <cell r="H2653">
            <v>102.79941882148098</v>
          </cell>
          <cell r="I2653">
            <v>0</v>
          </cell>
          <cell r="J2653"/>
          <cell r="K2653">
            <v>102.79941882148098</v>
          </cell>
        </row>
        <row r="2654">
          <cell r="A2654">
            <v>6.875</v>
          </cell>
          <cell r="B2654">
            <v>102.274</v>
          </cell>
          <cell r="C2654">
            <v>0.72963707029997038</v>
          </cell>
          <cell r="D2654">
            <v>103.00363707029997</v>
          </cell>
          <cell r="E2654">
            <v>8.4999999999999964E-2</v>
          </cell>
          <cell r="F2654">
            <v>0.375</v>
          </cell>
          <cell r="G2654">
            <v>0</v>
          </cell>
          <cell r="H2654">
            <v>102.54363707029998</v>
          </cell>
          <cell r="I2654">
            <v>0</v>
          </cell>
          <cell r="J2654"/>
          <cell r="K2654">
            <v>102.54363707029998</v>
          </cell>
        </row>
        <row r="2655">
          <cell r="A2655">
            <v>6.75</v>
          </cell>
          <cell r="B2655">
            <v>101.926</v>
          </cell>
          <cell r="C2655">
            <v>0.7780353823492594</v>
          </cell>
          <cell r="D2655">
            <v>102.70403538234926</v>
          </cell>
          <cell r="E2655">
            <v>8.4999999999999964E-2</v>
          </cell>
          <cell r="F2655">
            <v>0.375</v>
          </cell>
          <cell r="G2655">
            <v>0</v>
          </cell>
          <cell r="H2655">
            <v>102.24403538234927</v>
          </cell>
          <cell r="I2655">
            <v>0</v>
          </cell>
          <cell r="J2655"/>
          <cell r="K2655">
            <v>102.24403538234927</v>
          </cell>
        </row>
        <row r="2656">
          <cell r="A2656">
            <v>6.625</v>
          </cell>
          <cell r="B2656">
            <v>101.815</v>
          </cell>
          <cell r="C2656">
            <v>0.82314194876408631</v>
          </cell>
          <cell r="D2656">
            <v>102.63814194876409</v>
          </cell>
          <cell r="E2656">
            <v>8.4999999999999964E-2</v>
          </cell>
          <cell r="F2656">
            <v>0.375</v>
          </cell>
          <cell r="G2656">
            <v>0</v>
          </cell>
          <cell r="H2656">
            <v>102.17814194876409</v>
          </cell>
          <cell r="I2656">
            <v>0</v>
          </cell>
          <cell r="J2656"/>
          <cell r="K2656">
            <v>102.17814194876409</v>
          </cell>
        </row>
        <row r="2657">
          <cell r="A2657">
            <v>6.5</v>
          </cell>
          <cell r="B2657">
            <v>101.45099999999999</v>
          </cell>
          <cell r="C2657">
            <v>0.86355797259341971</v>
          </cell>
          <cell r="D2657">
            <v>102.31455797259342</v>
          </cell>
          <cell r="E2657">
            <v>8.4999999999999964E-2</v>
          </cell>
          <cell r="F2657">
            <v>0.375</v>
          </cell>
          <cell r="G2657">
            <v>0</v>
          </cell>
          <cell r="H2657">
            <v>101.85455797259343</v>
          </cell>
          <cell r="I2657">
            <v>0</v>
          </cell>
          <cell r="J2657"/>
          <cell r="K2657">
            <v>101.85455797259343</v>
          </cell>
        </row>
        <row r="2658">
          <cell r="A2658">
            <v>6.375</v>
          </cell>
          <cell r="B2658">
            <v>101.05200000000001</v>
          </cell>
          <cell r="C2658">
            <v>0.89757310891401643</v>
          </cell>
          <cell r="D2658">
            <v>101.94957310891402</v>
          </cell>
          <cell r="E2658">
            <v>8.4999999999999964E-2</v>
          </cell>
          <cell r="F2658">
            <v>0.375</v>
          </cell>
          <cell r="G2658">
            <v>0</v>
          </cell>
          <cell r="H2658">
            <v>101.48957310891403</v>
          </cell>
          <cell r="I2658">
            <v>0</v>
          </cell>
          <cell r="J2658"/>
          <cell r="K2658">
            <v>101.48957310891403</v>
          </cell>
        </row>
        <row r="2659">
          <cell r="A2659">
            <v>6.25</v>
          </cell>
          <cell r="B2659">
            <v>100.63</v>
          </cell>
          <cell r="C2659">
            <v>0.92393415441047178</v>
          </cell>
          <cell r="D2659">
            <v>101.55393415441047</v>
          </cell>
          <cell r="E2659">
            <v>8.4999999999999964E-2</v>
          </cell>
          <cell r="F2659">
            <v>0.375</v>
          </cell>
          <cell r="G2659">
            <v>0</v>
          </cell>
          <cell r="H2659">
            <v>101.09393415441048</v>
          </cell>
          <cell r="I2659">
            <v>0</v>
          </cell>
          <cell r="J2659"/>
          <cell r="K2659">
            <v>101.09393415441048</v>
          </cell>
        </row>
        <row r="2660">
          <cell r="A2660">
            <v>6.125</v>
          </cell>
          <cell r="B2660">
            <v>100.459</v>
          </cell>
          <cell r="C2660">
            <v>0.94146193826461722</v>
          </cell>
          <cell r="D2660">
            <v>101.40046193826463</v>
          </cell>
          <cell r="E2660">
            <v>8.4999999999999964E-2</v>
          </cell>
          <cell r="F2660">
            <v>0.375</v>
          </cell>
          <cell r="G2660">
            <v>0</v>
          </cell>
          <cell r="H2660">
            <v>100.94046193826463</v>
          </cell>
          <cell r="I2660">
            <v>0</v>
          </cell>
          <cell r="J2660"/>
          <cell r="K2660">
            <v>100.94046193826463</v>
          </cell>
        </row>
        <row r="2661">
          <cell r="A2661">
            <v>6</v>
          </cell>
          <cell r="B2661">
            <v>100.08799999999999</v>
          </cell>
          <cell r="C2661">
            <v>0.97610329928513506</v>
          </cell>
          <cell r="D2661">
            <v>101.06410329928512</v>
          </cell>
          <cell r="E2661">
            <v>8.4999999999999964E-2</v>
          </cell>
          <cell r="F2661">
            <v>0.375</v>
          </cell>
          <cell r="G2661">
            <v>0</v>
          </cell>
          <cell r="H2661">
            <v>100.60410329928513</v>
          </cell>
          <cell r="I2661">
            <v>0</v>
          </cell>
          <cell r="J2661"/>
          <cell r="K2661">
            <v>100.60410329928513</v>
          </cell>
        </row>
        <row r="2662">
          <cell r="A2662">
            <v>5.875</v>
          </cell>
          <cell r="B2662">
            <v>99.623000000000005</v>
          </cell>
          <cell r="C2662">
            <v>1.0082542829647416</v>
          </cell>
          <cell r="D2662">
            <v>100.63125428296475</v>
          </cell>
          <cell r="E2662">
            <v>8.4999999999999964E-2</v>
          </cell>
          <cell r="F2662">
            <v>0.375</v>
          </cell>
          <cell r="G2662">
            <v>0</v>
          </cell>
          <cell r="H2662">
            <v>100.17125428296475</v>
          </cell>
          <cell r="I2662">
            <v>0</v>
          </cell>
          <cell r="J2662"/>
          <cell r="K2662">
            <v>100.17125428296475</v>
          </cell>
        </row>
        <row r="2663">
          <cell r="A2663">
            <v>5.75</v>
          </cell>
          <cell r="B2663">
            <v>99.123999999999995</v>
          </cell>
          <cell r="C2663">
            <v>1.0374604346057832</v>
          </cell>
          <cell r="D2663">
            <v>100.16146043460577</v>
          </cell>
          <cell r="E2663">
            <v>8.4999999999999964E-2</v>
          </cell>
          <cell r="F2663">
            <v>0.375</v>
          </cell>
          <cell r="G2663">
            <v>0</v>
          </cell>
          <cell r="H2663">
            <v>99.701460434605778</v>
          </cell>
          <cell r="I2663">
            <v>0</v>
          </cell>
          <cell r="J2663"/>
          <cell r="K2663">
            <v>99.701460434605778</v>
          </cell>
        </row>
        <row r="2664">
          <cell r="A2664">
            <v>5.625</v>
          </cell>
          <cell r="B2664">
            <v>98.695999999999998</v>
          </cell>
          <cell r="C2664">
            <v>1.0603523159702306</v>
          </cell>
          <cell r="D2664">
            <v>99.756352315970233</v>
          </cell>
          <cell r="E2664">
            <v>8.4999999999999964E-2</v>
          </cell>
          <cell r="F2664">
            <v>0.375</v>
          </cell>
          <cell r="G2664">
            <v>0</v>
          </cell>
          <cell r="H2664">
            <v>99.296352315970239</v>
          </cell>
          <cell r="I2664">
            <v>0</v>
          </cell>
          <cell r="J2664"/>
          <cell r="K2664">
            <v>99.296352315970239</v>
          </cell>
        </row>
        <row r="2665">
          <cell r="A2665">
            <v>5.5</v>
          </cell>
          <cell r="B2665">
            <v>98.192999999999998</v>
          </cell>
          <cell r="C2665">
            <v>1.082099769761613</v>
          </cell>
          <cell r="D2665">
            <v>99.27509976976161</v>
          </cell>
          <cell r="E2665">
            <v>8.4999999999999964E-2</v>
          </cell>
          <cell r="F2665">
            <v>0.375</v>
          </cell>
          <cell r="G2665">
            <v>0</v>
          </cell>
          <cell r="H2665">
            <v>98.815099769761616</v>
          </cell>
          <cell r="I2665">
            <v>0</v>
          </cell>
          <cell r="J2665"/>
          <cell r="K2665">
            <v>98.815099769761616</v>
          </cell>
        </row>
        <row r="2666">
          <cell r="A2666">
            <v>5.375</v>
          </cell>
          <cell r="B2666">
            <v>97.682000000000002</v>
          </cell>
          <cell r="C2666">
            <v>1.099396508770641</v>
          </cell>
          <cell r="D2666">
            <v>98.781396508770641</v>
          </cell>
          <cell r="E2666">
            <v>8.4999999999999964E-2</v>
          </cell>
          <cell r="F2666">
            <v>0.375</v>
          </cell>
          <cell r="G2666">
            <v>0</v>
          </cell>
          <cell r="H2666">
            <v>98.321396508770647</v>
          </cell>
          <cell r="I2666">
            <v>0</v>
          </cell>
          <cell r="J2666"/>
          <cell r="K2666">
            <v>98.321396508770647</v>
          </cell>
        </row>
        <row r="2667">
          <cell r="A2667">
            <v>5.25</v>
          </cell>
          <cell r="B2667">
            <v>96.933000000000007</v>
          </cell>
          <cell r="C2667">
            <v>1.1119320322486328</v>
          </cell>
          <cell r="D2667">
            <v>98.044932032248639</v>
          </cell>
          <cell r="E2667">
            <v>8.4999999999999964E-2</v>
          </cell>
          <cell r="F2667">
            <v>0.375</v>
          </cell>
          <cell r="G2667">
            <v>0</v>
          </cell>
          <cell r="H2667">
            <v>97.584932032248645</v>
          </cell>
          <cell r="I2667">
            <v>0</v>
          </cell>
          <cell r="J2667"/>
          <cell r="K2667">
            <v>97.584932032248645</v>
          </cell>
        </row>
        <row r="2668">
          <cell r="A2668">
            <v>5.125</v>
          </cell>
          <cell r="B2668">
            <v>96.594999999999999</v>
          </cell>
          <cell r="C2668">
            <v>1.1219680144753188</v>
          </cell>
          <cell r="D2668">
            <v>97.716968014475313</v>
          </cell>
          <cell r="E2668">
            <v>8.4999999999999964E-2</v>
          </cell>
          <cell r="F2668">
            <v>0.375</v>
          </cell>
          <cell r="G2668">
            <v>0</v>
          </cell>
          <cell r="H2668">
            <v>97.256968014475319</v>
          </cell>
          <cell r="I2668">
            <v>0</v>
          </cell>
          <cell r="J2668"/>
          <cell r="K2668">
            <v>97.256968014475319</v>
          </cell>
        </row>
        <row r="2669">
          <cell r="A2669">
            <v>5</v>
          </cell>
          <cell r="B2669">
            <v>96.078999999999994</v>
          </cell>
          <cell r="C2669">
            <v>1.1349446652924806</v>
          </cell>
          <cell r="D2669">
            <v>97.213944665292473</v>
          </cell>
          <cell r="E2669">
            <v>8.4999999999999964E-2</v>
          </cell>
          <cell r="F2669">
            <v>0.375</v>
          </cell>
          <cell r="G2669">
            <v>0</v>
          </cell>
          <cell r="H2669">
            <v>96.753944665292479</v>
          </cell>
          <cell r="I2669">
            <v>0</v>
          </cell>
          <cell r="J2669"/>
          <cell r="K2669">
            <v>96.753944665292479</v>
          </cell>
        </row>
        <row r="2670">
          <cell r="A2670">
            <v>4.875</v>
          </cell>
          <cell r="B2670">
            <v>95.450999999999993</v>
          </cell>
          <cell r="C2670">
            <v>1.1480988298836645</v>
          </cell>
          <cell r="D2670">
            <v>96.599098829883658</v>
          </cell>
          <cell r="E2670">
            <v>8.4999999999999964E-2</v>
          </cell>
          <cell r="F2670">
            <v>0.375</v>
          </cell>
          <cell r="G2670">
            <v>0</v>
          </cell>
          <cell r="H2670">
            <v>96.139098829883665</v>
          </cell>
          <cell r="I2670">
            <v>0</v>
          </cell>
          <cell r="J2670"/>
          <cell r="K2670">
            <v>96.139098829883665</v>
          </cell>
        </row>
        <row r="2671">
          <cell r="A2671">
            <v>4.75</v>
          </cell>
          <cell r="B2671">
            <v>94.822000000000003</v>
          </cell>
          <cell r="C2671">
            <v>1.1614225825536417</v>
          </cell>
          <cell r="D2671">
            <v>95.983422582553644</v>
          </cell>
          <cell r="E2671">
            <v>8.4999999999999964E-2</v>
          </cell>
          <cell r="F2671">
            <v>0.375</v>
          </cell>
          <cell r="G2671">
            <v>0</v>
          </cell>
          <cell r="H2671">
            <v>95.52342258255365</v>
          </cell>
          <cell r="I2671">
            <v>0</v>
          </cell>
          <cell r="J2671"/>
          <cell r="K2671">
            <v>95.52342258255365</v>
          </cell>
        </row>
        <row r="2672">
          <cell r="A2672">
            <v>4.625</v>
          </cell>
          <cell r="B2672">
            <v>94.013000000000005</v>
          </cell>
          <cell r="C2672">
            <v>1.1724899488210871</v>
          </cell>
          <cell r="D2672">
            <v>95.185489948821086</v>
          </cell>
          <cell r="E2672">
            <v>8.4999999999999964E-2</v>
          </cell>
          <cell r="F2672">
            <v>0.375</v>
          </cell>
          <cell r="G2672">
            <v>0</v>
          </cell>
          <cell r="H2672">
            <v>94.725489948821092</v>
          </cell>
          <cell r="I2672">
            <v>0</v>
          </cell>
          <cell r="J2672"/>
          <cell r="K2672">
            <v>94.725489948821092</v>
          </cell>
        </row>
        <row r="2673">
          <cell r="A2673">
            <v>4.5</v>
          </cell>
          <cell r="B2673">
            <v>93.405000000000001</v>
          </cell>
          <cell r="C2673">
            <v>1.1805892490508394</v>
          </cell>
          <cell r="D2673">
            <v>94.585589249050841</v>
          </cell>
          <cell r="E2673">
            <v>8.4999999999999964E-2</v>
          </cell>
          <cell r="F2673">
            <v>0.375</v>
          </cell>
          <cell r="G2673">
            <v>0</v>
          </cell>
          <cell r="H2673">
            <v>94.125589249050847</v>
          </cell>
          <cell r="I2673">
            <v>0</v>
          </cell>
          <cell r="J2673"/>
          <cell r="K2673">
            <v>94.125589249050847</v>
          </cell>
        </row>
        <row r="2677">
          <cell r="A2677">
            <v>7.625</v>
          </cell>
          <cell r="B2677">
            <v>104.32599999999999</v>
          </cell>
          <cell r="C2677">
            <v>0.65472031167613554</v>
          </cell>
          <cell r="D2677">
            <v>104.98072031167612</v>
          </cell>
          <cell r="E2677">
            <v>-0.66999999999999993</v>
          </cell>
          <cell r="F2677">
            <v>0.375</v>
          </cell>
          <cell r="G2677">
            <v>0</v>
          </cell>
          <cell r="H2677">
            <v>105.27572031167612</v>
          </cell>
          <cell r="I2677">
            <v>0</v>
          </cell>
          <cell r="J2677"/>
          <cell r="K2677">
            <v>105.27572031167612</v>
          </cell>
        </row>
        <row r="2678">
          <cell r="A2678">
            <v>7.5</v>
          </cell>
          <cell r="B2678">
            <v>104.059</v>
          </cell>
          <cell r="C2678">
            <v>0.71320601804099537</v>
          </cell>
          <cell r="D2678">
            <v>104.77220601804099</v>
          </cell>
          <cell r="E2678">
            <v>-0.66999999999999993</v>
          </cell>
          <cell r="F2678">
            <v>0.375</v>
          </cell>
          <cell r="G2678">
            <v>0</v>
          </cell>
          <cell r="H2678">
            <v>105.06720601804099</v>
          </cell>
          <cell r="I2678">
            <v>0</v>
          </cell>
          <cell r="J2678"/>
          <cell r="K2678">
            <v>105.06720601804099</v>
          </cell>
        </row>
        <row r="2679">
          <cell r="A2679">
            <v>7.375</v>
          </cell>
          <cell r="B2679">
            <v>103.72799999999999</v>
          </cell>
          <cell r="C2679">
            <v>0.7747793530222602</v>
          </cell>
          <cell r="D2679">
            <v>104.50277935302225</v>
          </cell>
          <cell r="E2679">
            <v>-0.66999999999999993</v>
          </cell>
          <cell r="F2679">
            <v>0.375</v>
          </cell>
          <cell r="G2679">
            <v>0</v>
          </cell>
          <cell r="H2679">
            <v>104.79777935302225</v>
          </cell>
          <cell r="I2679">
            <v>0</v>
          </cell>
          <cell r="J2679"/>
          <cell r="K2679">
            <v>104.79777935302225</v>
          </cell>
        </row>
        <row r="2680">
          <cell r="A2680">
            <v>7.25</v>
          </cell>
          <cell r="B2680">
            <v>103.196</v>
          </cell>
          <cell r="C2680">
            <v>0.82822321807392485</v>
          </cell>
          <cell r="D2680">
            <v>104.02422321807393</v>
          </cell>
          <cell r="E2680">
            <v>-0.66999999999999993</v>
          </cell>
          <cell r="F2680">
            <v>0.375</v>
          </cell>
          <cell r="G2680">
            <v>0</v>
          </cell>
          <cell r="H2680">
            <v>104.31922321807393</v>
          </cell>
          <cell r="I2680">
            <v>0</v>
          </cell>
          <cell r="J2680"/>
          <cell r="K2680">
            <v>104.31922321807393</v>
          </cell>
        </row>
        <row r="2681">
          <cell r="A2681">
            <v>7.125</v>
          </cell>
          <cell r="B2681">
            <v>102.932</v>
          </cell>
          <cell r="C2681">
            <v>0.87863429865376697</v>
          </cell>
          <cell r="D2681">
            <v>103.81063429865377</v>
          </cell>
          <cell r="E2681">
            <v>-0.66999999999999993</v>
          </cell>
          <cell r="F2681">
            <v>0.375</v>
          </cell>
          <cell r="G2681">
            <v>0</v>
          </cell>
          <cell r="H2681">
            <v>104.10563429865377</v>
          </cell>
          <cell r="I2681">
            <v>0</v>
          </cell>
          <cell r="J2681"/>
          <cell r="K2681">
            <v>104.10563429865377</v>
          </cell>
        </row>
        <row r="2682">
          <cell r="A2682">
            <v>7</v>
          </cell>
          <cell r="B2682">
            <v>102.554</v>
          </cell>
          <cell r="C2682">
            <v>0.92941882148098509</v>
          </cell>
          <cell r="D2682">
            <v>103.48341882148098</v>
          </cell>
          <cell r="E2682">
            <v>-0.66999999999999993</v>
          </cell>
          <cell r="F2682">
            <v>0.375</v>
          </cell>
          <cell r="G2682">
            <v>0</v>
          </cell>
          <cell r="H2682">
            <v>103.77841882148098</v>
          </cell>
          <cell r="I2682">
            <v>0</v>
          </cell>
          <cell r="J2682"/>
          <cell r="K2682">
            <v>103.77841882148098</v>
          </cell>
        </row>
        <row r="2683">
          <cell r="A2683">
            <v>6.875</v>
          </cell>
          <cell r="B2683">
            <v>102.042</v>
          </cell>
          <cell r="C2683">
            <v>0.97963707029997038</v>
          </cell>
          <cell r="D2683">
            <v>103.02163707029997</v>
          </cell>
          <cell r="E2683">
            <v>-0.66999999999999993</v>
          </cell>
          <cell r="F2683">
            <v>0.375</v>
          </cell>
          <cell r="G2683">
            <v>0</v>
          </cell>
          <cell r="H2683">
            <v>103.31663707029998</v>
          </cell>
          <cell r="I2683">
            <v>0</v>
          </cell>
          <cell r="J2683"/>
          <cell r="K2683">
            <v>103.31663707029998</v>
          </cell>
        </row>
        <row r="2684">
          <cell r="A2684">
            <v>6.75</v>
          </cell>
          <cell r="B2684">
            <v>101.453</v>
          </cell>
          <cell r="C2684">
            <v>1.0280353823492594</v>
          </cell>
          <cell r="D2684">
            <v>102.48103538234926</v>
          </cell>
          <cell r="E2684">
            <v>-0.66999999999999993</v>
          </cell>
          <cell r="F2684">
            <v>0.375</v>
          </cell>
          <cell r="G2684">
            <v>0</v>
          </cell>
          <cell r="H2684">
            <v>102.77603538234926</v>
          </cell>
          <cell r="I2684">
            <v>0</v>
          </cell>
          <cell r="J2684"/>
          <cell r="K2684">
            <v>102.77603538234926</v>
          </cell>
        </row>
        <row r="2685">
          <cell r="A2685">
            <v>6.625</v>
          </cell>
          <cell r="B2685">
            <v>101.232</v>
          </cell>
          <cell r="C2685">
            <v>1.0731419487640863</v>
          </cell>
          <cell r="D2685">
            <v>102.30514194876409</v>
          </cell>
          <cell r="E2685">
            <v>-0.66999999999999993</v>
          </cell>
          <cell r="F2685">
            <v>0.375</v>
          </cell>
          <cell r="G2685">
            <v>0</v>
          </cell>
          <cell r="H2685">
            <v>102.60014194876409</v>
          </cell>
          <cell r="I2685">
            <v>0</v>
          </cell>
          <cell r="J2685"/>
          <cell r="K2685">
            <v>102.60014194876409</v>
          </cell>
        </row>
        <row r="2686">
          <cell r="A2686">
            <v>6.5</v>
          </cell>
          <cell r="B2686">
            <v>100.82</v>
          </cell>
          <cell r="C2686">
            <v>1.1135579725934197</v>
          </cell>
          <cell r="D2686">
            <v>101.93355797259342</v>
          </cell>
          <cell r="E2686">
            <v>-0.66999999999999993</v>
          </cell>
          <cell r="F2686">
            <v>0.375</v>
          </cell>
          <cell r="G2686">
            <v>0</v>
          </cell>
          <cell r="H2686">
            <v>102.22855797259342</v>
          </cell>
          <cell r="I2686">
            <v>0</v>
          </cell>
          <cell r="J2686"/>
          <cell r="K2686">
            <v>102.22855797259342</v>
          </cell>
        </row>
        <row r="2687">
          <cell r="A2687">
            <v>6.375</v>
          </cell>
          <cell r="B2687">
            <v>100.45399999999999</v>
          </cell>
          <cell r="C2687">
            <v>1.1475731089140164</v>
          </cell>
          <cell r="D2687">
            <v>101.60157310891401</v>
          </cell>
          <cell r="E2687">
            <v>-0.66999999999999993</v>
          </cell>
          <cell r="F2687">
            <v>0.375</v>
          </cell>
          <cell r="G2687">
            <v>0</v>
          </cell>
          <cell r="H2687">
            <v>101.89657310891401</v>
          </cell>
          <cell r="I2687">
            <v>0</v>
          </cell>
          <cell r="J2687"/>
          <cell r="K2687">
            <v>101.89657310891401</v>
          </cell>
        </row>
        <row r="2688">
          <cell r="A2688">
            <v>6.25</v>
          </cell>
          <cell r="B2688">
            <v>99.978999999999999</v>
          </cell>
          <cell r="C2688">
            <v>1.1739341544104718</v>
          </cell>
          <cell r="D2688">
            <v>101.15293415441047</v>
          </cell>
          <cell r="E2688">
            <v>-0.66999999999999993</v>
          </cell>
          <cell r="F2688">
            <v>0.375</v>
          </cell>
          <cell r="G2688">
            <v>0</v>
          </cell>
          <cell r="H2688">
            <v>101.44793415441048</v>
          </cell>
          <cell r="I2688">
            <v>0</v>
          </cell>
          <cell r="J2688"/>
          <cell r="K2688">
            <v>101.44793415441048</v>
          </cell>
        </row>
        <row r="2689">
          <cell r="A2689">
            <v>6.125</v>
          </cell>
          <cell r="B2689">
            <v>99.421999999999997</v>
          </cell>
          <cell r="C2689">
            <v>1.1914619382646172</v>
          </cell>
          <cell r="D2689">
            <v>100.61346193826462</v>
          </cell>
          <cell r="E2689">
            <v>-0.66999999999999993</v>
          </cell>
          <cell r="F2689">
            <v>0.27500000000000002</v>
          </cell>
          <cell r="G2689">
            <v>0</v>
          </cell>
          <cell r="H2689">
            <v>101.00846193826462</v>
          </cell>
          <cell r="I2689">
            <v>0</v>
          </cell>
          <cell r="J2689"/>
          <cell r="K2689">
            <v>101.00846193826462</v>
          </cell>
        </row>
        <row r="2690">
          <cell r="A2690">
            <v>6</v>
          </cell>
          <cell r="B2690">
            <v>98.933999999999997</v>
          </cell>
          <cell r="C2690">
            <v>1.2261032992851351</v>
          </cell>
          <cell r="D2690">
            <v>100.16010329928513</v>
          </cell>
          <cell r="E2690">
            <v>-0.66999999999999993</v>
          </cell>
          <cell r="F2690">
            <v>0.375</v>
          </cell>
          <cell r="G2690">
            <v>0</v>
          </cell>
          <cell r="H2690">
            <v>100.45510329928513</v>
          </cell>
          <cell r="I2690">
            <v>0</v>
          </cell>
          <cell r="J2690"/>
          <cell r="K2690">
            <v>100.45510329928513</v>
          </cell>
        </row>
        <row r="2691">
          <cell r="A2691">
            <v>5.99</v>
          </cell>
          <cell r="B2691">
            <v>98.783999999999992</v>
          </cell>
          <cell r="C2691">
            <v>1.2261032992851351</v>
          </cell>
          <cell r="D2691">
            <v>100.01010329928512</v>
          </cell>
          <cell r="E2691">
            <v>-0.66999999999999993</v>
          </cell>
          <cell r="F2691">
            <v>0.375</v>
          </cell>
          <cell r="G2691">
            <v>0</v>
          </cell>
          <cell r="H2691">
            <v>100.30510329928512</v>
          </cell>
          <cell r="I2691">
            <v>0</v>
          </cell>
          <cell r="J2691"/>
          <cell r="K2691">
            <v>100.30510329928512</v>
          </cell>
        </row>
        <row r="2692">
          <cell r="A2692">
            <v>5.875</v>
          </cell>
          <cell r="B2692">
            <v>98.454999999999998</v>
          </cell>
          <cell r="C2692">
            <v>1.2582542829647416</v>
          </cell>
          <cell r="D2692">
            <v>99.713254282964741</v>
          </cell>
          <cell r="E2692">
            <v>-0.66999999999999993</v>
          </cell>
          <cell r="F2692">
            <v>0.375</v>
          </cell>
          <cell r="G2692">
            <v>0</v>
          </cell>
          <cell r="H2692">
            <v>100.00825428296474</v>
          </cell>
          <cell r="I2692">
            <v>0</v>
          </cell>
          <cell r="J2692"/>
          <cell r="K2692">
            <v>100.00825428296474</v>
          </cell>
        </row>
        <row r="2693">
          <cell r="A2693">
            <v>5.75</v>
          </cell>
          <cell r="B2693">
            <v>97.893000000000001</v>
          </cell>
          <cell r="C2693">
            <v>1.2874604346057832</v>
          </cell>
          <cell r="D2693">
            <v>99.180460434605777</v>
          </cell>
          <cell r="E2693">
            <v>-0.66999999999999993</v>
          </cell>
          <cell r="F2693">
            <v>0.375</v>
          </cell>
          <cell r="G2693">
            <v>0</v>
          </cell>
          <cell r="H2693">
            <v>99.475460434605779</v>
          </cell>
          <cell r="I2693">
            <v>0</v>
          </cell>
          <cell r="J2693"/>
          <cell r="K2693">
            <v>99.475460434605779</v>
          </cell>
        </row>
        <row r="2694">
          <cell r="A2694">
            <v>5.625</v>
          </cell>
          <cell r="B2694">
            <v>97.337999999999994</v>
          </cell>
          <cell r="C2694">
            <v>1.3103523159702306</v>
          </cell>
          <cell r="D2694">
            <v>98.648352315970229</v>
          </cell>
          <cell r="E2694">
            <v>-0.66999999999999993</v>
          </cell>
          <cell r="F2694">
            <v>0.375</v>
          </cell>
          <cell r="G2694">
            <v>0</v>
          </cell>
          <cell r="H2694">
            <v>98.94335231597023</v>
          </cell>
          <cell r="I2694">
            <v>0</v>
          </cell>
          <cell r="J2694"/>
          <cell r="K2694">
            <v>98.94335231597023</v>
          </cell>
        </row>
        <row r="2695">
          <cell r="A2695">
            <v>5.5</v>
          </cell>
          <cell r="B2695">
            <v>96.736000000000004</v>
          </cell>
          <cell r="C2695">
            <v>1.332099769761613</v>
          </cell>
          <cell r="D2695">
            <v>98.068099769761616</v>
          </cell>
          <cell r="E2695">
            <v>-0.66999999999999993</v>
          </cell>
          <cell r="F2695">
            <v>0.375</v>
          </cell>
          <cell r="G2695">
            <v>0</v>
          </cell>
          <cell r="H2695">
            <v>98.363099769761618</v>
          </cell>
          <cell r="I2695">
            <v>0</v>
          </cell>
          <cell r="J2695"/>
          <cell r="K2695">
            <v>98.363099769761618</v>
          </cell>
        </row>
        <row r="2696">
          <cell r="A2696">
            <v>5.375</v>
          </cell>
          <cell r="B2696">
            <v>96.15</v>
          </cell>
          <cell r="C2696">
            <v>1.349396508770641</v>
          </cell>
          <cell r="D2696">
            <v>97.499396508770644</v>
          </cell>
          <cell r="E2696">
            <v>-0.66999999999999993</v>
          </cell>
          <cell r="F2696">
            <v>0.375</v>
          </cell>
          <cell r="G2696">
            <v>0</v>
          </cell>
          <cell r="H2696">
            <v>97.794396508770646</v>
          </cell>
          <cell r="I2696">
            <v>0</v>
          </cell>
          <cell r="J2696"/>
          <cell r="K2696">
            <v>97.794396508770646</v>
          </cell>
        </row>
        <row r="2697">
          <cell r="A2697">
            <v>5.25</v>
          </cell>
          <cell r="B2697">
            <v>95.146000000000001</v>
          </cell>
          <cell r="C2697">
            <v>1.3619320322486328</v>
          </cell>
          <cell r="D2697">
            <v>96.507932032248632</v>
          </cell>
          <cell r="E2697">
            <v>-0.66999999999999993</v>
          </cell>
          <cell r="F2697">
            <v>0.375</v>
          </cell>
          <cell r="G2697">
            <v>0</v>
          </cell>
          <cell r="H2697">
            <v>96.802932032248634</v>
          </cell>
          <cell r="I2697">
            <v>0</v>
          </cell>
          <cell r="J2697"/>
          <cell r="K2697">
            <v>96.802932032248634</v>
          </cell>
        </row>
        <row r="2698">
          <cell r="A2698">
            <v>5.125</v>
          </cell>
          <cell r="B2698">
            <v>95.129000000000005</v>
          </cell>
          <cell r="C2698">
            <v>1.3719680144753188</v>
          </cell>
          <cell r="D2698">
            <v>96.500968014475319</v>
          </cell>
          <cell r="E2698">
            <v>-0.66999999999999993</v>
          </cell>
          <cell r="F2698">
            <v>0.375</v>
          </cell>
          <cell r="G2698">
            <v>0</v>
          </cell>
          <cell r="H2698">
            <v>96.795968014475321</v>
          </cell>
          <cell r="I2698">
            <v>0</v>
          </cell>
          <cell r="J2698"/>
          <cell r="K2698">
            <v>96.795968014475321</v>
          </cell>
        </row>
        <row r="2699">
          <cell r="A2699">
            <v>5</v>
          </cell>
          <cell r="B2699">
            <v>94.415999999999997</v>
          </cell>
          <cell r="C2699">
            <v>1.3849446652924806</v>
          </cell>
          <cell r="D2699">
            <v>95.800944665292477</v>
          </cell>
          <cell r="E2699">
            <v>-0.66999999999999993</v>
          </cell>
          <cell r="F2699">
            <v>0.375</v>
          </cell>
          <cell r="G2699">
            <v>0</v>
          </cell>
          <cell r="H2699">
            <v>96.095944665292478</v>
          </cell>
          <cell r="I2699">
            <v>0</v>
          </cell>
          <cell r="J2699"/>
          <cell r="K2699">
            <v>96.095944665292478</v>
          </cell>
        </row>
        <row r="2700">
          <cell r="A2700">
            <v>4.875</v>
          </cell>
          <cell r="B2700">
            <v>93.64</v>
          </cell>
          <cell r="C2700">
            <v>1.3980988298836645</v>
          </cell>
          <cell r="D2700">
            <v>95.038098829883666</v>
          </cell>
          <cell r="E2700">
            <v>-0.66999999999999993</v>
          </cell>
          <cell r="F2700">
            <v>0.375</v>
          </cell>
          <cell r="G2700">
            <v>0</v>
          </cell>
          <cell r="H2700">
            <v>95.333098829883667</v>
          </cell>
          <cell r="I2700">
            <v>0</v>
          </cell>
          <cell r="J2700"/>
          <cell r="K2700">
            <v>95.333098829883667</v>
          </cell>
        </row>
        <row r="2701">
          <cell r="A2701">
            <v>4.75</v>
          </cell>
          <cell r="B2701">
            <v>92.762</v>
          </cell>
          <cell r="C2701">
            <v>1.4114225825536417</v>
          </cell>
          <cell r="D2701">
            <v>94.173422582553641</v>
          </cell>
          <cell r="E2701">
            <v>-0.66999999999999993</v>
          </cell>
          <cell r="F2701">
            <v>0.375</v>
          </cell>
          <cell r="G2701">
            <v>0</v>
          </cell>
          <cell r="H2701">
            <v>94.468422582553643</v>
          </cell>
          <cell r="I2701">
            <v>0</v>
          </cell>
          <cell r="J2701"/>
          <cell r="K2701">
            <v>94.468422582553643</v>
          </cell>
        </row>
        <row r="2702">
          <cell r="A2702">
            <v>4.625</v>
          </cell>
          <cell r="B2702">
            <v>92.381</v>
          </cell>
          <cell r="C2702">
            <v>1.4224899488210871</v>
          </cell>
          <cell r="D2702">
            <v>93.803489948821081</v>
          </cell>
          <cell r="E2702">
            <v>-0.66999999999999993</v>
          </cell>
          <cell r="F2702">
            <v>0.375</v>
          </cell>
          <cell r="G2702">
            <v>0</v>
          </cell>
          <cell r="H2702">
            <v>94.098489948821083</v>
          </cell>
          <cell r="I2702">
            <v>0</v>
          </cell>
          <cell r="J2702"/>
          <cell r="K2702">
            <v>94.098489948821083</v>
          </cell>
        </row>
        <row r="2733">
          <cell r="A2733">
            <v>7.75</v>
          </cell>
          <cell r="B2733">
            <v>105.09399999999999</v>
          </cell>
          <cell r="C2733">
            <v>0.35012653450037634</v>
          </cell>
          <cell r="D2733">
            <v>105.44412653450037</v>
          </cell>
          <cell r="E2733">
            <v>8.4999999999999964E-2</v>
          </cell>
          <cell r="F2733">
            <v>0.375</v>
          </cell>
          <cell r="G2733">
            <v>0</v>
          </cell>
          <cell r="H2733">
            <v>104.98412653450038</v>
          </cell>
          <cell r="I2733">
            <v>0</v>
          </cell>
          <cell r="J2733"/>
          <cell r="K2733">
            <v>104.98412653450038</v>
          </cell>
        </row>
        <row r="2734">
          <cell r="A2734">
            <v>7.625</v>
          </cell>
          <cell r="B2734">
            <v>104.596</v>
          </cell>
          <cell r="C2734">
            <v>0.40472031167613554</v>
          </cell>
          <cell r="D2734">
            <v>105.00072031167613</v>
          </cell>
          <cell r="E2734">
            <v>8.4999999999999964E-2</v>
          </cell>
          <cell r="F2734">
            <v>0.375</v>
          </cell>
          <cell r="G2734">
            <v>0</v>
          </cell>
          <cell r="H2734">
            <v>104.54072031167614</v>
          </cell>
          <cell r="I2734">
            <v>0</v>
          </cell>
          <cell r="J2734"/>
          <cell r="K2734">
            <v>104.54072031167614</v>
          </cell>
        </row>
        <row r="2735">
          <cell r="A2735">
            <v>7.5</v>
          </cell>
          <cell r="B2735">
            <v>104.146</v>
          </cell>
          <cell r="C2735">
            <v>0.46320601804099537</v>
          </cell>
          <cell r="D2735">
            <v>104.60920601804099</v>
          </cell>
          <cell r="E2735">
            <v>8.4999999999999964E-2</v>
          </cell>
          <cell r="F2735">
            <v>0.375</v>
          </cell>
          <cell r="G2735">
            <v>0</v>
          </cell>
          <cell r="H2735">
            <v>104.149206018041</v>
          </cell>
          <cell r="I2735">
            <v>0</v>
          </cell>
          <cell r="J2735"/>
          <cell r="K2735">
            <v>104.149206018041</v>
          </cell>
        </row>
        <row r="2736">
          <cell r="A2736">
            <v>7.375</v>
          </cell>
          <cell r="B2736">
            <v>103.831</v>
          </cell>
          <cell r="C2736">
            <v>0.5247793530222602</v>
          </cell>
          <cell r="D2736">
            <v>104.35577935302226</v>
          </cell>
          <cell r="E2736">
            <v>8.4999999999999964E-2</v>
          </cell>
          <cell r="F2736">
            <v>0.375</v>
          </cell>
          <cell r="G2736">
            <v>0</v>
          </cell>
          <cell r="H2736">
            <v>103.89577935302226</v>
          </cell>
          <cell r="I2736">
            <v>0</v>
          </cell>
          <cell r="J2736"/>
          <cell r="K2736">
            <v>103.89577935302226</v>
          </cell>
        </row>
        <row r="2737">
          <cell r="A2737">
            <v>7.25</v>
          </cell>
          <cell r="B2737">
            <v>103.499</v>
          </cell>
          <cell r="C2737">
            <v>0.57822321807392485</v>
          </cell>
          <cell r="D2737">
            <v>104.07722321807393</v>
          </cell>
          <cell r="E2737">
            <v>8.4999999999999964E-2</v>
          </cell>
          <cell r="F2737">
            <v>0.375</v>
          </cell>
          <cell r="G2737">
            <v>0</v>
          </cell>
          <cell r="H2737">
            <v>103.61722321807393</v>
          </cell>
          <cell r="I2737">
            <v>0</v>
          </cell>
          <cell r="J2737"/>
          <cell r="K2737">
            <v>103.61722321807393</v>
          </cell>
        </row>
        <row r="2738">
          <cell r="A2738">
            <v>7.125</v>
          </cell>
          <cell r="B2738">
            <v>102.947</v>
          </cell>
          <cell r="C2738">
            <v>0.62863429865376697</v>
          </cell>
          <cell r="D2738">
            <v>103.57563429865377</v>
          </cell>
          <cell r="E2738">
            <v>8.4999999999999964E-2</v>
          </cell>
          <cell r="F2738">
            <v>0.375</v>
          </cell>
          <cell r="G2738">
            <v>0</v>
          </cell>
          <cell r="H2738">
            <v>103.11563429865377</v>
          </cell>
          <cell r="I2738">
            <v>0</v>
          </cell>
          <cell r="J2738"/>
          <cell r="K2738">
            <v>103.11563429865377</v>
          </cell>
        </row>
        <row r="2739">
          <cell r="A2739">
            <v>7</v>
          </cell>
          <cell r="B2739">
            <v>102.58</v>
          </cell>
          <cell r="C2739">
            <v>0.67941882148098509</v>
          </cell>
          <cell r="D2739">
            <v>103.25941882148098</v>
          </cell>
          <cell r="E2739">
            <v>8.4999999999999964E-2</v>
          </cell>
          <cell r="F2739">
            <v>0.375</v>
          </cell>
          <cell r="G2739">
            <v>0</v>
          </cell>
          <cell r="H2739">
            <v>102.79941882148098</v>
          </cell>
          <cell r="I2739">
            <v>0</v>
          </cell>
          <cell r="J2739"/>
          <cell r="K2739">
            <v>102.79941882148098</v>
          </cell>
        </row>
        <row r="2740">
          <cell r="A2740">
            <v>6.875</v>
          </cell>
          <cell r="B2740">
            <v>102.274</v>
          </cell>
          <cell r="C2740">
            <v>0.72963707029997038</v>
          </cell>
          <cell r="D2740">
            <v>103.00363707029997</v>
          </cell>
          <cell r="E2740">
            <v>8.4999999999999964E-2</v>
          </cell>
          <cell r="F2740">
            <v>0.375</v>
          </cell>
          <cell r="G2740">
            <v>0</v>
          </cell>
          <cell r="H2740">
            <v>102.54363707029998</v>
          </cell>
          <cell r="I2740">
            <v>0</v>
          </cell>
          <cell r="J2740"/>
          <cell r="K2740">
            <v>102.54363707029998</v>
          </cell>
        </row>
        <row r="2741">
          <cell r="A2741">
            <v>6.75</v>
          </cell>
          <cell r="B2741">
            <v>101.926</v>
          </cell>
          <cell r="C2741">
            <v>0.7780353823492594</v>
          </cell>
          <cell r="D2741">
            <v>102.70403538234926</v>
          </cell>
          <cell r="E2741">
            <v>8.4999999999999964E-2</v>
          </cell>
          <cell r="F2741">
            <v>0.375</v>
          </cell>
          <cell r="G2741">
            <v>0</v>
          </cell>
          <cell r="H2741">
            <v>102.24403538234927</v>
          </cell>
          <cell r="I2741">
            <v>0</v>
          </cell>
          <cell r="J2741"/>
          <cell r="K2741">
            <v>102.24403538234927</v>
          </cell>
        </row>
        <row r="2742">
          <cell r="A2742">
            <v>6.625</v>
          </cell>
          <cell r="B2742">
            <v>101.815</v>
          </cell>
          <cell r="C2742">
            <v>0.82314194876408631</v>
          </cell>
          <cell r="D2742">
            <v>102.63814194876409</v>
          </cell>
          <cell r="E2742">
            <v>8.4999999999999964E-2</v>
          </cell>
          <cell r="F2742">
            <v>0.375</v>
          </cell>
          <cell r="G2742">
            <v>0</v>
          </cell>
          <cell r="H2742">
            <v>102.17814194876409</v>
          </cell>
          <cell r="I2742">
            <v>0</v>
          </cell>
          <cell r="J2742"/>
          <cell r="K2742">
            <v>102.17814194876409</v>
          </cell>
        </row>
        <row r="2743">
          <cell r="A2743">
            <v>6.5</v>
          </cell>
          <cell r="B2743">
            <v>101.45099999999999</v>
          </cell>
          <cell r="C2743">
            <v>0.86355797259341971</v>
          </cell>
          <cell r="D2743">
            <v>102.31455797259342</v>
          </cell>
          <cell r="E2743">
            <v>8.4999999999999964E-2</v>
          </cell>
          <cell r="F2743">
            <v>0.375</v>
          </cell>
          <cell r="G2743">
            <v>0</v>
          </cell>
          <cell r="H2743">
            <v>101.85455797259343</v>
          </cell>
          <cell r="I2743">
            <v>0</v>
          </cell>
          <cell r="J2743"/>
          <cell r="K2743">
            <v>101.85455797259343</v>
          </cell>
        </row>
        <row r="2744">
          <cell r="A2744">
            <v>6.375</v>
          </cell>
          <cell r="B2744">
            <v>101.05200000000001</v>
          </cell>
          <cell r="C2744">
            <v>0.89757310891401643</v>
          </cell>
          <cell r="D2744">
            <v>101.94957310891402</v>
          </cell>
          <cell r="E2744">
            <v>8.4999999999999964E-2</v>
          </cell>
          <cell r="F2744">
            <v>0.375</v>
          </cell>
          <cell r="G2744">
            <v>0</v>
          </cell>
          <cell r="H2744">
            <v>101.48957310891403</v>
          </cell>
          <cell r="I2744">
            <v>0</v>
          </cell>
          <cell r="J2744"/>
          <cell r="K2744">
            <v>101.48957310891403</v>
          </cell>
        </row>
        <row r="2745">
          <cell r="A2745">
            <v>6.25</v>
          </cell>
          <cell r="B2745">
            <v>100.63</v>
          </cell>
          <cell r="C2745">
            <v>0.92393415441047178</v>
          </cell>
          <cell r="D2745">
            <v>101.55393415441047</v>
          </cell>
          <cell r="E2745">
            <v>8.4999999999999964E-2</v>
          </cell>
          <cell r="F2745">
            <v>0.375</v>
          </cell>
          <cell r="G2745">
            <v>0</v>
          </cell>
          <cell r="H2745">
            <v>101.09393415441048</v>
          </cell>
          <cell r="I2745">
            <v>0</v>
          </cell>
          <cell r="J2745"/>
          <cell r="K2745">
            <v>101.09393415441048</v>
          </cell>
        </row>
        <row r="2746">
          <cell r="A2746">
            <v>6.125</v>
          </cell>
          <cell r="B2746">
            <v>100.459</v>
          </cell>
          <cell r="C2746">
            <v>0.94146193826461722</v>
          </cell>
          <cell r="D2746">
            <v>101.40046193826463</v>
          </cell>
          <cell r="E2746">
            <v>8.4999999999999964E-2</v>
          </cell>
          <cell r="F2746">
            <v>0.27500000000000002</v>
          </cell>
          <cell r="G2746">
            <v>0</v>
          </cell>
          <cell r="H2746">
            <v>101.04046193826463</v>
          </cell>
          <cell r="I2746">
            <v>0</v>
          </cell>
          <cell r="J2746"/>
          <cell r="K2746">
            <v>101.04046193826463</v>
          </cell>
        </row>
        <row r="2747">
          <cell r="A2747">
            <v>6</v>
          </cell>
          <cell r="B2747">
            <v>100.08799999999999</v>
          </cell>
          <cell r="C2747">
            <v>0.97610329928513506</v>
          </cell>
          <cell r="D2747">
            <v>101.06410329928512</v>
          </cell>
          <cell r="E2747">
            <v>8.4999999999999964E-2</v>
          </cell>
          <cell r="F2747">
            <v>0.375</v>
          </cell>
          <cell r="G2747">
            <v>0</v>
          </cell>
          <cell r="H2747">
            <v>100.60410329928513</v>
          </cell>
          <cell r="I2747">
            <v>0</v>
          </cell>
          <cell r="J2747"/>
          <cell r="K2747">
            <v>100.60410329928513</v>
          </cell>
        </row>
        <row r="2748">
          <cell r="A2748">
            <v>5.875</v>
          </cell>
          <cell r="B2748">
            <v>99.623000000000005</v>
          </cell>
          <cell r="C2748">
            <v>1.0082542829647416</v>
          </cell>
          <cell r="D2748">
            <v>100.63125428296475</v>
          </cell>
          <cell r="E2748">
            <v>8.4999999999999964E-2</v>
          </cell>
          <cell r="F2748">
            <v>0.375</v>
          </cell>
          <cell r="G2748">
            <v>0</v>
          </cell>
          <cell r="H2748">
            <v>100.17125428296475</v>
          </cell>
          <cell r="I2748">
            <v>0</v>
          </cell>
          <cell r="J2748"/>
          <cell r="K2748">
            <v>100.17125428296475</v>
          </cell>
        </row>
        <row r="2749">
          <cell r="A2749">
            <v>5.75</v>
          </cell>
          <cell r="B2749">
            <v>99.123999999999995</v>
          </cell>
          <cell r="C2749">
            <v>1.0374604346057832</v>
          </cell>
          <cell r="D2749">
            <v>100.16146043460577</v>
          </cell>
          <cell r="E2749">
            <v>8.4999999999999964E-2</v>
          </cell>
          <cell r="F2749">
            <v>0.375</v>
          </cell>
          <cell r="G2749">
            <v>0</v>
          </cell>
          <cell r="H2749">
            <v>99.701460434605778</v>
          </cell>
          <cell r="I2749">
            <v>0</v>
          </cell>
          <cell r="J2749"/>
          <cell r="K2749">
            <v>99.701460434605778</v>
          </cell>
        </row>
        <row r="2750">
          <cell r="A2750">
            <v>5.625</v>
          </cell>
          <cell r="B2750">
            <v>98.695999999999998</v>
          </cell>
          <cell r="C2750">
            <v>1.0603523159702306</v>
          </cell>
          <cell r="D2750">
            <v>99.756352315970233</v>
          </cell>
          <cell r="E2750">
            <v>8.4999999999999964E-2</v>
          </cell>
          <cell r="F2750">
            <v>0.375</v>
          </cell>
          <cell r="G2750">
            <v>0</v>
          </cell>
          <cell r="H2750">
            <v>99.296352315970239</v>
          </cell>
          <cell r="I2750">
            <v>0</v>
          </cell>
          <cell r="J2750"/>
          <cell r="K2750">
            <v>99.296352315970239</v>
          </cell>
        </row>
        <row r="2751">
          <cell r="A2751">
            <v>5.5</v>
          </cell>
          <cell r="B2751">
            <v>98.192999999999998</v>
          </cell>
          <cell r="C2751">
            <v>1.082099769761613</v>
          </cell>
          <cell r="D2751">
            <v>99.27509976976161</v>
          </cell>
          <cell r="E2751">
            <v>8.4999999999999964E-2</v>
          </cell>
          <cell r="F2751">
            <v>0.375</v>
          </cell>
          <cell r="G2751">
            <v>0</v>
          </cell>
          <cell r="H2751">
            <v>98.815099769761616</v>
          </cell>
          <cell r="I2751">
            <v>0</v>
          </cell>
          <cell r="J2751"/>
          <cell r="K2751">
            <v>98.815099769761616</v>
          </cell>
        </row>
        <row r="2752">
          <cell r="A2752">
            <v>5.375</v>
          </cell>
          <cell r="B2752">
            <v>97.682000000000002</v>
          </cell>
          <cell r="C2752">
            <v>1.099396508770641</v>
          </cell>
          <cell r="D2752">
            <v>98.781396508770641</v>
          </cell>
          <cell r="E2752">
            <v>8.4999999999999964E-2</v>
          </cell>
          <cell r="F2752">
            <v>0.375</v>
          </cell>
          <cell r="G2752">
            <v>0</v>
          </cell>
          <cell r="H2752">
            <v>98.321396508770647</v>
          </cell>
          <cell r="I2752">
            <v>0</v>
          </cell>
          <cell r="J2752"/>
          <cell r="K2752">
            <v>98.321396508770647</v>
          </cell>
        </row>
        <row r="2753">
          <cell r="A2753">
            <v>5.25</v>
          </cell>
          <cell r="B2753">
            <v>96.933000000000007</v>
          </cell>
          <cell r="C2753">
            <v>1.1119320322486328</v>
          </cell>
          <cell r="D2753">
            <v>98.044932032248639</v>
          </cell>
          <cell r="E2753">
            <v>8.4999999999999964E-2</v>
          </cell>
          <cell r="F2753">
            <v>0.375</v>
          </cell>
          <cell r="G2753">
            <v>0</v>
          </cell>
          <cell r="H2753">
            <v>97.584932032248645</v>
          </cell>
          <cell r="I2753">
            <v>0</v>
          </cell>
          <cell r="J2753"/>
          <cell r="K2753">
            <v>97.584932032248645</v>
          </cell>
        </row>
        <row r="2754">
          <cell r="A2754">
            <v>5.125</v>
          </cell>
          <cell r="B2754">
            <v>96.594999999999999</v>
          </cell>
          <cell r="C2754">
            <v>1.1219680144753188</v>
          </cell>
          <cell r="D2754">
            <v>97.716968014475313</v>
          </cell>
          <cell r="E2754">
            <v>8.4999999999999964E-2</v>
          </cell>
          <cell r="F2754">
            <v>0.375</v>
          </cell>
          <cell r="G2754">
            <v>0</v>
          </cell>
          <cell r="H2754">
            <v>97.256968014475319</v>
          </cell>
          <cell r="I2754">
            <v>0</v>
          </cell>
          <cell r="J2754"/>
          <cell r="K2754">
            <v>97.256968014475319</v>
          </cell>
        </row>
        <row r="2755">
          <cell r="A2755">
            <v>5</v>
          </cell>
          <cell r="B2755">
            <v>96.078999999999994</v>
          </cell>
          <cell r="C2755">
            <v>1.1349446652924806</v>
          </cell>
          <cell r="D2755">
            <v>97.213944665292473</v>
          </cell>
          <cell r="E2755">
            <v>8.4999999999999964E-2</v>
          </cell>
          <cell r="F2755">
            <v>0.375</v>
          </cell>
          <cell r="G2755">
            <v>0</v>
          </cell>
          <cell r="H2755">
            <v>96.753944665292479</v>
          </cell>
          <cell r="I2755">
            <v>0</v>
          </cell>
          <cell r="J2755"/>
          <cell r="K2755">
            <v>96.753944665292479</v>
          </cell>
        </row>
        <row r="2756">
          <cell r="A2756">
            <v>4.875</v>
          </cell>
          <cell r="B2756">
            <v>95.450999999999993</v>
          </cell>
          <cell r="C2756">
            <v>1.1480988298836645</v>
          </cell>
          <cell r="D2756">
            <v>96.599098829883658</v>
          </cell>
          <cell r="E2756">
            <v>8.4999999999999964E-2</v>
          </cell>
          <cell r="F2756">
            <v>0.375</v>
          </cell>
          <cell r="G2756">
            <v>0</v>
          </cell>
          <cell r="H2756">
            <v>96.139098829883665</v>
          </cell>
          <cell r="I2756">
            <v>0</v>
          </cell>
          <cell r="J2756"/>
          <cell r="K2756">
            <v>96.139098829883665</v>
          </cell>
        </row>
        <row r="2757">
          <cell r="A2757">
            <v>4.75</v>
          </cell>
          <cell r="B2757">
            <v>94.822000000000003</v>
          </cell>
          <cell r="C2757">
            <v>1.1614225825536417</v>
          </cell>
          <cell r="D2757">
            <v>95.983422582553644</v>
          </cell>
          <cell r="E2757">
            <v>8.4999999999999964E-2</v>
          </cell>
          <cell r="F2757">
            <v>0.375</v>
          </cell>
          <cell r="G2757">
            <v>0</v>
          </cell>
          <cell r="H2757">
            <v>95.52342258255365</v>
          </cell>
          <cell r="I2757">
            <v>0</v>
          </cell>
          <cell r="J2757"/>
          <cell r="K2757">
            <v>95.52342258255365</v>
          </cell>
        </row>
        <row r="2758">
          <cell r="A2758">
            <v>4.625</v>
          </cell>
          <cell r="B2758">
            <v>94.013000000000005</v>
          </cell>
          <cell r="C2758">
            <v>1.1724899488210871</v>
          </cell>
          <cell r="D2758">
            <v>95.185489948821086</v>
          </cell>
          <cell r="E2758">
            <v>8.4999999999999964E-2</v>
          </cell>
          <cell r="F2758">
            <v>0.375</v>
          </cell>
          <cell r="G2758">
            <v>0</v>
          </cell>
          <cell r="H2758">
            <v>94.725489948821092</v>
          </cell>
          <cell r="I2758">
            <v>0</v>
          </cell>
          <cell r="J2758"/>
          <cell r="K2758">
            <v>94.725489948821092</v>
          </cell>
        </row>
        <row r="2761">
          <cell r="A2761">
            <v>7</v>
          </cell>
          <cell r="B2761">
            <v>103.51300000000001</v>
          </cell>
          <cell r="C2761">
            <v>0.60203982005500167</v>
          </cell>
          <cell r="D2761">
            <v>104.115039820055</v>
          </cell>
          <cell r="E2761">
            <v>-0.12000000000000005</v>
          </cell>
          <cell r="F2761">
            <v>0</v>
          </cell>
          <cell r="G2761">
            <v>0</v>
          </cell>
          <cell r="H2761">
            <v>104.23503982005501</v>
          </cell>
          <cell r="I2761">
            <v>0</v>
          </cell>
          <cell r="J2761"/>
          <cell r="K2761">
            <v>104.23503982005501</v>
          </cell>
        </row>
        <row r="2762">
          <cell r="A2762">
            <v>6.875</v>
          </cell>
          <cell r="B2762">
            <v>103.26900000000001</v>
          </cell>
          <cell r="C2762">
            <v>0.62534093630826337</v>
          </cell>
          <cell r="D2762">
            <v>103.89434093630827</v>
          </cell>
          <cell r="E2762">
            <v>-0.12000000000000005</v>
          </cell>
          <cell r="F2762">
            <v>0</v>
          </cell>
          <cell r="G2762">
            <v>0</v>
          </cell>
          <cell r="H2762">
            <v>104.01434093630827</v>
          </cell>
          <cell r="I2762">
            <v>0</v>
          </cell>
          <cell r="J2762"/>
          <cell r="K2762">
            <v>104.01434093630827</v>
          </cell>
        </row>
        <row r="2763">
          <cell r="A2763">
            <v>6.75</v>
          </cell>
          <cell r="B2763">
            <v>102.996</v>
          </cell>
          <cell r="C2763">
            <v>0.65025908368989305</v>
          </cell>
          <cell r="D2763">
            <v>103.64625908368988</v>
          </cell>
          <cell r="E2763">
            <v>-0.12000000000000005</v>
          </cell>
          <cell r="F2763">
            <v>0</v>
          </cell>
          <cell r="G2763">
            <v>0</v>
          </cell>
          <cell r="H2763">
            <v>103.76625908368989</v>
          </cell>
          <cell r="I2763">
            <v>0</v>
          </cell>
          <cell r="J2763"/>
          <cell r="K2763">
            <v>103.76625908368989</v>
          </cell>
        </row>
        <row r="2764">
          <cell r="A2764">
            <v>6.625</v>
          </cell>
          <cell r="B2764">
            <v>102.71599999999999</v>
          </cell>
          <cell r="C2764">
            <v>0.67610484962926121</v>
          </cell>
          <cell r="D2764">
            <v>103.39210484962925</v>
          </cell>
          <cell r="E2764">
            <v>-0.12000000000000005</v>
          </cell>
          <cell r="F2764">
            <v>0</v>
          </cell>
          <cell r="G2764">
            <v>0</v>
          </cell>
          <cell r="H2764">
            <v>103.51210484962925</v>
          </cell>
          <cell r="I2764">
            <v>0</v>
          </cell>
          <cell r="J2764"/>
          <cell r="K2764">
            <v>103.51210484962925</v>
          </cell>
        </row>
        <row r="2765">
          <cell r="A2765">
            <v>6.5</v>
          </cell>
          <cell r="B2765">
            <v>102.512</v>
          </cell>
          <cell r="C2765">
            <v>0.70497051076905048</v>
          </cell>
          <cell r="D2765">
            <v>103.21697051076904</v>
          </cell>
          <cell r="E2765">
            <v>-0.12000000000000005</v>
          </cell>
          <cell r="F2765">
            <v>0</v>
          </cell>
          <cell r="G2765">
            <v>0</v>
          </cell>
          <cell r="H2765">
            <v>103.33697051076905</v>
          </cell>
          <cell r="I2765">
            <v>0</v>
          </cell>
          <cell r="J2765"/>
          <cell r="K2765">
            <v>103.33697051076905</v>
          </cell>
        </row>
        <row r="2766">
          <cell r="A2766">
            <v>6.375</v>
          </cell>
          <cell r="B2766">
            <v>102.238</v>
          </cell>
          <cell r="C2766">
            <v>0.73854383975763349</v>
          </cell>
          <cell r="D2766">
            <v>102.97654383975764</v>
          </cell>
          <cell r="E2766">
            <v>-0.12000000000000005</v>
          </cell>
          <cell r="F2766">
            <v>0</v>
          </cell>
          <cell r="G2766">
            <v>0</v>
          </cell>
          <cell r="H2766">
            <v>103.09654383975764</v>
          </cell>
          <cell r="I2766">
            <v>0</v>
          </cell>
          <cell r="J2766"/>
          <cell r="K2766">
            <v>103.09654383975764</v>
          </cell>
        </row>
        <row r="2767">
          <cell r="A2767">
            <v>6.25</v>
          </cell>
          <cell r="B2767">
            <v>101.91</v>
          </cell>
          <cell r="C2767">
            <v>0.77507419526604571</v>
          </cell>
          <cell r="D2767">
            <v>102.68507419526604</v>
          </cell>
          <cell r="E2767">
            <v>-0.12000000000000005</v>
          </cell>
          <cell r="F2767">
            <v>0</v>
          </cell>
          <cell r="G2767">
            <v>0</v>
          </cell>
          <cell r="H2767">
            <v>102.80507419526604</v>
          </cell>
          <cell r="I2767">
            <v>0</v>
          </cell>
          <cell r="J2767"/>
          <cell r="K2767">
            <v>102.80507419526604</v>
          </cell>
        </row>
        <row r="2768">
          <cell r="A2768">
            <v>6.125</v>
          </cell>
          <cell r="B2768">
            <v>101.538</v>
          </cell>
          <cell r="C2768">
            <v>0.81193159693787897</v>
          </cell>
          <cell r="D2768">
            <v>102.34993159693788</v>
          </cell>
          <cell r="E2768">
            <v>-0.12000000000000005</v>
          </cell>
          <cell r="F2768">
            <v>0</v>
          </cell>
          <cell r="G2768">
            <v>0</v>
          </cell>
          <cell r="H2768">
            <v>102.46993159693788</v>
          </cell>
          <cell r="I2768">
            <v>0</v>
          </cell>
          <cell r="J2768"/>
          <cell r="K2768">
            <v>102.46993159693788</v>
          </cell>
        </row>
        <row r="2769">
          <cell r="A2769">
            <v>6</v>
          </cell>
          <cell r="B2769">
            <v>101.24</v>
          </cell>
          <cell r="C2769">
            <v>0.84454537091749549</v>
          </cell>
          <cell r="D2769">
            <v>102.0845453709175</v>
          </cell>
          <cell r="E2769">
            <v>-0.12000000000000005</v>
          </cell>
          <cell r="F2769">
            <v>0</v>
          </cell>
          <cell r="G2769">
            <v>0</v>
          </cell>
          <cell r="H2769">
            <v>102.2045453709175</v>
          </cell>
          <cell r="I2769">
            <v>0</v>
          </cell>
          <cell r="J2769"/>
          <cell r="K2769">
            <v>102.2045453709175</v>
          </cell>
        </row>
        <row r="2770">
          <cell r="A2770">
            <v>5.875</v>
          </cell>
          <cell r="B2770">
            <v>100.94</v>
          </cell>
          <cell r="C2770">
            <v>0.87241864753888954</v>
          </cell>
          <cell r="D2770">
            <v>101.81241864753889</v>
          </cell>
          <cell r="E2770">
            <v>-0.12000000000000005</v>
          </cell>
          <cell r="F2770">
            <v>0</v>
          </cell>
          <cell r="G2770">
            <v>0</v>
          </cell>
          <cell r="H2770">
            <v>101.9324186475389</v>
          </cell>
          <cell r="I2770">
            <v>0</v>
          </cell>
          <cell r="J2770"/>
          <cell r="K2770">
            <v>101.9324186475389</v>
          </cell>
        </row>
        <row r="2771">
          <cell r="A2771">
            <v>5.75</v>
          </cell>
          <cell r="B2771">
            <v>100.515</v>
          </cell>
          <cell r="C2771">
            <v>0.89405740022148339</v>
          </cell>
          <cell r="D2771">
            <v>101.40905740022149</v>
          </cell>
          <cell r="E2771">
            <v>-0.12000000000000005</v>
          </cell>
          <cell r="F2771">
            <v>0</v>
          </cell>
          <cell r="G2771">
            <v>0</v>
          </cell>
          <cell r="H2771">
            <v>101.52905740022149</v>
          </cell>
          <cell r="I2771">
            <v>0</v>
          </cell>
          <cell r="J2771"/>
          <cell r="K2771">
            <v>101.52905740022149</v>
          </cell>
        </row>
        <row r="2772">
          <cell r="A2772">
            <v>5.625</v>
          </cell>
          <cell r="B2772">
            <v>100.16</v>
          </cell>
          <cell r="C2772">
            <v>0.91157641302291992</v>
          </cell>
          <cell r="D2772">
            <v>101.07157641302291</v>
          </cell>
          <cell r="E2772">
            <v>-0.12000000000000005</v>
          </cell>
          <cell r="F2772">
            <v>0</v>
          </cell>
          <cell r="G2772">
            <v>0</v>
          </cell>
          <cell r="H2772">
            <v>101.19157641302291</v>
          </cell>
          <cell r="I2772">
            <v>0</v>
          </cell>
          <cell r="J2772"/>
          <cell r="K2772">
            <v>101.19157641302291</v>
          </cell>
        </row>
        <row r="2773">
          <cell r="A2773">
            <v>5.5</v>
          </cell>
          <cell r="B2773">
            <v>99.822000000000003</v>
          </cell>
          <cell r="C2773">
            <v>0.92675711880623857</v>
          </cell>
          <cell r="D2773">
            <v>100.74875711880624</v>
          </cell>
          <cell r="E2773">
            <v>-0.12000000000000005</v>
          </cell>
          <cell r="F2773">
            <v>0</v>
          </cell>
          <cell r="G2773">
            <v>0</v>
          </cell>
          <cell r="H2773">
            <v>100.86875711880624</v>
          </cell>
          <cell r="I2773">
            <v>0</v>
          </cell>
          <cell r="J2773"/>
          <cell r="K2773">
            <v>100.86875711880624</v>
          </cell>
        </row>
        <row r="2774">
          <cell r="A2774">
            <v>5.375</v>
          </cell>
          <cell r="B2774">
            <v>99.457999999999998</v>
          </cell>
          <cell r="C2774">
            <v>0.94182030861649346</v>
          </cell>
          <cell r="D2774">
            <v>100.3998203086165</v>
          </cell>
          <cell r="E2774">
            <v>-0.12000000000000005</v>
          </cell>
          <cell r="F2774">
            <v>0</v>
          </cell>
          <cell r="G2774">
            <v>0</v>
          </cell>
          <cell r="H2774">
            <v>100.5198203086165</v>
          </cell>
          <cell r="I2774">
            <v>0</v>
          </cell>
          <cell r="J2774"/>
          <cell r="K2774">
            <v>100.5198203086165</v>
          </cell>
        </row>
        <row r="2775">
          <cell r="A2775">
            <v>5.25</v>
          </cell>
          <cell r="B2775">
            <v>99.102999999999994</v>
          </cell>
          <cell r="C2775">
            <v>0.95620950695123663</v>
          </cell>
          <cell r="D2775">
            <v>100.05920950695123</v>
          </cell>
          <cell r="E2775">
            <v>-0.12000000000000005</v>
          </cell>
          <cell r="F2775">
            <v>0</v>
          </cell>
          <cell r="G2775">
            <v>0</v>
          </cell>
          <cell r="H2775">
            <v>100.17920950695124</v>
          </cell>
          <cell r="I2775">
            <v>0</v>
          </cell>
          <cell r="J2775"/>
          <cell r="K2775">
            <v>100.17920950695124</v>
          </cell>
        </row>
        <row r="2776">
          <cell r="A2776">
            <v>5.125</v>
          </cell>
          <cell r="B2776">
            <v>98.772000000000006</v>
          </cell>
          <cell r="C2776">
            <v>0.96597412571712737</v>
          </cell>
          <cell r="D2776">
            <v>99.73797412571713</v>
          </cell>
          <cell r="E2776">
            <v>-0.12000000000000005</v>
          </cell>
          <cell r="F2776">
            <v>0</v>
          </cell>
          <cell r="G2776">
            <v>0</v>
          </cell>
          <cell r="H2776">
            <v>99.857974125717135</v>
          </cell>
          <cell r="I2776">
            <v>0</v>
          </cell>
          <cell r="J2776"/>
          <cell r="K2776">
            <v>99.857974125717135</v>
          </cell>
        </row>
        <row r="2777">
          <cell r="A2777">
            <v>5</v>
          </cell>
          <cell r="B2777">
            <v>98.221999999999994</v>
          </cell>
          <cell r="C2777">
            <v>0.97578115344577854</v>
          </cell>
          <cell r="D2777">
            <v>99.197781153445774</v>
          </cell>
          <cell r="E2777">
            <v>-0.12000000000000005</v>
          </cell>
          <cell r="F2777">
            <v>0</v>
          </cell>
          <cell r="G2777">
            <v>0</v>
          </cell>
          <cell r="H2777">
            <v>99.317781153445779</v>
          </cell>
          <cell r="I2777">
            <v>0</v>
          </cell>
          <cell r="J2777"/>
          <cell r="K2777">
            <v>99.317781153445779</v>
          </cell>
        </row>
        <row r="2778">
          <cell r="A2778">
            <v>4.875</v>
          </cell>
          <cell r="B2778">
            <v>97.844999999999999</v>
          </cell>
          <cell r="C2778">
            <v>0.98464002628506886</v>
          </cell>
          <cell r="D2778">
            <v>98.829640026285063</v>
          </cell>
          <cell r="E2778">
            <v>-0.12000000000000005</v>
          </cell>
          <cell r="F2778">
            <v>0</v>
          </cell>
          <cell r="G2778">
            <v>0</v>
          </cell>
          <cell r="H2778">
            <v>98.949640026285067</v>
          </cell>
          <cell r="I2778">
            <v>0</v>
          </cell>
          <cell r="J2778"/>
          <cell r="K2778">
            <v>98.949640026285067</v>
          </cell>
        </row>
        <row r="2779">
          <cell r="A2779">
            <v>4.75</v>
          </cell>
          <cell r="B2779">
            <v>97.447999999999993</v>
          </cell>
          <cell r="C2779">
            <v>0.9931836013906743</v>
          </cell>
          <cell r="D2779">
            <v>98.441183601390662</v>
          </cell>
          <cell r="E2779">
            <v>-0.12000000000000005</v>
          </cell>
          <cell r="F2779">
            <v>0</v>
          </cell>
          <cell r="G2779">
            <v>0</v>
          </cell>
          <cell r="H2779">
            <v>98.561183601390667</v>
          </cell>
          <cell r="I2779">
            <v>0</v>
          </cell>
          <cell r="J2779"/>
          <cell r="K2779">
            <v>98.561183601390667</v>
          </cell>
        </row>
        <row r="2780">
          <cell r="A2780">
            <v>4.625</v>
          </cell>
          <cell r="B2780">
            <v>96.986000000000004</v>
          </cell>
          <cell r="C2780">
            <v>0.99945483888891884</v>
          </cell>
          <cell r="D2780">
            <v>97.985454838888927</v>
          </cell>
          <cell r="E2780">
            <v>-0.12000000000000005</v>
          </cell>
          <cell r="F2780">
            <v>0</v>
          </cell>
          <cell r="G2780">
            <v>0</v>
          </cell>
          <cell r="H2780">
            <v>98.105454838888932</v>
          </cell>
          <cell r="I2780">
            <v>0</v>
          </cell>
          <cell r="J2780"/>
          <cell r="K2780">
            <v>98.105454838888932</v>
          </cell>
        </row>
        <row r="2781">
          <cell r="A2781">
            <v>4.5</v>
          </cell>
          <cell r="B2781">
            <v>96.777000000000001</v>
          </cell>
          <cell r="C2781">
            <v>1.0064408622094436</v>
          </cell>
          <cell r="D2781">
            <v>97.783440862209446</v>
          </cell>
          <cell r="E2781">
            <v>-0.12000000000000005</v>
          </cell>
          <cell r="F2781">
            <v>0</v>
          </cell>
          <cell r="G2781">
            <v>0</v>
          </cell>
          <cell r="H2781">
            <v>97.90344086220945</v>
          </cell>
          <cell r="I2781">
            <v>0</v>
          </cell>
          <cell r="J2781"/>
          <cell r="K2781">
            <v>97.90344086220945</v>
          </cell>
        </row>
        <row r="2782">
          <cell r="A2782">
            <v>4.375</v>
          </cell>
          <cell r="B2782">
            <v>96.325000000000003</v>
          </cell>
          <cell r="C2782">
            <v>1.0126944802008624</v>
          </cell>
          <cell r="D2782">
            <v>97.337694480200867</v>
          </cell>
          <cell r="E2782">
            <v>-0.12000000000000005</v>
          </cell>
          <cell r="F2782">
            <v>0</v>
          </cell>
          <cell r="G2782">
            <v>0</v>
          </cell>
          <cell r="H2782">
            <v>97.457694480200871</v>
          </cell>
          <cell r="I2782">
            <v>0</v>
          </cell>
          <cell r="J2782"/>
          <cell r="K2782">
            <v>97.457694480200871</v>
          </cell>
        </row>
        <row r="2783">
          <cell r="A2783">
            <v>4.25</v>
          </cell>
          <cell r="B2783">
            <v>95.872</v>
          </cell>
          <cell r="C2783">
            <v>1.0182504869902909</v>
          </cell>
          <cell r="D2783">
            <v>96.890250486990297</v>
          </cell>
          <cell r="E2783">
            <v>-0.12000000000000005</v>
          </cell>
          <cell r="F2783">
            <v>0</v>
          </cell>
          <cell r="G2783">
            <v>0</v>
          </cell>
          <cell r="H2783">
            <v>97.010250486990302</v>
          </cell>
          <cell r="I2783">
            <v>0</v>
          </cell>
          <cell r="J2783"/>
          <cell r="K2783">
            <v>97.010250486990302</v>
          </cell>
        </row>
        <row r="2784">
          <cell r="A2784">
            <v>4.125</v>
          </cell>
          <cell r="B2784">
            <v>95.507000000000005</v>
          </cell>
          <cell r="C2784">
            <v>1.0217722423438786</v>
          </cell>
          <cell r="D2784">
            <v>96.528772242343877</v>
          </cell>
          <cell r="E2784">
            <v>-0.12000000000000005</v>
          </cell>
          <cell r="F2784">
            <v>0</v>
          </cell>
          <cell r="G2784">
            <v>0</v>
          </cell>
          <cell r="H2784">
            <v>96.648772242343881</v>
          </cell>
          <cell r="I2784">
            <v>0</v>
          </cell>
          <cell r="J2784"/>
          <cell r="K2784">
            <v>96.648772242343881</v>
          </cell>
        </row>
        <row r="2785">
          <cell r="A2785">
            <v>4</v>
          </cell>
          <cell r="B2785">
            <v>96.27</v>
          </cell>
          <cell r="C2785">
            <v>1.0265176804877132</v>
          </cell>
          <cell r="D2785">
            <v>97.29651768048771</v>
          </cell>
          <cell r="E2785">
            <v>-0.12000000000000005</v>
          </cell>
          <cell r="F2785">
            <v>0</v>
          </cell>
          <cell r="G2785">
            <v>0</v>
          </cell>
          <cell r="H2785">
            <v>97.416517680487715</v>
          </cell>
          <cell r="I2785">
            <v>0</v>
          </cell>
          <cell r="J2785"/>
          <cell r="K2785">
            <v>97.416517680487715</v>
          </cell>
        </row>
        <row r="2788">
          <cell r="A2788">
            <v>7.375</v>
          </cell>
          <cell r="B2788">
            <v>103.71299999999999</v>
          </cell>
          <cell r="C2788">
            <v>0.43400125035901027</v>
          </cell>
          <cell r="D2788">
            <v>104.14700125035901</v>
          </cell>
          <cell r="E2788">
            <v>-0.12000000000000005</v>
          </cell>
          <cell r="F2788">
            <v>0</v>
          </cell>
          <cell r="G2788">
            <v>0</v>
          </cell>
          <cell r="H2788">
            <v>104.26700125035902</v>
          </cell>
          <cell r="I2788">
            <v>0</v>
          </cell>
          <cell r="J2788"/>
          <cell r="K2788">
            <v>104.26700125035902</v>
          </cell>
        </row>
        <row r="2789">
          <cell r="A2789">
            <v>7.25</v>
          </cell>
          <cell r="B2789">
            <v>103.5</v>
          </cell>
          <cell r="C2789">
            <v>0.45126029552525859</v>
          </cell>
          <cell r="D2789">
            <v>103.95126029552526</v>
          </cell>
          <cell r="E2789">
            <v>-0.12000000000000005</v>
          </cell>
          <cell r="F2789">
            <v>0</v>
          </cell>
          <cell r="G2789">
            <v>0</v>
          </cell>
          <cell r="H2789">
            <v>104.07126029552526</v>
          </cell>
          <cell r="I2789">
            <v>0</v>
          </cell>
          <cell r="J2789"/>
          <cell r="K2789">
            <v>104.07126029552526</v>
          </cell>
        </row>
        <row r="2790">
          <cell r="A2790">
            <v>7.125</v>
          </cell>
          <cell r="B2790">
            <v>103.256</v>
          </cell>
          <cell r="C2790">
            <v>0.47062189133641386</v>
          </cell>
          <cell r="D2790">
            <v>103.72662189133641</v>
          </cell>
          <cell r="E2790">
            <v>-0.12000000000000005</v>
          </cell>
          <cell r="F2790">
            <v>0</v>
          </cell>
          <cell r="G2790">
            <v>0</v>
          </cell>
          <cell r="H2790">
            <v>103.84662189133641</v>
          </cell>
          <cell r="I2790">
            <v>0</v>
          </cell>
          <cell r="J2790"/>
          <cell r="K2790">
            <v>103.84662189133641</v>
          </cell>
        </row>
        <row r="2791">
          <cell r="A2791">
            <v>7</v>
          </cell>
          <cell r="B2791">
            <v>103.577</v>
          </cell>
          <cell r="C2791">
            <v>0.49203982005500169</v>
          </cell>
          <cell r="D2791">
            <v>104.069039820055</v>
          </cell>
          <cell r="E2791">
            <v>-0.12000000000000005</v>
          </cell>
          <cell r="F2791">
            <v>0</v>
          </cell>
          <cell r="G2791">
            <v>0</v>
          </cell>
          <cell r="H2791">
            <v>104.189039820055</v>
          </cell>
          <cell r="I2791">
            <v>0</v>
          </cell>
          <cell r="J2791"/>
          <cell r="K2791">
            <v>104.189039820055</v>
          </cell>
        </row>
        <row r="2792">
          <cell r="A2792">
            <v>6.875</v>
          </cell>
          <cell r="B2792">
            <v>103.336</v>
          </cell>
          <cell r="C2792">
            <v>0.51534093630826339</v>
          </cell>
          <cell r="D2792">
            <v>103.85134093630826</v>
          </cell>
          <cell r="E2792">
            <v>-0.12000000000000005</v>
          </cell>
          <cell r="F2792">
            <v>0</v>
          </cell>
          <cell r="G2792">
            <v>0</v>
          </cell>
          <cell r="H2792">
            <v>103.97134093630827</v>
          </cell>
          <cell r="I2792">
            <v>0</v>
          </cell>
          <cell r="J2792"/>
          <cell r="K2792">
            <v>103.97134093630827</v>
          </cell>
        </row>
        <row r="2793">
          <cell r="A2793">
            <v>6.75</v>
          </cell>
          <cell r="B2793">
            <v>103.06699999999999</v>
          </cell>
          <cell r="C2793">
            <v>0.54025908368989306</v>
          </cell>
          <cell r="D2793">
            <v>103.60725908368988</v>
          </cell>
          <cell r="E2793">
            <v>-0.12000000000000005</v>
          </cell>
          <cell r="F2793">
            <v>0</v>
          </cell>
          <cell r="G2793">
            <v>0</v>
          </cell>
          <cell r="H2793">
            <v>103.72725908368989</v>
          </cell>
          <cell r="I2793">
            <v>0</v>
          </cell>
          <cell r="J2793"/>
          <cell r="K2793">
            <v>103.72725908368989</v>
          </cell>
        </row>
        <row r="2794">
          <cell r="A2794">
            <v>6.625</v>
          </cell>
          <cell r="B2794">
            <v>102.824</v>
          </cell>
          <cell r="C2794">
            <v>0.56610484962926122</v>
          </cell>
          <cell r="D2794">
            <v>103.39010484962925</v>
          </cell>
          <cell r="E2794">
            <v>-0.12000000000000005</v>
          </cell>
          <cell r="F2794">
            <v>0</v>
          </cell>
          <cell r="G2794">
            <v>0</v>
          </cell>
          <cell r="H2794">
            <v>103.51010484962926</v>
          </cell>
          <cell r="I2794">
            <v>0</v>
          </cell>
          <cell r="J2794"/>
          <cell r="K2794">
            <v>103.51010484962926</v>
          </cell>
        </row>
        <row r="2795">
          <cell r="A2795">
            <v>6.5</v>
          </cell>
          <cell r="B2795">
            <v>102.574</v>
          </cell>
          <cell r="C2795">
            <v>0.5949705107690505</v>
          </cell>
          <cell r="D2795">
            <v>103.16897051076904</v>
          </cell>
          <cell r="E2795">
            <v>-0.12000000000000005</v>
          </cell>
          <cell r="F2795">
            <v>0</v>
          </cell>
          <cell r="G2795">
            <v>0</v>
          </cell>
          <cell r="H2795">
            <v>103.28897051076905</v>
          </cell>
          <cell r="I2795">
            <v>0</v>
          </cell>
          <cell r="J2795"/>
          <cell r="K2795">
            <v>103.28897051076905</v>
          </cell>
        </row>
        <row r="2796">
          <cell r="A2796">
            <v>6.375</v>
          </cell>
          <cell r="B2796">
            <v>102.303</v>
          </cell>
          <cell r="C2796">
            <v>0.6285438397576335</v>
          </cell>
          <cell r="D2796">
            <v>102.93154383975764</v>
          </cell>
          <cell r="E2796">
            <v>-0.12000000000000005</v>
          </cell>
          <cell r="F2796">
            <v>0</v>
          </cell>
          <cell r="G2796">
            <v>0</v>
          </cell>
          <cell r="H2796">
            <v>103.05154383975764</v>
          </cell>
          <cell r="I2796">
            <v>0</v>
          </cell>
          <cell r="J2796"/>
          <cell r="K2796">
            <v>103.05154383975764</v>
          </cell>
        </row>
        <row r="2797">
          <cell r="A2797">
            <v>6.25</v>
          </cell>
          <cell r="B2797">
            <v>101.97799999999999</v>
          </cell>
          <cell r="C2797">
            <v>0.66507419526604572</v>
          </cell>
          <cell r="D2797">
            <v>102.64307419526604</v>
          </cell>
          <cell r="E2797">
            <v>-0.12000000000000005</v>
          </cell>
          <cell r="F2797">
            <v>0</v>
          </cell>
          <cell r="G2797">
            <v>0</v>
          </cell>
          <cell r="H2797">
            <v>102.76307419526604</v>
          </cell>
          <cell r="I2797">
            <v>0</v>
          </cell>
          <cell r="J2797"/>
          <cell r="K2797">
            <v>102.76307419526604</v>
          </cell>
        </row>
        <row r="2798">
          <cell r="A2798">
            <v>6.125</v>
          </cell>
          <cell r="B2798">
            <v>101.625</v>
          </cell>
          <cell r="C2798">
            <v>0.70193159693787899</v>
          </cell>
          <cell r="D2798">
            <v>102.32693159693788</v>
          </cell>
          <cell r="E2798">
            <v>-0.12000000000000005</v>
          </cell>
          <cell r="F2798">
            <v>0</v>
          </cell>
          <cell r="G2798">
            <v>0</v>
          </cell>
          <cell r="H2798">
            <v>102.44693159693789</v>
          </cell>
          <cell r="I2798">
            <v>0</v>
          </cell>
          <cell r="J2798"/>
          <cell r="K2798">
            <v>102.44693159693789</v>
          </cell>
        </row>
        <row r="2799">
          <cell r="A2799">
            <v>6</v>
          </cell>
          <cell r="B2799">
            <v>101.328</v>
          </cell>
          <cell r="C2799">
            <v>0.7345453709174955</v>
          </cell>
          <cell r="D2799">
            <v>102.0625453709175</v>
          </cell>
          <cell r="E2799">
            <v>-0.12000000000000005</v>
          </cell>
          <cell r="F2799">
            <v>0</v>
          </cell>
          <cell r="G2799">
            <v>0</v>
          </cell>
          <cell r="H2799">
            <v>102.18254537091751</v>
          </cell>
          <cell r="I2799">
            <v>0</v>
          </cell>
          <cell r="J2799"/>
          <cell r="K2799">
            <v>102.18254537091751</v>
          </cell>
        </row>
        <row r="2800">
          <cell r="A2800">
            <v>5.875</v>
          </cell>
          <cell r="B2800">
            <v>101.032</v>
          </cell>
          <cell r="C2800">
            <v>0.76241864753888955</v>
          </cell>
          <cell r="D2800">
            <v>101.79441864753889</v>
          </cell>
          <cell r="E2800">
            <v>-0.12000000000000005</v>
          </cell>
          <cell r="F2800">
            <v>0</v>
          </cell>
          <cell r="G2800">
            <v>0</v>
          </cell>
          <cell r="H2800">
            <v>101.91441864753889</v>
          </cell>
          <cell r="I2800">
            <v>0</v>
          </cell>
          <cell r="J2800"/>
          <cell r="K2800">
            <v>101.91441864753889</v>
          </cell>
        </row>
        <row r="2801">
          <cell r="A2801">
            <v>5.75</v>
          </cell>
          <cell r="B2801">
            <v>100.60899999999999</v>
          </cell>
          <cell r="C2801">
            <v>0.7840574002214834</v>
          </cell>
          <cell r="D2801">
            <v>101.39305740022148</v>
          </cell>
          <cell r="E2801">
            <v>-0.12000000000000005</v>
          </cell>
          <cell r="F2801">
            <v>0</v>
          </cell>
          <cell r="G2801">
            <v>0</v>
          </cell>
          <cell r="H2801">
            <v>101.51305740022148</v>
          </cell>
          <cell r="I2801">
            <v>0</v>
          </cell>
          <cell r="J2801"/>
          <cell r="K2801">
            <v>101.51305740022148</v>
          </cell>
        </row>
        <row r="2802">
          <cell r="A2802">
            <v>5.625</v>
          </cell>
          <cell r="B2802">
            <v>100.26900000000001</v>
          </cell>
          <cell r="C2802">
            <v>0.80157641302291993</v>
          </cell>
          <cell r="D2802">
            <v>101.07057641302292</v>
          </cell>
          <cell r="E2802">
            <v>-0.12000000000000005</v>
          </cell>
          <cell r="F2802">
            <v>0</v>
          </cell>
          <cell r="G2802">
            <v>0</v>
          </cell>
          <cell r="H2802">
            <v>101.19057641302292</v>
          </cell>
          <cell r="I2802">
            <v>0</v>
          </cell>
          <cell r="J2802"/>
          <cell r="K2802">
            <v>101.19057641302292</v>
          </cell>
        </row>
        <row r="2803">
          <cell r="A2803">
            <v>5.5</v>
          </cell>
          <cell r="B2803">
            <v>100.536</v>
          </cell>
          <cell r="C2803">
            <v>0.81675711880623858</v>
          </cell>
          <cell r="D2803">
            <v>101.35275711880624</v>
          </cell>
          <cell r="E2803">
            <v>-0.12000000000000005</v>
          </cell>
          <cell r="F2803">
            <v>0</v>
          </cell>
          <cell r="G2803">
            <v>0</v>
          </cell>
          <cell r="H2803">
            <v>101.47275711880624</v>
          </cell>
          <cell r="I2803">
            <v>0</v>
          </cell>
          <cell r="J2803"/>
          <cell r="K2803">
            <v>101.47275711880624</v>
          </cell>
        </row>
        <row r="2804">
          <cell r="A2804">
            <v>5.375</v>
          </cell>
          <cell r="B2804">
            <v>100.175</v>
          </cell>
          <cell r="C2804">
            <v>0.83182030861649348</v>
          </cell>
          <cell r="D2804">
            <v>101.0068203086165</v>
          </cell>
          <cell r="E2804">
            <v>-0.12000000000000005</v>
          </cell>
          <cell r="F2804">
            <v>0</v>
          </cell>
          <cell r="G2804">
            <v>0</v>
          </cell>
          <cell r="H2804">
            <v>101.1268203086165</v>
          </cell>
          <cell r="I2804">
            <v>0</v>
          </cell>
          <cell r="J2804"/>
          <cell r="K2804">
            <v>101.1268203086165</v>
          </cell>
        </row>
        <row r="2805">
          <cell r="A2805">
            <v>5.25</v>
          </cell>
          <cell r="B2805">
            <v>99.822000000000003</v>
          </cell>
          <cell r="C2805">
            <v>0.84620950695123665</v>
          </cell>
          <cell r="D2805">
            <v>100.66820950695124</v>
          </cell>
          <cell r="E2805">
            <v>-0.12000000000000005</v>
          </cell>
          <cell r="F2805">
            <v>0</v>
          </cell>
          <cell r="G2805">
            <v>0</v>
          </cell>
          <cell r="H2805">
            <v>100.78820950695125</v>
          </cell>
          <cell r="I2805">
            <v>0</v>
          </cell>
          <cell r="J2805"/>
          <cell r="K2805">
            <v>100.78820950695125</v>
          </cell>
        </row>
        <row r="2806">
          <cell r="A2806">
            <v>5.125</v>
          </cell>
          <cell r="B2806">
            <v>99.495999999999995</v>
          </cell>
          <cell r="C2806">
            <v>0.85597412571712739</v>
          </cell>
          <cell r="D2806">
            <v>100.35197412571712</v>
          </cell>
          <cell r="E2806">
            <v>-0.12000000000000005</v>
          </cell>
          <cell r="F2806">
            <v>0</v>
          </cell>
          <cell r="G2806">
            <v>0</v>
          </cell>
          <cell r="H2806">
            <v>100.47197412571713</v>
          </cell>
          <cell r="I2806">
            <v>0</v>
          </cell>
          <cell r="J2806"/>
          <cell r="K2806">
            <v>100.47197412571713</v>
          </cell>
        </row>
        <row r="2807">
          <cell r="A2807">
            <v>5</v>
          </cell>
          <cell r="B2807">
            <v>99.328000000000003</v>
          </cell>
          <cell r="C2807">
            <v>0.86578115344577855</v>
          </cell>
          <cell r="D2807">
            <v>100.19378115344578</v>
          </cell>
          <cell r="E2807">
            <v>-0.12000000000000005</v>
          </cell>
          <cell r="F2807">
            <v>0</v>
          </cell>
          <cell r="G2807">
            <v>0</v>
          </cell>
          <cell r="H2807">
            <v>100.31378115344579</v>
          </cell>
          <cell r="I2807">
            <v>0</v>
          </cell>
          <cell r="J2807"/>
          <cell r="K2807">
            <v>100.31378115344579</v>
          </cell>
        </row>
        <row r="2808">
          <cell r="A2808">
            <v>4.875</v>
          </cell>
          <cell r="B2808">
            <v>98.953000000000003</v>
          </cell>
          <cell r="C2808">
            <v>0.87464002628506887</v>
          </cell>
          <cell r="D2808">
            <v>99.827640026285067</v>
          </cell>
          <cell r="E2808">
            <v>-0.12000000000000005</v>
          </cell>
          <cell r="F2808">
            <v>0</v>
          </cell>
          <cell r="G2808">
            <v>0</v>
          </cell>
          <cell r="H2808">
            <v>99.947640026285072</v>
          </cell>
          <cell r="I2808">
            <v>0</v>
          </cell>
          <cell r="J2808"/>
          <cell r="K2808">
            <v>99.947640026285072</v>
          </cell>
        </row>
        <row r="2809">
          <cell r="A2809">
            <v>4.75</v>
          </cell>
          <cell r="B2809">
            <v>98.557000000000002</v>
          </cell>
          <cell r="C2809">
            <v>0.88318360139067431</v>
          </cell>
          <cell r="D2809">
            <v>99.440183601390672</v>
          </cell>
          <cell r="E2809">
            <v>-0.12000000000000005</v>
          </cell>
          <cell r="F2809">
            <v>0</v>
          </cell>
          <cell r="G2809">
            <v>0</v>
          </cell>
          <cell r="H2809">
            <v>99.560183601390676</v>
          </cell>
          <cell r="I2809">
            <v>0</v>
          </cell>
          <cell r="J2809"/>
          <cell r="K2809">
            <v>99.560183601390676</v>
          </cell>
        </row>
        <row r="2810">
          <cell r="A2810">
            <v>4.625</v>
          </cell>
          <cell r="B2810">
            <v>98.113</v>
          </cell>
          <cell r="C2810">
            <v>0.88945483888891885</v>
          </cell>
          <cell r="D2810">
            <v>99.002454838888923</v>
          </cell>
          <cell r="E2810">
            <v>-0.12000000000000005</v>
          </cell>
          <cell r="F2810">
            <v>0</v>
          </cell>
          <cell r="G2810">
            <v>0</v>
          </cell>
          <cell r="H2810">
            <v>99.122454838888927</v>
          </cell>
          <cell r="I2810">
            <v>0</v>
          </cell>
          <cell r="J2810"/>
          <cell r="K2810">
            <v>99.122454838888927</v>
          </cell>
        </row>
        <row r="2811">
          <cell r="A2811">
            <v>4.5</v>
          </cell>
          <cell r="B2811">
            <v>97.251000000000005</v>
          </cell>
          <cell r="C2811">
            <v>0.89644086220944363</v>
          </cell>
          <cell r="D2811">
            <v>98.14744086220945</v>
          </cell>
          <cell r="E2811">
            <v>-0.12000000000000005</v>
          </cell>
          <cell r="F2811">
            <v>0</v>
          </cell>
          <cell r="G2811">
            <v>0</v>
          </cell>
          <cell r="H2811">
            <v>98.267440862209455</v>
          </cell>
          <cell r="I2811">
            <v>0</v>
          </cell>
          <cell r="J2811"/>
          <cell r="K2811">
            <v>98.267440862209455</v>
          </cell>
        </row>
        <row r="2812">
          <cell r="A2812">
            <v>4.375</v>
          </cell>
          <cell r="B2812">
            <v>96.703000000000003</v>
          </cell>
          <cell r="C2812">
            <v>0.9026944802008624</v>
          </cell>
          <cell r="D2812">
            <v>97.605694480200867</v>
          </cell>
          <cell r="E2812">
            <v>-0.12000000000000005</v>
          </cell>
          <cell r="F2812">
            <v>0</v>
          </cell>
          <cell r="G2812">
            <v>0</v>
          </cell>
          <cell r="H2812">
            <v>97.725694480200872</v>
          </cell>
          <cell r="I2812">
            <v>0</v>
          </cell>
          <cell r="J2812"/>
          <cell r="K2812">
            <v>97.725694480200872</v>
          </cell>
        </row>
        <row r="2815">
          <cell r="A2815">
            <v>7.75</v>
          </cell>
          <cell r="B2815">
            <v>101.471</v>
          </cell>
          <cell r="C2815">
            <v>0.6236258818925321</v>
          </cell>
          <cell r="D2815">
            <v>102.09462588189254</v>
          </cell>
          <cell r="E2815">
            <v>-0.51500000000000001</v>
          </cell>
          <cell r="F2815">
            <v>-0.59708333333332952</v>
          </cell>
          <cell r="G2815">
            <v>0</v>
          </cell>
          <cell r="H2815">
            <v>103.20670921522587</v>
          </cell>
          <cell r="I2815">
            <v>0</v>
          </cell>
          <cell r="J2815"/>
          <cell r="K2815">
            <v>103.20670921522587</v>
          </cell>
        </row>
        <row r="2816">
          <cell r="A2816">
            <v>7.625</v>
          </cell>
          <cell r="B2816">
            <v>102.154</v>
          </cell>
          <cell r="C2816">
            <v>0.67488455781423251</v>
          </cell>
          <cell r="D2816">
            <v>102.82888455781423</v>
          </cell>
          <cell r="E2816">
            <v>-0.51500000000000001</v>
          </cell>
          <cell r="F2816">
            <v>-0.30499999999999883</v>
          </cell>
          <cell r="G2816">
            <v>0</v>
          </cell>
          <cell r="H2816">
            <v>103.64888455781423</v>
          </cell>
          <cell r="I2816">
            <v>0</v>
          </cell>
          <cell r="J2816"/>
          <cell r="K2816">
            <v>103.64888455781423</v>
          </cell>
        </row>
        <row r="2817">
          <cell r="A2817">
            <v>7.5</v>
          </cell>
          <cell r="B2817">
            <v>101.965</v>
          </cell>
          <cell r="C2817">
            <v>0.72379037117104539</v>
          </cell>
          <cell r="D2817">
            <v>102.68879037117105</v>
          </cell>
          <cell r="E2817">
            <v>-0.51500000000000001</v>
          </cell>
          <cell r="F2817">
            <v>-0.27249999999999763</v>
          </cell>
          <cell r="G2817">
            <v>0</v>
          </cell>
          <cell r="H2817">
            <v>103.47629037117105</v>
          </cell>
          <cell r="I2817">
            <v>0</v>
          </cell>
          <cell r="J2817"/>
          <cell r="K2817">
            <v>103.47629037117105</v>
          </cell>
        </row>
        <row r="2818">
          <cell r="A2818">
            <v>7.375</v>
          </cell>
          <cell r="B2818">
            <v>101.503</v>
          </cell>
          <cell r="C2818">
            <v>0.77368308706149624</v>
          </cell>
          <cell r="D2818">
            <v>102.2766830870615</v>
          </cell>
          <cell r="E2818">
            <v>-0.51500000000000001</v>
          </cell>
          <cell r="F2818">
            <v>-0.32708333333333106</v>
          </cell>
          <cell r="G2818">
            <v>0</v>
          </cell>
          <cell r="H2818">
            <v>103.11876642039483</v>
          </cell>
          <cell r="I2818">
            <v>0</v>
          </cell>
          <cell r="J2818"/>
          <cell r="K2818">
            <v>103.11876642039483</v>
          </cell>
        </row>
        <row r="2819">
          <cell r="A2819">
            <v>7.25</v>
          </cell>
          <cell r="B2819">
            <v>100.98699999999999</v>
          </cell>
          <cell r="C2819">
            <v>0.82360853900415887</v>
          </cell>
          <cell r="D2819">
            <v>101.81060853900415</v>
          </cell>
          <cell r="E2819">
            <v>-0.51500000000000001</v>
          </cell>
          <cell r="F2819">
            <v>-0.32041666666666802</v>
          </cell>
          <cell r="G2819">
            <v>0</v>
          </cell>
          <cell r="H2819">
            <v>102.64602520567082</v>
          </cell>
          <cell r="I2819">
            <v>0</v>
          </cell>
          <cell r="J2819"/>
          <cell r="K2819">
            <v>102.64602520567082</v>
          </cell>
        </row>
        <row r="2820">
          <cell r="A2820">
            <v>7.125</v>
          </cell>
          <cell r="B2820">
            <v>101.511</v>
          </cell>
          <cell r="C2820">
            <v>0.87236164847436104</v>
          </cell>
          <cell r="D2820">
            <v>102.38336164847436</v>
          </cell>
          <cell r="E2820">
            <v>-0.51500000000000001</v>
          </cell>
          <cell r="F2820">
            <v>7.9166666666639074E-3</v>
          </cell>
          <cell r="G2820">
            <v>0</v>
          </cell>
          <cell r="H2820">
            <v>102.8904449818077</v>
          </cell>
          <cell r="I2820">
            <v>0</v>
          </cell>
          <cell r="J2820"/>
          <cell r="K2820">
            <v>102.8904449818077</v>
          </cell>
        </row>
        <row r="2821">
          <cell r="A2821">
            <v>7</v>
          </cell>
          <cell r="B2821">
            <v>101.166</v>
          </cell>
          <cell r="C2821">
            <v>0.91849551950415798</v>
          </cell>
          <cell r="D2821">
            <v>102.08449551950416</v>
          </cell>
          <cell r="E2821">
            <v>-0.51500000000000001</v>
          </cell>
          <cell r="F2821">
            <v>2.1666666666664391E-2</v>
          </cell>
          <cell r="G2821">
            <v>0</v>
          </cell>
          <cell r="H2821">
            <v>102.5778288528375</v>
          </cell>
          <cell r="I2821">
            <v>0</v>
          </cell>
          <cell r="J2821"/>
          <cell r="K2821">
            <v>102.5778288528375</v>
          </cell>
        </row>
        <row r="2822">
          <cell r="A2822">
            <v>6.875</v>
          </cell>
          <cell r="B2822">
            <v>100.69</v>
          </cell>
          <cell r="C2822">
            <v>0.96037016523299634</v>
          </cell>
          <cell r="D2822">
            <v>101.650370165233</v>
          </cell>
          <cell r="E2822">
            <v>-0.51500000000000001</v>
          </cell>
          <cell r="F2822">
            <v>-0.21333333333333504</v>
          </cell>
          <cell r="G2822">
            <v>0</v>
          </cell>
          <cell r="H2822">
            <v>102.37870349856634</v>
          </cell>
          <cell r="I2822">
            <v>0</v>
          </cell>
          <cell r="J2822"/>
          <cell r="K2822">
            <v>102.37870349856634</v>
          </cell>
        </row>
        <row r="2823">
          <cell r="A2823">
            <v>6.75</v>
          </cell>
          <cell r="B2823">
            <v>100.101</v>
          </cell>
          <cell r="C2823">
            <v>0.99628142024958177</v>
          </cell>
          <cell r="D2823">
            <v>101.09728142024959</v>
          </cell>
          <cell r="E2823">
            <v>-0.51500000000000001</v>
          </cell>
          <cell r="F2823">
            <v>-0.21333333333333504</v>
          </cell>
          <cell r="G2823">
            <v>0</v>
          </cell>
          <cell r="H2823">
            <v>101.82561475358293</v>
          </cell>
          <cell r="I2823">
            <v>0</v>
          </cell>
          <cell r="J2823"/>
          <cell r="K2823">
            <v>101.82561475358293</v>
          </cell>
        </row>
        <row r="2824">
          <cell r="A2824">
            <v>6.625</v>
          </cell>
          <cell r="B2824">
            <v>100.232</v>
          </cell>
          <cell r="C2824">
            <v>1.0245887605036648</v>
          </cell>
          <cell r="D2824">
            <v>101.25658876050366</v>
          </cell>
          <cell r="E2824">
            <v>-0.51500000000000001</v>
          </cell>
          <cell r="F2824">
            <v>-6.6666666666666707E-2</v>
          </cell>
          <cell r="G2824">
            <v>0</v>
          </cell>
          <cell r="H2824">
            <v>101.83825542717032</v>
          </cell>
          <cell r="I2824">
            <v>0</v>
          </cell>
          <cell r="J2824"/>
          <cell r="K2824">
            <v>101.83825542717032</v>
          </cell>
        </row>
        <row r="2825">
          <cell r="A2825">
            <v>6.5</v>
          </cell>
          <cell r="B2825">
            <v>99.820999999999998</v>
          </cell>
          <cell r="C2825">
            <v>1.0438653664088597</v>
          </cell>
          <cell r="D2825">
            <v>100.86486536640886</v>
          </cell>
          <cell r="E2825">
            <v>-0.51500000000000001</v>
          </cell>
          <cell r="F2825">
            <v>-0.191249999999998</v>
          </cell>
          <cell r="G2825">
            <v>0</v>
          </cell>
          <cell r="H2825">
            <v>101.57111536640886</v>
          </cell>
          <cell r="I2825">
            <v>0</v>
          </cell>
          <cell r="J2825"/>
          <cell r="K2825">
            <v>101.57111536640886</v>
          </cell>
        </row>
        <row r="2826">
          <cell r="A2826">
            <v>6.375</v>
          </cell>
          <cell r="B2826">
            <v>99.454999999999998</v>
          </cell>
          <cell r="C2826">
            <v>1.0813957336768123</v>
          </cell>
          <cell r="D2826">
            <v>100.53639573367681</v>
          </cell>
          <cell r="E2826">
            <v>-0.51500000000000001</v>
          </cell>
          <cell r="F2826">
            <v>-0.26624999999999799</v>
          </cell>
          <cell r="G2826">
            <v>0</v>
          </cell>
          <cell r="H2826">
            <v>101.31764573367681</v>
          </cell>
          <cell r="I2826">
            <v>0</v>
          </cell>
          <cell r="J2826"/>
          <cell r="K2826">
            <v>101.31764573367681</v>
          </cell>
        </row>
        <row r="2827">
          <cell r="A2827">
            <v>6.25</v>
          </cell>
          <cell r="B2827">
            <v>98.978999999999999</v>
          </cell>
          <cell r="C2827">
            <v>1.11673163637932</v>
          </cell>
          <cell r="D2827">
            <v>100.09573163637931</v>
          </cell>
          <cell r="E2827">
            <v>-0.51500000000000001</v>
          </cell>
          <cell r="F2827">
            <v>-0.31666666666666665</v>
          </cell>
          <cell r="G2827">
            <v>0</v>
          </cell>
          <cell r="H2827">
            <v>100.92739830304598</v>
          </cell>
          <cell r="I2827">
            <v>0</v>
          </cell>
          <cell r="J2827"/>
          <cell r="K2827">
            <v>100.92739830304598</v>
          </cell>
        </row>
        <row r="2828">
          <cell r="A2828">
            <v>6.125</v>
          </cell>
          <cell r="B2828">
            <v>99.296999999999997</v>
          </cell>
          <cell r="C2828">
            <v>1.1492095706938446</v>
          </cell>
          <cell r="D2828">
            <v>100.44620957069384</v>
          </cell>
          <cell r="E2828">
            <v>-0.51500000000000001</v>
          </cell>
          <cell r="F2828">
            <v>0.49791666666666673</v>
          </cell>
          <cell r="G2828">
            <v>0</v>
          </cell>
          <cell r="H2828">
            <v>100.46329290402717</v>
          </cell>
          <cell r="I2828">
            <v>0</v>
          </cell>
          <cell r="J2828"/>
          <cell r="K2828">
            <v>100.46329290402717</v>
          </cell>
        </row>
        <row r="2829">
          <cell r="A2829">
            <v>6</v>
          </cell>
          <cell r="B2829">
            <v>98.81</v>
          </cell>
          <cell r="C2829">
            <v>1.175188528653438</v>
          </cell>
          <cell r="D2829">
            <v>99.985188528653438</v>
          </cell>
          <cell r="E2829">
            <v>-0.51500000000000001</v>
          </cell>
          <cell r="F2829">
            <v>0.4483333333333353</v>
          </cell>
          <cell r="G2829">
            <v>0</v>
          </cell>
          <cell r="H2829">
            <v>100.0518551953201</v>
          </cell>
          <cell r="I2829">
            <v>0</v>
          </cell>
          <cell r="J2829"/>
          <cell r="K2829">
            <v>100.0518551953201</v>
          </cell>
        </row>
        <row r="2830">
          <cell r="A2830">
            <v>5.875</v>
          </cell>
          <cell r="B2830">
            <v>98.33</v>
          </cell>
          <cell r="C2830">
            <v>1.2001075198788873</v>
          </cell>
          <cell r="D2830">
            <v>99.530107519878882</v>
          </cell>
          <cell r="E2830">
            <v>-0.51500000000000001</v>
          </cell>
          <cell r="F2830">
            <v>0.44791666666666669</v>
          </cell>
          <cell r="G2830">
            <v>0</v>
          </cell>
          <cell r="H2830">
            <v>99.597190853212211</v>
          </cell>
          <cell r="I2830">
            <v>0</v>
          </cell>
          <cell r="J2830"/>
          <cell r="K2830">
            <v>99.597190853212211</v>
          </cell>
        </row>
        <row r="2831">
          <cell r="A2831">
            <v>5.75</v>
          </cell>
          <cell r="B2831">
            <v>97.769000000000005</v>
          </cell>
          <cell r="C2831">
            <v>1.220373990714686</v>
          </cell>
          <cell r="D2831">
            <v>98.989373990714697</v>
          </cell>
          <cell r="E2831">
            <v>-0.51500000000000001</v>
          </cell>
          <cell r="F2831">
            <v>0.4483333333333353</v>
          </cell>
          <cell r="G2831">
            <v>0</v>
          </cell>
          <cell r="H2831">
            <v>99.056040657381359</v>
          </cell>
          <cell r="I2831">
            <v>0</v>
          </cell>
          <cell r="J2831"/>
          <cell r="K2831">
            <v>99.056040657381359</v>
          </cell>
        </row>
        <row r="2832">
          <cell r="A2832">
            <v>5.625</v>
          </cell>
          <cell r="B2832">
            <v>97.102999999999994</v>
          </cell>
          <cell r="C2832">
            <v>1.2354980652420697</v>
          </cell>
          <cell r="D2832">
            <v>98.338498065242064</v>
          </cell>
          <cell r="E2832">
            <v>-0.51500000000000001</v>
          </cell>
          <cell r="F2832">
            <v>0.40208333333333357</v>
          </cell>
          <cell r="G2832">
            <v>0</v>
          </cell>
          <cell r="H2832">
            <v>98.451414731908727</v>
          </cell>
          <cell r="I2832">
            <v>0</v>
          </cell>
          <cell r="J2832"/>
          <cell r="K2832">
            <v>98.451414731908727</v>
          </cell>
        </row>
        <row r="2833">
          <cell r="A2833">
            <v>5.5</v>
          </cell>
          <cell r="B2833">
            <v>96.498000000000005</v>
          </cell>
          <cell r="C2833">
            <v>1.2479906782557784</v>
          </cell>
          <cell r="D2833">
            <v>97.745990678255779</v>
          </cell>
          <cell r="E2833">
            <v>-0.51500000000000001</v>
          </cell>
          <cell r="F2833">
            <v>0.40083333333333349</v>
          </cell>
          <cell r="G2833">
            <v>0</v>
          </cell>
          <cell r="H2833">
            <v>97.860157344922442</v>
          </cell>
          <cell r="I2833">
            <v>0</v>
          </cell>
          <cell r="J2833"/>
          <cell r="K2833">
            <v>97.860157344922442</v>
          </cell>
        </row>
        <row r="2834">
          <cell r="A2834">
            <v>5.375</v>
          </cell>
          <cell r="B2834">
            <v>95.909000000000006</v>
          </cell>
          <cell r="C2834">
            <v>1.2637998095544902</v>
          </cell>
          <cell r="D2834">
            <v>97.17279980955449</v>
          </cell>
          <cell r="E2834">
            <v>-0.51500000000000001</v>
          </cell>
          <cell r="F2834">
            <v>0.39958333333333346</v>
          </cell>
          <cell r="G2834">
            <v>0</v>
          </cell>
          <cell r="H2834">
            <v>97.288216476221152</v>
          </cell>
          <cell r="I2834">
            <v>0</v>
          </cell>
          <cell r="J2834"/>
          <cell r="K2834">
            <v>97.288216476221152</v>
          </cell>
        </row>
        <row r="2835">
          <cell r="A2835">
            <v>5.25</v>
          </cell>
          <cell r="B2835">
            <v>95.021000000000001</v>
          </cell>
          <cell r="C2835">
            <v>1.2799496190579389</v>
          </cell>
          <cell r="D2835">
            <v>96.300949619057945</v>
          </cell>
          <cell r="E2835">
            <v>-0.51500000000000001</v>
          </cell>
          <cell r="F2835">
            <v>0.44791666666666669</v>
          </cell>
          <cell r="G2835">
            <v>0</v>
          </cell>
          <cell r="H2835">
            <v>96.368032952391275</v>
          </cell>
          <cell r="I2835">
            <v>0</v>
          </cell>
          <cell r="J2835"/>
          <cell r="K2835">
            <v>96.368032952391275</v>
          </cell>
        </row>
        <row r="2836">
          <cell r="A2836">
            <v>5.125</v>
          </cell>
          <cell r="B2836">
            <v>93.084000000000003</v>
          </cell>
          <cell r="C2836">
            <v>1.2964498662264292</v>
          </cell>
          <cell r="D2836">
            <v>94.380449866226428</v>
          </cell>
          <cell r="E2836">
            <v>-0.51500000000000001</v>
          </cell>
          <cell r="F2836">
            <v>-0.35208333333333408</v>
          </cell>
          <cell r="G2836">
            <v>0</v>
          </cell>
          <cell r="H2836">
            <v>95.247533199559768</v>
          </cell>
          <cell r="I2836">
            <v>0</v>
          </cell>
          <cell r="J2836"/>
          <cell r="K2836">
            <v>95.247533199559768</v>
          </cell>
        </row>
        <row r="2837">
          <cell r="A2837">
            <v>5</v>
          </cell>
          <cell r="B2837">
            <v>92.358000000000004</v>
          </cell>
          <cell r="C2837">
            <v>1.3104616881792834</v>
          </cell>
          <cell r="D2837">
            <v>93.668461688179292</v>
          </cell>
          <cell r="E2837">
            <v>-0.51500000000000001</v>
          </cell>
          <cell r="F2837">
            <v>-0.35749999999999704</v>
          </cell>
          <cell r="G2837">
            <v>0</v>
          </cell>
          <cell r="H2837">
            <v>94.540961688179294</v>
          </cell>
          <cell r="I2837">
            <v>0</v>
          </cell>
          <cell r="J2837"/>
          <cell r="K2837">
            <v>94.540961688179294</v>
          </cell>
        </row>
        <row r="2838">
          <cell r="A2838">
            <v>4.875</v>
          </cell>
          <cell r="B2838">
            <v>91.578000000000003</v>
          </cell>
          <cell r="C2838">
            <v>1.3211709877456339</v>
          </cell>
          <cell r="D2838">
            <v>92.899170987745634</v>
          </cell>
          <cell r="E2838">
            <v>-0.51500000000000001</v>
          </cell>
          <cell r="F2838">
            <v>-0.85916666666666575</v>
          </cell>
          <cell r="G2838">
            <v>0</v>
          </cell>
          <cell r="H2838">
            <v>94.273337654412302</v>
          </cell>
          <cell r="I2838">
            <v>0</v>
          </cell>
          <cell r="J2838"/>
          <cell r="K2838">
            <v>94.273337654412302</v>
          </cell>
        </row>
        <row r="2839">
          <cell r="A2839">
            <v>4.75</v>
          </cell>
          <cell r="B2839">
            <v>90.846000000000004</v>
          </cell>
          <cell r="C2839">
            <v>1.3320028590489337</v>
          </cell>
          <cell r="D2839">
            <v>92.178002859048931</v>
          </cell>
          <cell r="E2839">
            <v>-0.51500000000000001</v>
          </cell>
          <cell r="F2839">
            <v>-0.79833333333333201</v>
          </cell>
          <cell r="G2839">
            <v>0</v>
          </cell>
          <cell r="H2839">
            <v>93.491336192382263</v>
          </cell>
          <cell r="I2839">
            <v>0</v>
          </cell>
          <cell r="J2839"/>
          <cell r="K2839">
            <v>93.491336192382263</v>
          </cell>
        </row>
        <row r="2840">
          <cell r="A2840">
            <v>4.625</v>
          </cell>
          <cell r="B2840">
            <v>92.256</v>
          </cell>
          <cell r="C2840">
            <v>1.342972912843351</v>
          </cell>
          <cell r="D2840">
            <v>93.598972912843351</v>
          </cell>
          <cell r="E2840">
            <v>-0.51500000000000001</v>
          </cell>
          <cell r="F2840">
            <v>-5.2083333333333336E-2</v>
          </cell>
          <cell r="G2840">
            <v>0</v>
          </cell>
          <cell r="H2840">
            <v>94.16605624617668</v>
          </cell>
          <cell r="I2840">
            <v>0</v>
          </cell>
          <cell r="J2840"/>
          <cell r="K2840">
            <v>94.16605624617668</v>
          </cell>
        </row>
        <row r="2871">
          <cell r="A2871">
            <v>7.25</v>
          </cell>
          <cell r="B2871">
            <v>102.86499999999999</v>
          </cell>
          <cell r="C2871">
            <v>0.47526547396421986</v>
          </cell>
          <cell r="D2871">
            <v>103.34026547396421</v>
          </cell>
          <cell r="E2871">
            <v>-0.12700000000000003</v>
          </cell>
          <cell r="F2871">
            <v>0.125</v>
          </cell>
          <cell r="G2871">
            <v>0</v>
          </cell>
          <cell r="H2871">
            <v>103.3422654739642</v>
          </cell>
          <cell r="I2871">
            <v>0</v>
          </cell>
          <cell r="J2871"/>
          <cell r="K2871">
            <v>103.3422654739642</v>
          </cell>
        </row>
        <row r="2872">
          <cell r="A2872">
            <v>7.125</v>
          </cell>
          <cell r="B2872">
            <v>103.14400000000001</v>
          </cell>
          <cell r="C2872">
            <v>0.49681490865003308</v>
          </cell>
          <cell r="D2872">
            <v>103.64081490865004</v>
          </cell>
          <cell r="E2872">
            <v>-0.12700000000000003</v>
          </cell>
          <cell r="F2872">
            <v>0.125</v>
          </cell>
          <cell r="G2872">
            <v>0</v>
          </cell>
          <cell r="H2872">
            <v>103.64281490865004</v>
          </cell>
          <cell r="I2872">
            <v>0</v>
          </cell>
          <cell r="J2872"/>
          <cell r="K2872">
            <v>103.64281490865004</v>
          </cell>
        </row>
        <row r="2873">
          <cell r="A2873">
            <v>7</v>
          </cell>
          <cell r="B2873">
            <v>102.919</v>
          </cell>
          <cell r="C2873">
            <v>0.52037556715897559</v>
          </cell>
          <cell r="D2873">
            <v>103.43937556715898</v>
          </cell>
          <cell r="E2873">
            <v>-0.12700000000000003</v>
          </cell>
          <cell r="F2873">
            <v>0.125</v>
          </cell>
          <cell r="G2873">
            <v>0</v>
          </cell>
          <cell r="H2873">
            <v>103.44137556715897</v>
          </cell>
          <cell r="I2873">
            <v>0</v>
          </cell>
          <cell r="J2873"/>
          <cell r="K2873">
            <v>103.44137556715897</v>
          </cell>
        </row>
        <row r="2874">
          <cell r="A2874">
            <v>6.875</v>
          </cell>
          <cell r="B2874">
            <v>102.30800000000001</v>
          </cell>
          <cell r="C2874">
            <v>0.54564084761869491</v>
          </cell>
          <cell r="D2874">
            <v>102.85364084761871</v>
          </cell>
          <cell r="E2874">
            <v>-0.12700000000000003</v>
          </cell>
          <cell r="F2874">
            <v>0.125</v>
          </cell>
          <cell r="G2874">
            <v>0</v>
          </cell>
          <cell r="H2874">
            <v>102.8556408476187</v>
          </cell>
          <cell r="I2874">
            <v>0</v>
          </cell>
          <cell r="J2874"/>
          <cell r="K2874">
            <v>102.8556408476187</v>
          </cell>
        </row>
        <row r="2875">
          <cell r="A2875">
            <v>6.75</v>
          </cell>
          <cell r="B2875">
            <v>101.90600000000001</v>
          </cell>
          <cell r="C2875">
            <v>0.57220690482506398</v>
          </cell>
          <cell r="D2875">
            <v>102.47820690482507</v>
          </cell>
          <cell r="E2875">
            <v>-0.12700000000000003</v>
          </cell>
          <cell r="F2875">
            <v>0.125</v>
          </cell>
          <cell r="G2875">
            <v>0</v>
          </cell>
          <cell r="H2875">
            <v>102.48020690482507</v>
          </cell>
          <cell r="I2875">
            <v>0</v>
          </cell>
          <cell r="J2875"/>
          <cell r="K2875">
            <v>102.48020690482507</v>
          </cell>
        </row>
        <row r="2876">
          <cell r="A2876">
            <v>6.625</v>
          </cell>
          <cell r="B2876">
            <v>101.747</v>
          </cell>
          <cell r="C2876">
            <v>0.60211237942935858</v>
          </cell>
          <cell r="D2876">
            <v>102.34911237942936</v>
          </cell>
          <cell r="E2876">
            <v>-0.12700000000000003</v>
          </cell>
          <cell r="F2876">
            <v>0.125</v>
          </cell>
          <cell r="G2876">
            <v>0</v>
          </cell>
          <cell r="H2876">
            <v>102.35111237942935</v>
          </cell>
          <cell r="I2876">
            <v>0</v>
          </cell>
          <cell r="J2876"/>
          <cell r="K2876">
            <v>102.35111237942935</v>
          </cell>
        </row>
        <row r="2877">
          <cell r="A2877">
            <v>6.5</v>
          </cell>
          <cell r="B2877">
            <v>101.49299999999999</v>
          </cell>
          <cell r="C2877">
            <v>0.63714431752413758</v>
          </cell>
          <cell r="D2877">
            <v>102.13014431752413</v>
          </cell>
          <cell r="E2877">
            <v>-0.12700000000000003</v>
          </cell>
          <cell r="F2877">
            <v>0.125</v>
          </cell>
          <cell r="G2877">
            <v>0</v>
          </cell>
          <cell r="H2877">
            <v>102.13214431752412</v>
          </cell>
          <cell r="I2877">
            <v>0</v>
          </cell>
          <cell r="J2877"/>
          <cell r="K2877">
            <v>102.13214431752412</v>
          </cell>
        </row>
        <row r="2878">
          <cell r="A2878">
            <v>6.375</v>
          </cell>
          <cell r="B2878">
            <v>101.2</v>
          </cell>
          <cell r="C2878">
            <v>0.67564783686188457</v>
          </cell>
          <cell r="D2878">
            <v>101.87564783686189</v>
          </cell>
          <cell r="E2878">
            <v>-0.12700000000000003</v>
          </cell>
          <cell r="F2878">
            <v>0.125</v>
          </cell>
          <cell r="G2878">
            <v>0</v>
          </cell>
          <cell r="H2878">
            <v>101.87764783686188</v>
          </cell>
          <cell r="I2878">
            <v>0</v>
          </cell>
          <cell r="J2878"/>
          <cell r="K2878">
            <v>101.87764783686188</v>
          </cell>
        </row>
        <row r="2879">
          <cell r="A2879">
            <v>6.25</v>
          </cell>
          <cell r="B2879">
            <v>100.791</v>
          </cell>
          <cell r="C2879">
            <v>0.71500342732241795</v>
          </cell>
          <cell r="D2879">
            <v>101.50600342732241</v>
          </cell>
          <cell r="E2879">
            <v>-0.12700000000000003</v>
          </cell>
          <cell r="F2879">
            <v>0.125</v>
          </cell>
          <cell r="G2879">
            <v>0</v>
          </cell>
          <cell r="H2879">
            <v>101.50800342732241</v>
          </cell>
          <cell r="I2879">
            <v>0</v>
          </cell>
          <cell r="J2879"/>
          <cell r="K2879">
            <v>101.50800342732241</v>
          </cell>
        </row>
        <row r="2880">
          <cell r="A2880">
            <v>6.125</v>
          </cell>
          <cell r="B2880">
            <v>100.494</v>
          </cell>
          <cell r="C2880">
            <v>0.75030594786228078</v>
          </cell>
          <cell r="D2880">
            <v>101.24430594786229</v>
          </cell>
          <cell r="E2880">
            <v>-0.12700000000000003</v>
          </cell>
          <cell r="F2880">
            <v>0.125</v>
          </cell>
          <cell r="G2880">
            <v>0</v>
          </cell>
          <cell r="H2880">
            <v>101.24630594786228</v>
          </cell>
          <cell r="I2880">
            <v>0</v>
          </cell>
          <cell r="J2880"/>
          <cell r="K2880">
            <v>101.24630594786228</v>
          </cell>
        </row>
        <row r="2881">
          <cell r="A2881">
            <v>6</v>
          </cell>
          <cell r="B2881">
            <v>100.143</v>
          </cell>
          <cell r="C2881">
            <v>0.78086101853202361</v>
          </cell>
          <cell r="D2881">
            <v>100.92386101853202</v>
          </cell>
          <cell r="E2881">
            <v>-0.12700000000000003</v>
          </cell>
          <cell r="F2881">
            <v>0.125</v>
          </cell>
          <cell r="G2881">
            <v>0</v>
          </cell>
          <cell r="H2881">
            <v>100.92586101853202</v>
          </cell>
          <cell r="I2881">
            <v>0</v>
          </cell>
          <cell r="J2881"/>
          <cell r="K2881">
            <v>100.92586101853202</v>
          </cell>
        </row>
        <row r="2882">
          <cell r="A2882">
            <v>5.875</v>
          </cell>
          <cell r="B2882">
            <v>99.825999999999993</v>
          </cell>
          <cell r="C2882">
            <v>0.80490800974401167</v>
          </cell>
          <cell r="D2882">
            <v>100.630908009744</v>
          </cell>
          <cell r="E2882">
            <v>-0.12700000000000003</v>
          </cell>
          <cell r="F2882">
            <v>0.125</v>
          </cell>
          <cell r="G2882">
            <v>0</v>
          </cell>
          <cell r="H2882">
            <v>100.632908009744</v>
          </cell>
          <cell r="I2882">
            <v>0</v>
          </cell>
          <cell r="J2882"/>
          <cell r="K2882">
            <v>100.632908009744</v>
          </cell>
        </row>
        <row r="2883">
          <cell r="A2883">
            <v>5.75</v>
          </cell>
          <cell r="B2883">
            <v>99.331999999999994</v>
          </cell>
          <cell r="C2883">
            <v>0.82471406445732209</v>
          </cell>
          <cell r="D2883">
            <v>100.15671406445732</v>
          </cell>
          <cell r="E2883">
            <v>-0.12700000000000003</v>
          </cell>
          <cell r="F2883">
            <v>0.125</v>
          </cell>
          <cell r="G2883">
            <v>0</v>
          </cell>
          <cell r="H2883">
            <v>100.15871406445731</v>
          </cell>
          <cell r="I2883">
            <v>0</v>
          </cell>
          <cell r="J2883"/>
          <cell r="K2883">
            <v>100.15871406445731</v>
          </cell>
        </row>
        <row r="2884">
          <cell r="A2884">
            <v>5.625</v>
          </cell>
          <cell r="B2884">
            <v>99.247</v>
          </cell>
          <cell r="C2884">
            <v>0.84212252907524909</v>
          </cell>
          <cell r="D2884">
            <v>100.08912252907525</v>
          </cell>
          <cell r="E2884">
            <v>-0.12700000000000003</v>
          </cell>
          <cell r="F2884">
            <v>0.125</v>
          </cell>
          <cell r="G2884">
            <v>0</v>
          </cell>
          <cell r="H2884">
            <v>100.09112252907525</v>
          </cell>
          <cell r="I2884">
            <v>0</v>
          </cell>
          <cell r="J2884"/>
          <cell r="K2884">
            <v>100.09112252907525</v>
          </cell>
        </row>
        <row r="2885">
          <cell r="A2885">
            <v>5.5</v>
          </cell>
          <cell r="B2885">
            <v>98.656999999999996</v>
          </cell>
          <cell r="C2885">
            <v>0.85945012668777188</v>
          </cell>
          <cell r="D2885">
            <v>99.516450126687772</v>
          </cell>
          <cell r="E2885">
            <v>-0.12700000000000003</v>
          </cell>
          <cell r="F2885">
            <v>0.125</v>
          </cell>
          <cell r="G2885">
            <v>0</v>
          </cell>
          <cell r="H2885">
            <v>99.518450126687767</v>
          </cell>
          <cell r="I2885">
            <v>0</v>
          </cell>
          <cell r="J2885"/>
          <cell r="K2885">
            <v>99.518450126687767</v>
          </cell>
        </row>
        <row r="2886">
          <cell r="A2886">
            <v>5.375</v>
          </cell>
          <cell r="B2886">
            <v>98.272999999999996</v>
          </cell>
          <cell r="C2886">
            <v>0.87602933051056409</v>
          </cell>
          <cell r="D2886">
            <v>99.149029330510558</v>
          </cell>
          <cell r="E2886">
            <v>-0.12700000000000003</v>
          </cell>
          <cell r="F2886">
            <v>0.125</v>
          </cell>
          <cell r="G2886">
            <v>0</v>
          </cell>
          <cell r="H2886">
            <v>99.151029330510553</v>
          </cell>
          <cell r="I2886">
            <v>0</v>
          </cell>
          <cell r="J2886"/>
          <cell r="K2886">
            <v>99.151029330510553</v>
          </cell>
        </row>
        <row r="2887">
          <cell r="A2887">
            <v>5.25</v>
          </cell>
          <cell r="B2887">
            <v>97.843000000000004</v>
          </cell>
          <cell r="C2887">
            <v>0.88776842760569774</v>
          </cell>
          <cell r="D2887">
            <v>98.730768427605696</v>
          </cell>
          <cell r="E2887">
            <v>-0.12700000000000003</v>
          </cell>
          <cell r="F2887">
            <v>0.125</v>
          </cell>
          <cell r="G2887">
            <v>0</v>
          </cell>
          <cell r="H2887">
            <v>98.732768427605691</v>
          </cell>
          <cell r="I2887">
            <v>0</v>
          </cell>
          <cell r="J2887"/>
          <cell r="K2887">
            <v>98.732768427605691</v>
          </cell>
        </row>
        <row r="2888">
          <cell r="A2888">
            <v>5.125</v>
          </cell>
          <cell r="B2888">
            <v>97.638000000000005</v>
          </cell>
          <cell r="C2888">
            <v>0.89961594178490922</v>
          </cell>
          <cell r="D2888">
            <v>98.537615941784921</v>
          </cell>
          <cell r="E2888">
            <v>-0.12700000000000003</v>
          </cell>
          <cell r="F2888">
            <v>0.125</v>
          </cell>
          <cell r="G2888">
            <v>0</v>
          </cell>
          <cell r="H2888">
            <v>98.539615941784916</v>
          </cell>
          <cell r="I2888">
            <v>0</v>
          </cell>
          <cell r="J2888"/>
          <cell r="K2888">
            <v>98.539615941784916</v>
          </cell>
        </row>
        <row r="2889">
          <cell r="A2889">
            <v>5</v>
          </cell>
          <cell r="B2889">
            <v>96.918999999999997</v>
          </cell>
          <cell r="C2889">
            <v>0.9102688580577174</v>
          </cell>
          <cell r="D2889">
            <v>97.829268858057716</v>
          </cell>
          <cell r="E2889">
            <v>-0.12700000000000003</v>
          </cell>
          <cell r="F2889">
            <v>0.125</v>
          </cell>
          <cell r="G2889">
            <v>0</v>
          </cell>
          <cell r="H2889">
            <v>97.831268858057712</v>
          </cell>
          <cell r="I2889">
            <v>0</v>
          </cell>
          <cell r="J2889"/>
          <cell r="K2889">
            <v>97.831268858057712</v>
          </cell>
        </row>
        <row r="2890">
          <cell r="A2890">
            <v>4.875</v>
          </cell>
          <cell r="B2890">
            <v>96.528999999999996</v>
          </cell>
          <cell r="C2890">
            <v>0.92072833314189895</v>
          </cell>
          <cell r="D2890">
            <v>97.449728333141891</v>
          </cell>
          <cell r="E2890">
            <v>-0.12700000000000003</v>
          </cell>
          <cell r="F2890">
            <v>0.125</v>
          </cell>
          <cell r="G2890">
            <v>0</v>
          </cell>
          <cell r="H2890">
            <v>97.451728333141887</v>
          </cell>
          <cell r="I2890">
            <v>0</v>
          </cell>
          <cell r="J2890"/>
          <cell r="K2890">
            <v>97.451728333141887</v>
          </cell>
        </row>
        <row r="2891">
          <cell r="A2891">
            <v>4.75</v>
          </cell>
          <cell r="B2891">
            <v>95.88</v>
          </cell>
          <cell r="C2891">
            <v>0.92872295036983565</v>
          </cell>
          <cell r="D2891">
            <v>96.808722950369827</v>
          </cell>
          <cell r="E2891">
            <v>-0.12700000000000003</v>
          </cell>
          <cell r="F2891">
            <v>0.125</v>
          </cell>
          <cell r="G2891">
            <v>0</v>
          </cell>
          <cell r="H2891">
            <v>96.810722950369822</v>
          </cell>
          <cell r="I2891">
            <v>0</v>
          </cell>
          <cell r="J2891"/>
          <cell r="K2891">
            <v>96.810722950369822</v>
          </cell>
        </row>
        <row r="2892">
          <cell r="A2892">
            <v>4.625</v>
          </cell>
          <cell r="B2892">
            <v>95.891999999999996</v>
          </cell>
          <cell r="C2892">
            <v>0.93759016306802712</v>
          </cell>
          <cell r="D2892">
            <v>96.829590163068019</v>
          </cell>
          <cell r="E2892">
            <v>-0.12700000000000003</v>
          </cell>
          <cell r="F2892">
            <v>0.125</v>
          </cell>
          <cell r="G2892">
            <v>0</v>
          </cell>
          <cell r="H2892">
            <v>96.831590163068014</v>
          </cell>
          <cell r="I2892">
            <v>0</v>
          </cell>
          <cell r="J2892"/>
          <cell r="K2892">
            <v>96.831590163068014</v>
          </cell>
        </row>
        <row r="2893">
          <cell r="A2893">
            <v>4.5</v>
          </cell>
          <cell r="B2893">
            <v>95.164000000000001</v>
          </cell>
          <cell r="C2893">
            <v>0.9454611666707915</v>
          </cell>
          <cell r="D2893">
            <v>96.109461166670798</v>
          </cell>
          <cell r="E2893">
            <v>-0.12700000000000003</v>
          </cell>
          <cell r="F2893">
            <v>0.125</v>
          </cell>
          <cell r="G2893">
            <v>0</v>
          </cell>
          <cell r="H2893">
            <v>96.111461166670793</v>
          </cell>
          <cell r="I2893">
            <v>0</v>
          </cell>
          <cell r="J2893"/>
          <cell r="K2893">
            <v>96.111461166670793</v>
          </cell>
        </row>
        <row r="2894">
          <cell r="A2894">
            <v>4.375</v>
          </cell>
          <cell r="B2894">
            <v>94.686999999999998</v>
          </cell>
          <cell r="C2894">
            <v>0.95272829172703388</v>
          </cell>
          <cell r="D2894">
            <v>95.639728291727025</v>
          </cell>
          <cell r="E2894">
            <v>-0.12700000000000003</v>
          </cell>
          <cell r="F2894">
            <v>0.125</v>
          </cell>
          <cell r="G2894">
            <v>0</v>
          </cell>
          <cell r="H2894">
            <v>95.64172829172702</v>
          </cell>
          <cell r="I2894">
            <v>0</v>
          </cell>
          <cell r="J2894"/>
          <cell r="K2894">
            <v>95.64172829172702</v>
          </cell>
        </row>
        <row r="2895">
          <cell r="A2895">
            <v>4.25</v>
          </cell>
          <cell r="B2895">
            <v>94.150999999999996</v>
          </cell>
          <cell r="C2895">
            <v>0.95769235972864952</v>
          </cell>
          <cell r="D2895">
            <v>95.10869235972865</v>
          </cell>
          <cell r="E2895">
            <v>-0.12700000000000003</v>
          </cell>
          <cell r="F2895">
            <v>0.125</v>
          </cell>
          <cell r="G2895">
            <v>0</v>
          </cell>
          <cell r="H2895">
            <v>95.110692359728645</v>
          </cell>
          <cell r="I2895">
            <v>0</v>
          </cell>
          <cell r="J2895"/>
          <cell r="K2895">
            <v>95.110692359728645</v>
          </cell>
        </row>
        <row r="2896">
          <cell r="A2896"/>
          <cell r="B2896"/>
          <cell r="C2896"/>
          <cell r="D2896"/>
          <cell r="E2896"/>
          <cell r="F2896"/>
          <cell r="G2896"/>
          <cell r="H2896"/>
          <cell r="I2896"/>
          <cell r="J2896"/>
          <cell r="K2896"/>
        </row>
        <row r="2917">
          <cell r="A2917" t="str">
            <v>AIP_71</v>
          </cell>
          <cell r="B2917" t="str">
            <v>AIP</v>
          </cell>
          <cell r="C2917"/>
          <cell r="D2917"/>
          <cell r="E2917"/>
          <cell r="F2917"/>
          <cell r="G2917" t="str">
            <v>(MC05)</v>
          </cell>
          <cell r="H2917"/>
          <cell r="I2917" t="str">
            <v>West Region</v>
          </cell>
          <cell r="J2917"/>
          <cell r="K2917"/>
          <cell r="L2917" t="str">
            <v>Midwest Region</v>
          </cell>
          <cell r="M2917"/>
          <cell r="N2917"/>
          <cell r="O2917" t="str">
            <v>Area 1</v>
          </cell>
          <cell r="P2917"/>
          <cell r="Q2917"/>
          <cell r="R2917"/>
        </row>
        <row r="2918">
          <cell r="A2918" t="str">
            <v>Note</v>
          </cell>
          <cell r="B2918" t="str">
            <v xml:space="preserve">Investor Price </v>
          </cell>
          <cell r="C2918"/>
          <cell r="D2918" t="str">
            <v>Inv Total</v>
          </cell>
          <cell r="E2918" t="str">
            <v>Corp MG</v>
          </cell>
          <cell r="F2918" t="str">
            <v>PRICE CHANGE</v>
          </cell>
          <cell r="G2918" t="str">
            <v>RATE CHANGE</v>
          </cell>
          <cell r="H2918" t="str">
            <v>Total Price w/Corp MG</v>
          </cell>
          <cell r="I2918" t="str">
            <v>Regional MG</v>
          </cell>
          <cell r="J2918" t="str">
            <v>Other adj</v>
          </cell>
          <cell r="K2918" t="str">
            <v>30 Day Price</v>
          </cell>
          <cell r="L2918" t="str">
            <v>Regional MG</v>
          </cell>
          <cell r="M2918" t="str">
            <v>Other Adj</v>
          </cell>
          <cell r="N2918" t="str">
            <v>30 Day Price</v>
          </cell>
          <cell r="O2918" t="str">
            <v>Inv Total</v>
          </cell>
          <cell r="P2918" t="str">
            <v>Corp MG</v>
          </cell>
          <cell r="Q2918" t="str">
            <v>Price Change</v>
          </cell>
          <cell r="R2918" t="str">
            <v>30 Day Price</v>
          </cell>
        </row>
        <row r="2919">
          <cell r="A2919">
            <v>8.25</v>
          </cell>
          <cell r="B2919">
            <v>101.5</v>
          </cell>
          <cell r="C2919"/>
          <cell r="D2919">
            <v>101.5</v>
          </cell>
          <cell r="E2919"/>
          <cell r="F2919">
            <v>0.96500000000000008</v>
          </cell>
          <cell r="G2919">
            <v>-0.75</v>
          </cell>
          <cell r="H2919">
            <v>100.535</v>
          </cell>
          <cell r="I2919">
            <v>0</v>
          </cell>
          <cell r="J2919"/>
          <cell r="K2919">
            <v>100.535</v>
          </cell>
          <cell r="L2919">
            <v>0</v>
          </cell>
          <cell r="M2919"/>
          <cell r="N2919">
            <v>100.535</v>
          </cell>
          <cell r="O2919">
            <v>101.5</v>
          </cell>
          <cell r="P2919"/>
          <cell r="Q2919"/>
          <cell r="R2919">
            <v>100.535</v>
          </cell>
        </row>
        <row r="2920">
          <cell r="A2920">
            <v>8.125</v>
          </cell>
          <cell r="B2920">
            <v>101.25</v>
          </cell>
          <cell r="C2920"/>
          <cell r="D2920">
            <v>101.25</v>
          </cell>
          <cell r="E2920"/>
          <cell r="F2920">
            <v>0.96500000000000008</v>
          </cell>
          <cell r="G2920"/>
          <cell r="H2920">
            <v>100.285</v>
          </cell>
          <cell r="I2920">
            <v>0</v>
          </cell>
          <cell r="J2920"/>
          <cell r="K2920">
            <v>100.285</v>
          </cell>
          <cell r="L2920">
            <v>0</v>
          </cell>
          <cell r="M2920"/>
          <cell r="N2920">
            <v>100.285</v>
          </cell>
          <cell r="O2920">
            <v>101.25</v>
          </cell>
          <cell r="P2920"/>
          <cell r="Q2920"/>
          <cell r="R2920">
            <v>100.285</v>
          </cell>
        </row>
        <row r="2921">
          <cell r="A2921">
            <v>8</v>
          </cell>
          <cell r="B2921">
            <v>101</v>
          </cell>
          <cell r="C2921"/>
          <cell r="D2921">
            <v>101</v>
          </cell>
          <cell r="E2921"/>
          <cell r="F2921">
            <v>0.96500000000000008</v>
          </cell>
          <cell r="G2921"/>
          <cell r="H2921">
            <v>100.035</v>
          </cell>
          <cell r="I2921">
            <v>0</v>
          </cell>
          <cell r="J2921"/>
          <cell r="K2921">
            <v>100.035</v>
          </cell>
          <cell r="L2921">
            <v>0</v>
          </cell>
          <cell r="M2921"/>
          <cell r="N2921">
            <v>100.035</v>
          </cell>
          <cell r="O2921">
            <v>101</v>
          </cell>
          <cell r="P2921"/>
          <cell r="Q2921"/>
          <cell r="R2921">
            <v>100.035</v>
          </cell>
        </row>
        <row r="2922">
          <cell r="A2922">
            <v>7.875</v>
          </cell>
          <cell r="B2922">
            <v>100.75</v>
          </cell>
          <cell r="C2922"/>
          <cell r="D2922">
            <v>100.75</v>
          </cell>
          <cell r="E2922"/>
          <cell r="F2922">
            <v>0.96500000000000008</v>
          </cell>
          <cell r="G2922"/>
          <cell r="H2922">
            <v>99.784999999999997</v>
          </cell>
          <cell r="I2922">
            <v>0</v>
          </cell>
          <cell r="J2922"/>
          <cell r="K2922">
            <v>99.784999999999997</v>
          </cell>
          <cell r="L2922">
            <v>0</v>
          </cell>
          <cell r="M2922"/>
          <cell r="N2922">
            <v>99.784999999999997</v>
          </cell>
          <cell r="O2922">
            <v>100.75</v>
          </cell>
          <cell r="P2922"/>
          <cell r="Q2922"/>
          <cell r="R2922">
            <v>99.784999999999997</v>
          </cell>
        </row>
        <row r="2923">
          <cell r="A2923">
            <v>7.75</v>
          </cell>
          <cell r="B2923">
            <v>100.5</v>
          </cell>
          <cell r="C2923"/>
          <cell r="D2923">
            <v>100.5</v>
          </cell>
          <cell r="E2923"/>
          <cell r="F2923">
            <v>0.96500000000000008</v>
          </cell>
          <cell r="G2923"/>
          <cell r="H2923">
            <v>99.534999999999997</v>
          </cell>
          <cell r="I2923">
            <v>0</v>
          </cell>
          <cell r="J2923"/>
          <cell r="K2923">
            <v>99.534999999999997</v>
          </cell>
          <cell r="L2923">
            <v>0</v>
          </cell>
          <cell r="M2923"/>
          <cell r="N2923">
            <v>99.534999999999997</v>
          </cell>
          <cell r="O2923">
            <v>100.5</v>
          </cell>
          <cell r="P2923"/>
          <cell r="Q2923"/>
          <cell r="R2923">
            <v>99.534999999999997</v>
          </cell>
        </row>
        <row r="2924">
          <cell r="A2924">
            <v>7.625</v>
          </cell>
          <cell r="B2924">
            <v>100.125</v>
          </cell>
          <cell r="C2924"/>
          <cell r="D2924">
            <v>100.125</v>
          </cell>
          <cell r="E2924"/>
          <cell r="F2924">
            <v>0.96500000000000008</v>
          </cell>
          <cell r="G2924"/>
          <cell r="H2924">
            <v>99.16</v>
          </cell>
          <cell r="I2924">
            <v>0</v>
          </cell>
          <cell r="J2924"/>
          <cell r="K2924">
            <v>99.16</v>
          </cell>
          <cell r="L2924">
            <v>0</v>
          </cell>
          <cell r="M2924"/>
          <cell r="N2924">
            <v>99.16</v>
          </cell>
          <cell r="O2924">
            <v>100.125</v>
          </cell>
          <cell r="P2924"/>
          <cell r="Q2924"/>
          <cell r="R2924">
            <v>99.16</v>
          </cell>
        </row>
        <row r="2925">
          <cell r="A2925">
            <v>7.5</v>
          </cell>
          <cell r="B2925">
            <v>99.75</v>
          </cell>
          <cell r="C2925"/>
          <cell r="D2925">
            <v>99.75</v>
          </cell>
          <cell r="E2925"/>
          <cell r="F2925">
            <v>0.96500000000000008</v>
          </cell>
          <cell r="G2925"/>
          <cell r="H2925">
            <v>98.784999999999997</v>
          </cell>
          <cell r="I2925">
            <v>0</v>
          </cell>
          <cell r="J2925"/>
          <cell r="K2925">
            <v>98.784999999999997</v>
          </cell>
          <cell r="L2925">
            <v>0</v>
          </cell>
          <cell r="M2925"/>
          <cell r="N2925">
            <v>98.784999999999997</v>
          </cell>
          <cell r="O2925">
            <v>99.75</v>
          </cell>
          <cell r="P2925"/>
          <cell r="Q2925"/>
          <cell r="R2925">
            <v>98.784999999999997</v>
          </cell>
        </row>
        <row r="2926">
          <cell r="A2926">
            <v>7.375</v>
          </cell>
          <cell r="B2926">
            <v>99.375</v>
          </cell>
          <cell r="C2926"/>
          <cell r="D2926">
            <v>99.375</v>
          </cell>
          <cell r="E2926"/>
          <cell r="F2926">
            <v>0.96500000000000008</v>
          </cell>
          <cell r="G2926"/>
          <cell r="H2926">
            <v>98.41</v>
          </cell>
          <cell r="I2926">
            <v>0</v>
          </cell>
          <cell r="J2926"/>
          <cell r="K2926">
            <v>98.41</v>
          </cell>
          <cell r="L2926">
            <v>0</v>
          </cell>
          <cell r="M2926"/>
          <cell r="N2926">
            <v>98.41</v>
          </cell>
          <cell r="O2926">
            <v>99.375</v>
          </cell>
          <cell r="P2926"/>
          <cell r="Q2926"/>
          <cell r="R2926">
            <v>98.41</v>
          </cell>
        </row>
        <row r="2927">
          <cell r="A2927">
            <v>7.25</v>
          </cell>
          <cell r="B2927">
            <v>98.875</v>
          </cell>
          <cell r="C2927"/>
          <cell r="D2927">
            <v>98.875</v>
          </cell>
          <cell r="E2927"/>
          <cell r="F2927">
            <v>0.96500000000000008</v>
          </cell>
          <cell r="G2927"/>
          <cell r="H2927">
            <v>97.91</v>
          </cell>
          <cell r="I2927">
            <v>0</v>
          </cell>
          <cell r="J2927"/>
          <cell r="K2927">
            <v>97.91</v>
          </cell>
          <cell r="L2927">
            <v>0</v>
          </cell>
          <cell r="M2927"/>
          <cell r="N2927">
            <v>97.91</v>
          </cell>
          <cell r="O2927">
            <v>98.875</v>
          </cell>
          <cell r="P2927"/>
          <cell r="Q2927"/>
          <cell r="R2927">
            <v>97.91</v>
          </cell>
        </row>
        <row r="2928">
          <cell r="A2928">
            <v>7.125</v>
          </cell>
          <cell r="B2928">
            <v>98.25</v>
          </cell>
          <cell r="C2928"/>
          <cell r="D2928">
            <v>98.25</v>
          </cell>
          <cell r="E2928"/>
          <cell r="F2928">
            <v>0.96500000000000008</v>
          </cell>
          <cell r="G2928"/>
          <cell r="H2928">
            <v>97.284999999999997</v>
          </cell>
          <cell r="I2928">
            <v>0</v>
          </cell>
          <cell r="J2928"/>
          <cell r="K2928">
            <v>97.284999999999997</v>
          </cell>
          <cell r="L2928">
            <v>0</v>
          </cell>
          <cell r="M2928"/>
          <cell r="N2928">
            <v>97.284999999999997</v>
          </cell>
          <cell r="O2928">
            <v>98.25</v>
          </cell>
          <cell r="P2928"/>
          <cell r="Q2928"/>
          <cell r="R2928">
            <v>97.284999999999997</v>
          </cell>
        </row>
        <row r="2929">
          <cell r="A2929"/>
          <cell r="B2929"/>
          <cell r="C2929"/>
          <cell r="D2929">
            <v>0</v>
          </cell>
          <cell r="E2929"/>
          <cell r="F2929">
            <v>0.96500000000000008</v>
          </cell>
          <cell r="G2929"/>
          <cell r="H2929">
            <v>-0.96500000000000008</v>
          </cell>
          <cell r="I2929">
            <v>0</v>
          </cell>
          <cell r="J2929"/>
          <cell r="K2929">
            <v>-0.96500000000000008</v>
          </cell>
          <cell r="L2929">
            <v>0</v>
          </cell>
          <cell r="M2929"/>
          <cell r="N2929">
            <v>-0.96500000000000008</v>
          </cell>
          <cell r="O2929">
            <v>0</v>
          </cell>
          <cell r="P2929"/>
          <cell r="Q2929"/>
          <cell r="R2929">
            <v>-0.96500000000000008</v>
          </cell>
        </row>
        <row r="2930">
          <cell r="A2930"/>
          <cell r="B2930"/>
          <cell r="C2930"/>
          <cell r="D2930">
            <v>0</v>
          </cell>
          <cell r="E2930"/>
          <cell r="F2930">
            <v>0.96500000000000008</v>
          </cell>
          <cell r="G2930"/>
          <cell r="H2930">
            <v>-0.96500000000000008</v>
          </cell>
          <cell r="I2930">
            <v>0</v>
          </cell>
          <cell r="J2930"/>
          <cell r="K2930">
            <v>-0.96500000000000008</v>
          </cell>
          <cell r="L2930">
            <v>0</v>
          </cell>
          <cell r="M2930"/>
          <cell r="N2930">
            <v>-0.96500000000000008</v>
          </cell>
          <cell r="O2930">
            <v>0</v>
          </cell>
          <cell r="P2930"/>
          <cell r="Q2930"/>
          <cell r="R2930">
            <v>-0.96500000000000008</v>
          </cell>
        </row>
        <row r="2931">
          <cell r="A2931"/>
          <cell r="B2931"/>
          <cell r="C2931"/>
          <cell r="D2931"/>
          <cell r="E2931"/>
          <cell r="F2931"/>
          <cell r="G2931"/>
          <cell r="H2931"/>
          <cell r="I2931"/>
          <cell r="J2931"/>
          <cell r="K2931"/>
          <cell r="L2931"/>
          <cell r="M2931"/>
          <cell r="N2931"/>
          <cell r="O2931"/>
          <cell r="P2931"/>
          <cell r="Q2931"/>
          <cell r="R2931"/>
        </row>
        <row r="2932">
          <cell r="A2932"/>
          <cell r="B2932"/>
          <cell r="C2932"/>
          <cell r="D2932"/>
          <cell r="E2932"/>
          <cell r="F2932"/>
          <cell r="G2932"/>
          <cell r="H2932"/>
          <cell r="I2932"/>
          <cell r="J2932"/>
          <cell r="K2932"/>
          <cell r="L2932"/>
          <cell r="M2932"/>
          <cell r="N2932"/>
          <cell r="O2932"/>
          <cell r="P2932"/>
          <cell r="Q2932"/>
          <cell r="R2932"/>
        </row>
        <row r="2933">
          <cell r="A2933"/>
          <cell r="B2933"/>
          <cell r="C2933"/>
          <cell r="D2933"/>
          <cell r="E2933"/>
          <cell r="F2933"/>
          <cell r="G2933"/>
          <cell r="H2933"/>
          <cell r="I2933"/>
          <cell r="J2933"/>
          <cell r="K2933"/>
          <cell r="L2933"/>
          <cell r="M2933"/>
          <cell r="N2933"/>
          <cell r="O2933"/>
          <cell r="P2933"/>
          <cell r="Q2933"/>
          <cell r="R2933"/>
        </row>
        <row r="2934">
          <cell r="A2934"/>
          <cell r="B2934"/>
          <cell r="C2934"/>
          <cell r="D2934"/>
          <cell r="E2934"/>
          <cell r="F2934"/>
          <cell r="G2934"/>
          <cell r="H2934"/>
          <cell r="I2934"/>
          <cell r="J2934"/>
          <cell r="K2934"/>
          <cell r="L2934"/>
          <cell r="M2934"/>
          <cell r="N2934"/>
          <cell r="O2934"/>
          <cell r="P2934"/>
          <cell r="Q2934"/>
          <cell r="R2934"/>
        </row>
        <row r="2935">
          <cell r="A2935"/>
          <cell r="B2935"/>
          <cell r="C2935"/>
          <cell r="D2935"/>
          <cell r="E2935"/>
          <cell r="F2935"/>
          <cell r="G2935"/>
          <cell r="H2935"/>
          <cell r="I2935"/>
          <cell r="J2935"/>
          <cell r="K2935"/>
          <cell r="L2935"/>
          <cell r="M2935"/>
          <cell r="N2935"/>
          <cell r="O2935"/>
          <cell r="P2935"/>
          <cell r="Q2935"/>
          <cell r="R2935"/>
        </row>
        <row r="2936">
          <cell r="A2936"/>
          <cell r="B2936"/>
          <cell r="C2936"/>
          <cell r="D2936"/>
          <cell r="E2936"/>
          <cell r="F2936"/>
          <cell r="G2936"/>
          <cell r="H2936"/>
          <cell r="I2936"/>
          <cell r="J2936"/>
          <cell r="K2936"/>
          <cell r="L2936"/>
          <cell r="M2936"/>
          <cell r="N2936"/>
          <cell r="O2936"/>
          <cell r="P2936"/>
          <cell r="Q2936"/>
          <cell r="R2936">
            <v>0</v>
          </cell>
        </row>
        <row r="2937">
          <cell r="A2937"/>
          <cell r="B2937"/>
          <cell r="C2937"/>
          <cell r="D2937"/>
          <cell r="E2937"/>
          <cell r="F2937"/>
          <cell r="G2937"/>
          <cell r="H2937"/>
          <cell r="I2937"/>
          <cell r="J2937"/>
          <cell r="K2937"/>
          <cell r="L2937"/>
          <cell r="M2937"/>
          <cell r="N2937"/>
          <cell r="O2937"/>
          <cell r="P2937"/>
          <cell r="Q2937"/>
          <cell r="R2937">
            <v>0</v>
          </cell>
        </row>
        <row r="2938">
          <cell r="A2938"/>
          <cell r="B2938"/>
          <cell r="C2938"/>
          <cell r="D2938"/>
          <cell r="E2938"/>
          <cell r="F2938"/>
          <cell r="G2938"/>
          <cell r="H2938"/>
          <cell r="I2938"/>
          <cell r="J2938"/>
          <cell r="K2938"/>
          <cell r="L2938"/>
          <cell r="M2938"/>
          <cell r="N2938"/>
          <cell r="O2938"/>
          <cell r="P2938"/>
          <cell r="Q2938"/>
          <cell r="R2938">
            <v>0</v>
          </cell>
        </row>
        <row r="2939">
          <cell r="A2939"/>
          <cell r="B2939"/>
          <cell r="C2939"/>
          <cell r="D2939"/>
          <cell r="E2939"/>
          <cell r="F2939"/>
          <cell r="G2939"/>
          <cell r="H2939"/>
          <cell r="I2939"/>
          <cell r="J2939"/>
          <cell r="K2939"/>
          <cell r="L2939"/>
          <cell r="M2939"/>
          <cell r="N2939"/>
          <cell r="O2939"/>
          <cell r="P2939"/>
          <cell r="Q2939"/>
          <cell r="R2939">
            <v>0</v>
          </cell>
        </row>
        <row r="2940">
          <cell r="A2940"/>
          <cell r="B2940"/>
          <cell r="C2940"/>
          <cell r="D2940"/>
          <cell r="E2940"/>
          <cell r="F2940"/>
          <cell r="G2940"/>
          <cell r="H2940"/>
          <cell r="I2940"/>
          <cell r="J2940"/>
          <cell r="K2940"/>
          <cell r="L2940"/>
          <cell r="M2940"/>
          <cell r="N2940"/>
          <cell r="O2940"/>
          <cell r="P2940"/>
          <cell r="Q2940"/>
          <cell r="R2940">
            <v>0</v>
          </cell>
        </row>
        <row r="2941">
          <cell r="A2941"/>
          <cell r="B2941"/>
          <cell r="C2941"/>
          <cell r="D2941"/>
          <cell r="E2941"/>
          <cell r="F2941"/>
          <cell r="G2941"/>
          <cell r="H2941"/>
          <cell r="I2941"/>
          <cell r="J2941"/>
          <cell r="K2941"/>
          <cell r="L2941"/>
          <cell r="M2941"/>
          <cell r="N2941"/>
          <cell r="O2941"/>
          <cell r="P2941"/>
          <cell r="Q2941"/>
          <cell r="R2941">
            <v>0</v>
          </cell>
        </row>
        <row r="2942">
          <cell r="A2942"/>
          <cell r="B2942"/>
          <cell r="C2942"/>
          <cell r="D2942"/>
          <cell r="E2942"/>
          <cell r="F2942"/>
          <cell r="G2942"/>
          <cell r="H2942"/>
          <cell r="I2942"/>
          <cell r="J2942"/>
          <cell r="K2942"/>
          <cell r="L2942"/>
          <cell r="M2942"/>
          <cell r="N2942"/>
          <cell r="O2942"/>
          <cell r="P2942"/>
          <cell r="Q2942"/>
          <cell r="R2942">
            <v>0</v>
          </cell>
        </row>
        <row r="2943">
          <cell r="A2943"/>
          <cell r="B2943"/>
          <cell r="C2943"/>
          <cell r="D2943"/>
          <cell r="E2943"/>
          <cell r="F2943"/>
          <cell r="G2943"/>
          <cell r="H2943"/>
          <cell r="I2943"/>
          <cell r="J2943"/>
          <cell r="K2943"/>
          <cell r="L2943"/>
          <cell r="M2943"/>
          <cell r="N2943"/>
          <cell r="O2943"/>
          <cell r="P2943"/>
          <cell r="Q2943"/>
          <cell r="R2943"/>
        </row>
        <row r="2945">
          <cell r="A2945" t="str">
            <v>AIP_15</v>
          </cell>
          <cell r="B2945" t="str">
            <v>AIP</v>
          </cell>
          <cell r="C2945"/>
          <cell r="D2945"/>
          <cell r="E2945"/>
          <cell r="F2945"/>
          <cell r="G2945"/>
          <cell r="H2945"/>
          <cell r="I2945" t="str">
            <v>West Region</v>
          </cell>
          <cell r="J2945"/>
          <cell r="K2945"/>
          <cell r="L2945" t="str">
            <v>Midwest Region</v>
          </cell>
          <cell r="M2945"/>
          <cell r="N2945"/>
          <cell r="O2945" t="str">
            <v>Area 1</v>
          </cell>
          <cell r="P2945"/>
          <cell r="Q2945"/>
          <cell r="R2945"/>
        </row>
        <row r="2946">
          <cell r="A2946" t="str">
            <v>Note</v>
          </cell>
          <cell r="B2946" t="str">
            <v xml:space="preserve">Investor Price </v>
          </cell>
          <cell r="C2946"/>
          <cell r="D2946" t="str">
            <v>Inv Total</v>
          </cell>
          <cell r="E2946" t="str">
            <v>Corp MG</v>
          </cell>
          <cell r="F2946" t="str">
            <v>PRICE CHANGE</v>
          </cell>
          <cell r="G2946" t="str">
            <v>RATE CHANGE</v>
          </cell>
          <cell r="H2946" t="str">
            <v>Total Price w/Corp MG</v>
          </cell>
          <cell r="I2946" t="str">
            <v>Regional MG</v>
          </cell>
          <cell r="J2946" t="str">
            <v>Other adj</v>
          </cell>
          <cell r="K2946" t="str">
            <v>30 Day Price</v>
          </cell>
          <cell r="L2946" t="str">
            <v>Regional MG</v>
          </cell>
          <cell r="M2946" t="str">
            <v>Other Adj</v>
          </cell>
          <cell r="N2946" t="str">
            <v>30 Day Price</v>
          </cell>
          <cell r="O2946" t="str">
            <v>Inv Total</v>
          </cell>
          <cell r="P2946" t="str">
            <v>Corp MG</v>
          </cell>
          <cell r="Q2946" t="str">
            <v>Price Change</v>
          </cell>
          <cell r="R2946" t="str">
            <v>30 Day Price</v>
          </cell>
        </row>
        <row r="2947">
          <cell r="A2947">
            <v>8.25</v>
          </cell>
          <cell r="B2947">
            <v>101.5</v>
          </cell>
          <cell r="C2947"/>
          <cell r="D2947">
            <v>101.5</v>
          </cell>
          <cell r="E2947"/>
          <cell r="F2947">
            <v>0.96500000000000008</v>
          </cell>
          <cell r="G2947">
            <v>-0.75</v>
          </cell>
          <cell r="H2947">
            <v>100.535</v>
          </cell>
          <cell r="I2947">
            <v>0</v>
          </cell>
          <cell r="J2947"/>
          <cell r="K2947">
            <v>100.535</v>
          </cell>
          <cell r="L2947">
            <v>0</v>
          </cell>
          <cell r="M2947"/>
          <cell r="N2947">
            <v>100.535</v>
          </cell>
          <cell r="O2947">
            <v>101.5</v>
          </cell>
          <cell r="P2947"/>
          <cell r="Q2947"/>
          <cell r="R2947">
            <v>100.535</v>
          </cell>
        </row>
        <row r="2948">
          <cell r="A2948">
            <v>8.125</v>
          </cell>
          <cell r="B2948">
            <v>101.25</v>
          </cell>
          <cell r="C2948"/>
          <cell r="D2948">
            <v>101.25</v>
          </cell>
          <cell r="E2948"/>
          <cell r="F2948">
            <v>0.96500000000000008</v>
          </cell>
          <cell r="G2948"/>
          <cell r="H2948">
            <v>100.285</v>
          </cell>
          <cell r="I2948">
            <v>0</v>
          </cell>
          <cell r="J2948"/>
          <cell r="K2948">
            <v>100.285</v>
          </cell>
          <cell r="L2948">
            <v>0</v>
          </cell>
          <cell r="M2948"/>
          <cell r="N2948">
            <v>100.285</v>
          </cell>
          <cell r="O2948">
            <v>101.25</v>
          </cell>
          <cell r="P2948"/>
          <cell r="Q2948"/>
          <cell r="R2948">
            <v>100.285</v>
          </cell>
        </row>
        <row r="2949">
          <cell r="A2949">
            <v>8</v>
          </cell>
          <cell r="B2949">
            <v>101</v>
          </cell>
          <cell r="C2949"/>
          <cell r="D2949">
            <v>101</v>
          </cell>
          <cell r="E2949"/>
          <cell r="F2949">
            <v>0.96500000000000008</v>
          </cell>
          <cell r="G2949"/>
          <cell r="H2949">
            <v>100.035</v>
          </cell>
          <cell r="I2949">
            <v>0</v>
          </cell>
          <cell r="J2949"/>
          <cell r="K2949">
            <v>100.035</v>
          </cell>
          <cell r="L2949">
            <v>0</v>
          </cell>
          <cell r="M2949"/>
          <cell r="N2949">
            <v>100.035</v>
          </cell>
          <cell r="O2949">
            <v>101</v>
          </cell>
          <cell r="P2949"/>
          <cell r="Q2949"/>
          <cell r="R2949">
            <v>100.035</v>
          </cell>
        </row>
        <row r="2950">
          <cell r="A2950">
            <v>7.875</v>
          </cell>
          <cell r="B2950">
            <v>100.75</v>
          </cell>
          <cell r="C2950"/>
          <cell r="D2950">
            <v>100.75</v>
          </cell>
          <cell r="E2950"/>
          <cell r="F2950">
            <v>0.96500000000000008</v>
          </cell>
          <cell r="G2950"/>
          <cell r="H2950">
            <v>99.784999999999997</v>
          </cell>
          <cell r="I2950">
            <v>0</v>
          </cell>
          <cell r="J2950"/>
          <cell r="K2950">
            <v>99.784999999999997</v>
          </cell>
          <cell r="L2950">
            <v>0</v>
          </cell>
          <cell r="M2950"/>
          <cell r="N2950">
            <v>99.784999999999997</v>
          </cell>
          <cell r="O2950">
            <v>100.75</v>
          </cell>
          <cell r="P2950"/>
          <cell r="Q2950"/>
          <cell r="R2950">
            <v>99.784999999999997</v>
          </cell>
        </row>
        <row r="2951">
          <cell r="A2951">
            <v>7.75</v>
          </cell>
          <cell r="B2951">
            <v>100.5</v>
          </cell>
          <cell r="C2951"/>
          <cell r="D2951">
            <v>100.5</v>
          </cell>
          <cell r="E2951"/>
          <cell r="F2951">
            <v>0.96500000000000008</v>
          </cell>
          <cell r="G2951"/>
          <cell r="H2951">
            <v>99.534999999999997</v>
          </cell>
          <cell r="I2951">
            <v>0</v>
          </cell>
          <cell r="J2951"/>
          <cell r="K2951">
            <v>99.534999999999997</v>
          </cell>
          <cell r="L2951">
            <v>0</v>
          </cell>
          <cell r="M2951"/>
          <cell r="N2951">
            <v>99.534999999999997</v>
          </cell>
          <cell r="O2951">
            <v>100.5</v>
          </cell>
          <cell r="P2951"/>
          <cell r="Q2951"/>
          <cell r="R2951">
            <v>99.534999999999997</v>
          </cell>
        </row>
        <row r="2952">
          <cell r="A2952">
            <v>7.625</v>
          </cell>
          <cell r="B2952">
            <v>100.125</v>
          </cell>
          <cell r="C2952"/>
          <cell r="D2952">
            <v>100.125</v>
          </cell>
          <cell r="E2952"/>
          <cell r="F2952">
            <v>0.96500000000000008</v>
          </cell>
          <cell r="G2952"/>
          <cell r="H2952">
            <v>99.16</v>
          </cell>
          <cell r="I2952">
            <v>0</v>
          </cell>
          <cell r="J2952"/>
          <cell r="K2952">
            <v>99.16</v>
          </cell>
          <cell r="L2952">
            <v>0</v>
          </cell>
          <cell r="M2952"/>
          <cell r="N2952">
            <v>99.16</v>
          </cell>
          <cell r="O2952">
            <v>100.125</v>
          </cell>
          <cell r="P2952"/>
          <cell r="Q2952"/>
          <cell r="R2952">
            <v>99.16</v>
          </cell>
        </row>
        <row r="2953">
          <cell r="A2953">
            <v>7.5</v>
          </cell>
          <cell r="B2953">
            <v>99.75</v>
          </cell>
          <cell r="C2953"/>
          <cell r="D2953">
            <v>99.75</v>
          </cell>
          <cell r="E2953"/>
          <cell r="F2953">
            <v>0.96500000000000008</v>
          </cell>
          <cell r="G2953"/>
          <cell r="H2953">
            <v>98.784999999999997</v>
          </cell>
          <cell r="I2953">
            <v>0</v>
          </cell>
          <cell r="J2953"/>
          <cell r="K2953">
            <v>98.784999999999997</v>
          </cell>
          <cell r="L2953">
            <v>0</v>
          </cell>
          <cell r="M2953"/>
          <cell r="N2953">
            <v>98.784999999999997</v>
          </cell>
          <cell r="O2953">
            <v>99.75</v>
          </cell>
          <cell r="P2953"/>
          <cell r="Q2953"/>
          <cell r="R2953">
            <v>98.784999999999997</v>
          </cell>
        </row>
        <row r="2954">
          <cell r="A2954">
            <v>7.375</v>
          </cell>
          <cell r="B2954">
            <v>99.375</v>
          </cell>
          <cell r="C2954"/>
          <cell r="D2954">
            <v>99.375</v>
          </cell>
          <cell r="E2954"/>
          <cell r="F2954">
            <v>0.96500000000000008</v>
          </cell>
          <cell r="G2954"/>
          <cell r="H2954">
            <v>98.41</v>
          </cell>
          <cell r="I2954">
            <v>0</v>
          </cell>
          <cell r="J2954"/>
          <cell r="K2954">
            <v>98.41</v>
          </cell>
          <cell r="L2954">
            <v>0</v>
          </cell>
          <cell r="M2954"/>
          <cell r="N2954">
            <v>98.41</v>
          </cell>
          <cell r="O2954">
            <v>99.375</v>
          </cell>
          <cell r="P2954"/>
          <cell r="Q2954"/>
          <cell r="R2954">
            <v>98.41</v>
          </cell>
        </row>
        <row r="2955">
          <cell r="A2955">
            <v>7.25</v>
          </cell>
          <cell r="B2955">
            <v>98.875</v>
          </cell>
          <cell r="C2955"/>
          <cell r="D2955">
            <v>98.875</v>
          </cell>
          <cell r="E2955"/>
          <cell r="F2955">
            <v>0.96500000000000008</v>
          </cell>
          <cell r="G2955"/>
          <cell r="H2955">
            <v>97.91</v>
          </cell>
          <cell r="I2955">
            <v>0</v>
          </cell>
          <cell r="J2955"/>
          <cell r="K2955">
            <v>97.91</v>
          </cell>
          <cell r="L2955">
            <v>0</v>
          </cell>
          <cell r="M2955"/>
          <cell r="N2955">
            <v>97.91</v>
          </cell>
          <cell r="O2955">
            <v>98.875</v>
          </cell>
          <cell r="P2955"/>
          <cell r="Q2955"/>
          <cell r="R2955">
            <v>97.91</v>
          </cell>
        </row>
        <row r="2956">
          <cell r="A2956">
            <v>7.125</v>
          </cell>
          <cell r="B2956">
            <v>98.25</v>
          </cell>
          <cell r="C2956"/>
          <cell r="D2956">
            <v>98.25</v>
          </cell>
          <cell r="E2956"/>
          <cell r="F2956">
            <v>0.96500000000000008</v>
          </cell>
          <cell r="G2956"/>
          <cell r="H2956">
            <v>97.284999999999997</v>
          </cell>
          <cell r="I2956">
            <v>0</v>
          </cell>
          <cell r="J2956"/>
          <cell r="K2956">
            <v>97.284999999999997</v>
          </cell>
          <cell r="L2956">
            <v>0</v>
          </cell>
          <cell r="M2956"/>
          <cell r="N2956">
            <v>97.284999999999997</v>
          </cell>
          <cell r="O2956">
            <v>98.25</v>
          </cell>
          <cell r="P2956"/>
          <cell r="Q2956"/>
          <cell r="R2956">
            <v>97.284999999999997</v>
          </cell>
        </row>
        <row r="2957">
          <cell r="A2957"/>
          <cell r="B2957"/>
          <cell r="C2957"/>
          <cell r="D2957">
            <v>0</v>
          </cell>
          <cell r="E2957"/>
          <cell r="F2957">
            <v>0.96500000000000008</v>
          </cell>
          <cell r="G2957"/>
          <cell r="H2957">
            <v>-0.96500000000000008</v>
          </cell>
          <cell r="I2957">
            <v>0</v>
          </cell>
          <cell r="J2957"/>
          <cell r="K2957">
            <v>-0.96500000000000008</v>
          </cell>
          <cell r="L2957">
            <v>0</v>
          </cell>
          <cell r="M2957"/>
          <cell r="N2957">
            <v>-0.96500000000000008</v>
          </cell>
          <cell r="O2957">
            <v>0</v>
          </cell>
          <cell r="P2957"/>
          <cell r="Q2957"/>
          <cell r="R2957">
            <v>-0.96500000000000008</v>
          </cell>
        </row>
        <row r="2958">
          <cell r="A2958"/>
          <cell r="B2958"/>
          <cell r="C2958"/>
          <cell r="D2958">
            <v>0</v>
          </cell>
          <cell r="E2958"/>
          <cell r="F2958">
            <v>0.96500000000000008</v>
          </cell>
          <cell r="G2958"/>
          <cell r="H2958">
            <v>-0.96500000000000008</v>
          </cell>
          <cell r="I2958">
            <v>0</v>
          </cell>
          <cell r="J2958"/>
          <cell r="K2958">
            <v>-0.96500000000000008</v>
          </cell>
          <cell r="L2958">
            <v>0</v>
          </cell>
          <cell r="M2958"/>
          <cell r="N2958">
            <v>-0.96500000000000008</v>
          </cell>
          <cell r="O2958">
            <v>0</v>
          </cell>
          <cell r="P2958"/>
          <cell r="Q2958"/>
          <cell r="R2958">
            <v>-0.96500000000000008</v>
          </cell>
        </row>
        <row r="2959">
          <cell r="A2959"/>
          <cell r="B2959"/>
          <cell r="C2959"/>
          <cell r="D2959"/>
          <cell r="E2959"/>
          <cell r="F2959"/>
          <cell r="G2959"/>
          <cell r="H2959"/>
          <cell r="I2959"/>
          <cell r="J2959"/>
          <cell r="K2959"/>
          <cell r="L2959"/>
          <cell r="M2959"/>
          <cell r="N2959"/>
          <cell r="O2959"/>
          <cell r="P2959"/>
          <cell r="Q2959"/>
          <cell r="R2959"/>
        </row>
        <row r="2960">
          <cell r="A2960"/>
          <cell r="B2960"/>
          <cell r="C2960"/>
          <cell r="D2960"/>
          <cell r="E2960"/>
          <cell r="F2960"/>
          <cell r="G2960"/>
          <cell r="H2960"/>
          <cell r="I2960"/>
          <cell r="J2960"/>
          <cell r="K2960"/>
          <cell r="L2960"/>
          <cell r="M2960"/>
          <cell r="N2960"/>
          <cell r="O2960"/>
          <cell r="P2960"/>
          <cell r="Q2960"/>
          <cell r="R2960"/>
        </row>
        <row r="2961">
          <cell r="A2961"/>
          <cell r="B2961"/>
          <cell r="C2961"/>
          <cell r="D2961"/>
          <cell r="E2961"/>
          <cell r="F2961"/>
          <cell r="G2961"/>
          <cell r="H2961"/>
          <cell r="I2961"/>
          <cell r="J2961"/>
          <cell r="K2961"/>
          <cell r="L2961"/>
          <cell r="M2961"/>
          <cell r="N2961"/>
          <cell r="O2961"/>
          <cell r="P2961"/>
          <cell r="Q2961"/>
          <cell r="R2961"/>
        </row>
        <row r="2962">
          <cell r="A2962"/>
          <cell r="B2962"/>
          <cell r="C2962"/>
          <cell r="D2962"/>
          <cell r="E2962"/>
          <cell r="F2962"/>
          <cell r="G2962"/>
          <cell r="H2962"/>
          <cell r="I2962"/>
          <cell r="J2962"/>
          <cell r="K2962"/>
          <cell r="L2962"/>
          <cell r="M2962"/>
          <cell r="N2962"/>
          <cell r="O2962"/>
          <cell r="P2962"/>
          <cell r="Q2962"/>
          <cell r="R2962"/>
        </row>
        <row r="2963">
          <cell r="A2963"/>
          <cell r="B2963"/>
          <cell r="C2963"/>
          <cell r="D2963"/>
          <cell r="E2963"/>
          <cell r="F2963"/>
          <cell r="G2963"/>
          <cell r="H2963"/>
          <cell r="I2963"/>
          <cell r="J2963"/>
          <cell r="K2963"/>
          <cell r="L2963"/>
          <cell r="M2963"/>
          <cell r="N2963"/>
          <cell r="O2963"/>
          <cell r="P2963"/>
          <cell r="Q2963"/>
          <cell r="R2963"/>
        </row>
        <row r="2964">
          <cell r="A2964"/>
          <cell r="B2964"/>
          <cell r="C2964"/>
          <cell r="D2964"/>
          <cell r="E2964"/>
          <cell r="F2964"/>
          <cell r="G2964"/>
          <cell r="H2964"/>
          <cell r="I2964"/>
          <cell r="J2964"/>
          <cell r="K2964"/>
          <cell r="L2964"/>
          <cell r="M2964"/>
          <cell r="N2964"/>
          <cell r="O2964"/>
          <cell r="P2964"/>
          <cell r="Q2964"/>
          <cell r="R2964">
            <v>0</v>
          </cell>
        </row>
        <row r="2965">
          <cell r="A2965"/>
          <cell r="B2965"/>
          <cell r="C2965"/>
          <cell r="D2965"/>
          <cell r="E2965"/>
          <cell r="F2965"/>
          <cell r="G2965"/>
          <cell r="H2965"/>
          <cell r="I2965"/>
          <cell r="J2965"/>
          <cell r="K2965"/>
          <cell r="L2965"/>
          <cell r="M2965"/>
          <cell r="N2965"/>
          <cell r="O2965"/>
          <cell r="P2965"/>
          <cell r="Q2965"/>
          <cell r="R2965">
            <v>0</v>
          </cell>
        </row>
        <row r="2966">
          <cell r="A2966"/>
          <cell r="B2966"/>
          <cell r="C2966"/>
          <cell r="D2966"/>
          <cell r="E2966"/>
          <cell r="F2966"/>
          <cell r="G2966"/>
          <cell r="H2966"/>
          <cell r="I2966"/>
          <cell r="J2966"/>
          <cell r="K2966"/>
          <cell r="L2966"/>
          <cell r="M2966"/>
          <cell r="N2966"/>
          <cell r="O2966"/>
          <cell r="P2966"/>
          <cell r="Q2966"/>
          <cell r="R2966">
            <v>0</v>
          </cell>
        </row>
        <row r="2967">
          <cell r="A2967"/>
          <cell r="B2967"/>
          <cell r="C2967"/>
          <cell r="D2967"/>
          <cell r="E2967"/>
          <cell r="F2967"/>
          <cell r="G2967"/>
          <cell r="H2967"/>
          <cell r="I2967"/>
          <cell r="J2967"/>
          <cell r="K2967"/>
          <cell r="L2967"/>
          <cell r="M2967"/>
          <cell r="N2967"/>
          <cell r="O2967"/>
          <cell r="P2967"/>
          <cell r="Q2967"/>
          <cell r="R2967">
            <v>0</v>
          </cell>
        </row>
        <row r="2968">
          <cell r="A2968"/>
          <cell r="B2968"/>
          <cell r="C2968"/>
          <cell r="D2968"/>
          <cell r="E2968"/>
          <cell r="F2968"/>
          <cell r="G2968"/>
          <cell r="H2968"/>
          <cell r="I2968"/>
          <cell r="J2968"/>
          <cell r="K2968"/>
          <cell r="L2968"/>
          <cell r="M2968"/>
          <cell r="N2968"/>
          <cell r="O2968"/>
          <cell r="P2968"/>
          <cell r="Q2968"/>
          <cell r="R2968">
            <v>0</v>
          </cell>
        </row>
        <row r="2969">
          <cell r="A2969"/>
          <cell r="B2969"/>
          <cell r="C2969"/>
          <cell r="D2969"/>
          <cell r="E2969"/>
          <cell r="F2969"/>
          <cell r="G2969"/>
          <cell r="H2969"/>
          <cell r="I2969"/>
          <cell r="J2969"/>
          <cell r="K2969"/>
          <cell r="L2969"/>
          <cell r="M2969"/>
          <cell r="N2969"/>
          <cell r="O2969"/>
          <cell r="P2969"/>
          <cell r="Q2969"/>
          <cell r="R2969">
            <v>0</v>
          </cell>
        </row>
        <row r="2970">
          <cell r="A2970"/>
          <cell r="B2970"/>
          <cell r="C2970"/>
          <cell r="D2970"/>
          <cell r="E2970"/>
          <cell r="F2970"/>
          <cell r="G2970"/>
          <cell r="H2970"/>
          <cell r="I2970"/>
          <cell r="J2970"/>
          <cell r="K2970"/>
          <cell r="L2970"/>
          <cell r="M2970"/>
          <cell r="N2970"/>
          <cell r="O2970"/>
          <cell r="P2970"/>
          <cell r="Q2970"/>
          <cell r="R2970">
            <v>0</v>
          </cell>
        </row>
        <row r="2972">
          <cell r="A2972" t="str">
            <v>AIP_30</v>
          </cell>
          <cell r="B2972" t="str">
            <v>AIP</v>
          </cell>
          <cell r="C2972"/>
          <cell r="D2972"/>
          <cell r="E2972"/>
          <cell r="F2972"/>
          <cell r="G2972"/>
          <cell r="H2972"/>
          <cell r="I2972" t="str">
            <v>West Region</v>
          </cell>
          <cell r="J2972"/>
          <cell r="K2972"/>
          <cell r="L2972" t="str">
            <v>Midwest Region</v>
          </cell>
          <cell r="M2972"/>
          <cell r="N2972"/>
          <cell r="O2972" t="str">
            <v>Area 1</v>
          </cell>
          <cell r="P2972"/>
          <cell r="Q2972"/>
          <cell r="R2972"/>
        </row>
        <row r="2973">
          <cell r="A2973" t="str">
            <v>Note</v>
          </cell>
          <cell r="B2973" t="str">
            <v xml:space="preserve">Investor Price </v>
          </cell>
          <cell r="C2973"/>
          <cell r="D2973" t="str">
            <v>Inv Total</v>
          </cell>
          <cell r="E2973" t="str">
            <v>Corp MG</v>
          </cell>
          <cell r="F2973" t="str">
            <v>PRICE CHANGE</v>
          </cell>
          <cell r="G2973" t="str">
            <v>RATE CHANGE</v>
          </cell>
          <cell r="H2973" t="str">
            <v>Total Price w/Corp MG</v>
          </cell>
          <cell r="I2973" t="str">
            <v>Regional MG</v>
          </cell>
          <cell r="J2973" t="str">
            <v>Other adj</v>
          </cell>
          <cell r="K2973" t="str">
            <v>30 Day Price</v>
          </cell>
          <cell r="L2973" t="str">
            <v>Regional MG</v>
          </cell>
          <cell r="M2973" t="str">
            <v>Other Adj</v>
          </cell>
          <cell r="N2973" t="str">
            <v>30 Day Price</v>
          </cell>
          <cell r="O2973" t="str">
            <v>Inv Total</v>
          </cell>
          <cell r="P2973" t="str">
            <v>Corp MG</v>
          </cell>
          <cell r="Q2973" t="str">
            <v>Price Change</v>
          </cell>
          <cell r="R2973" t="str">
            <v>30 Day Price</v>
          </cell>
        </row>
        <row r="2974">
          <cell r="A2974">
            <v>8.25</v>
          </cell>
          <cell r="B2974">
            <v>101.5</v>
          </cell>
          <cell r="C2974"/>
          <cell r="D2974">
            <v>101.5</v>
          </cell>
          <cell r="E2974"/>
          <cell r="F2974">
            <v>0.96500000000000008</v>
          </cell>
          <cell r="G2974">
            <v>-0.75</v>
          </cell>
          <cell r="H2974">
            <v>100.535</v>
          </cell>
          <cell r="I2974">
            <v>0</v>
          </cell>
          <cell r="J2974"/>
          <cell r="K2974">
            <v>100.535</v>
          </cell>
          <cell r="L2974">
            <v>0</v>
          </cell>
          <cell r="M2974"/>
          <cell r="N2974">
            <v>100.535</v>
          </cell>
          <cell r="O2974">
            <v>101.5</v>
          </cell>
          <cell r="P2974"/>
          <cell r="Q2974"/>
          <cell r="R2974">
            <v>100.535</v>
          </cell>
        </row>
        <row r="2975">
          <cell r="A2975">
            <v>8.125</v>
          </cell>
          <cell r="B2975">
            <v>101.25</v>
          </cell>
          <cell r="C2975"/>
          <cell r="D2975">
            <v>101.25</v>
          </cell>
          <cell r="E2975"/>
          <cell r="F2975">
            <v>0.96500000000000008</v>
          </cell>
          <cell r="G2975"/>
          <cell r="H2975">
            <v>100.285</v>
          </cell>
          <cell r="I2975">
            <v>0</v>
          </cell>
          <cell r="J2975"/>
          <cell r="K2975">
            <v>100.285</v>
          </cell>
          <cell r="L2975">
            <v>0</v>
          </cell>
          <cell r="M2975"/>
          <cell r="N2975">
            <v>100.285</v>
          </cell>
          <cell r="O2975">
            <v>101.25</v>
          </cell>
          <cell r="P2975"/>
          <cell r="Q2975"/>
          <cell r="R2975">
            <v>100.285</v>
          </cell>
        </row>
        <row r="2976">
          <cell r="A2976">
            <v>8</v>
          </cell>
          <cell r="B2976">
            <v>101</v>
          </cell>
          <cell r="C2976"/>
          <cell r="D2976">
            <v>101</v>
          </cell>
          <cell r="E2976"/>
          <cell r="F2976">
            <v>0.96500000000000008</v>
          </cell>
          <cell r="G2976"/>
          <cell r="H2976">
            <v>100.035</v>
          </cell>
          <cell r="I2976">
            <v>0</v>
          </cell>
          <cell r="J2976"/>
          <cell r="K2976">
            <v>100.035</v>
          </cell>
          <cell r="L2976">
            <v>0</v>
          </cell>
          <cell r="M2976"/>
          <cell r="N2976">
            <v>100.035</v>
          </cell>
          <cell r="O2976">
            <v>101</v>
          </cell>
          <cell r="P2976"/>
          <cell r="Q2976"/>
          <cell r="R2976">
            <v>100.035</v>
          </cell>
        </row>
        <row r="2977">
          <cell r="A2977">
            <v>7.875</v>
          </cell>
          <cell r="B2977">
            <v>100.75</v>
          </cell>
          <cell r="C2977"/>
          <cell r="D2977">
            <v>100.75</v>
          </cell>
          <cell r="E2977"/>
          <cell r="F2977">
            <v>0.96500000000000008</v>
          </cell>
          <cell r="G2977"/>
          <cell r="H2977">
            <v>99.784999999999997</v>
          </cell>
          <cell r="I2977">
            <v>0</v>
          </cell>
          <cell r="J2977"/>
          <cell r="K2977">
            <v>99.784999999999997</v>
          </cell>
          <cell r="L2977">
            <v>0</v>
          </cell>
          <cell r="M2977"/>
          <cell r="N2977">
            <v>99.784999999999997</v>
          </cell>
          <cell r="O2977">
            <v>100.75</v>
          </cell>
          <cell r="P2977"/>
          <cell r="Q2977"/>
          <cell r="R2977">
            <v>99.784999999999997</v>
          </cell>
        </row>
        <row r="2978">
          <cell r="A2978">
            <v>7.75</v>
          </cell>
          <cell r="B2978">
            <v>100.5</v>
          </cell>
          <cell r="C2978"/>
          <cell r="D2978">
            <v>100.5</v>
          </cell>
          <cell r="E2978"/>
          <cell r="F2978">
            <v>0.96500000000000008</v>
          </cell>
          <cell r="G2978"/>
          <cell r="H2978">
            <v>99.534999999999997</v>
          </cell>
          <cell r="I2978">
            <v>0</v>
          </cell>
          <cell r="J2978"/>
          <cell r="K2978">
            <v>99.534999999999997</v>
          </cell>
          <cell r="L2978">
            <v>0</v>
          </cell>
          <cell r="M2978"/>
          <cell r="N2978">
            <v>99.534999999999997</v>
          </cell>
          <cell r="O2978">
            <v>100.5</v>
          </cell>
          <cell r="P2978"/>
          <cell r="Q2978"/>
          <cell r="R2978">
            <v>99.534999999999997</v>
          </cell>
        </row>
        <row r="2979">
          <cell r="A2979">
            <v>7.625</v>
          </cell>
          <cell r="B2979">
            <v>100.125</v>
          </cell>
          <cell r="C2979"/>
          <cell r="D2979">
            <v>100.125</v>
          </cell>
          <cell r="E2979"/>
          <cell r="F2979">
            <v>0.96500000000000008</v>
          </cell>
          <cell r="G2979"/>
          <cell r="H2979">
            <v>99.16</v>
          </cell>
          <cell r="I2979">
            <v>0</v>
          </cell>
          <cell r="J2979"/>
          <cell r="K2979">
            <v>99.16</v>
          </cell>
          <cell r="L2979">
            <v>0</v>
          </cell>
          <cell r="M2979"/>
          <cell r="N2979">
            <v>99.16</v>
          </cell>
          <cell r="O2979">
            <v>100.125</v>
          </cell>
          <cell r="P2979"/>
          <cell r="Q2979"/>
          <cell r="R2979">
            <v>99.16</v>
          </cell>
        </row>
        <row r="2980">
          <cell r="A2980">
            <v>7.5</v>
          </cell>
          <cell r="B2980">
            <v>99.75</v>
          </cell>
          <cell r="C2980"/>
          <cell r="D2980">
            <v>99.75</v>
          </cell>
          <cell r="E2980"/>
          <cell r="F2980">
            <v>0.96500000000000008</v>
          </cell>
          <cell r="G2980"/>
          <cell r="H2980">
            <v>98.784999999999997</v>
          </cell>
          <cell r="I2980">
            <v>0</v>
          </cell>
          <cell r="J2980"/>
          <cell r="K2980">
            <v>98.784999999999997</v>
          </cell>
          <cell r="L2980">
            <v>0</v>
          </cell>
          <cell r="M2980"/>
          <cell r="N2980">
            <v>98.784999999999997</v>
          </cell>
          <cell r="O2980">
            <v>99.75</v>
          </cell>
          <cell r="P2980"/>
          <cell r="Q2980"/>
          <cell r="R2980">
            <v>98.784999999999997</v>
          </cell>
        </row>
        <row r="2981">
          <cell r="A2981">
            <v>7.375</v>
          </cell>
          <cell r="B2981">
            <v>99.375</v>
          </cell>
          <cell r="C2981"/>
          <cell r="D2981">
            <v>99.375</v>
          </cell>
          <cell r="E2981"/>
          <cell r="F2981">
            <v>0.96500000000000008</v>
          </cell>
          <cell r="G2981"/>
          <cell r="H2981">
            <v>98.41</v>
          </cell>
          <cell r="I2981">
            <v>0</v>
          </cell>
          <cell r="J2981"/>
          <cell r="K2981">
            <v>98.41</v>
          </cell>
          <cell r="L2981">
            <v>0</v>
          </cell>
          <cell r="M2981"/>
          <cell r="N2981">
            <v>98.41</v>
          </cell>
          <cell r="O2981">
            <v>99.375</v>
          </cell>
          <cell r="P2981"/>
          <cell r="Q2981"/>
          <cell r="R2981">
            <v>98.41</v>
          </cell>
        </row>
        <row r="2982">
          <cell r="A2982">
            <v>7.25</v>
          </cell>
          <cell r="B2982">
            <v>98.875</v>
          </cell>
          <cell r="C2982"/>
          <cell r="D2982">
            <v>98.875</v>
          </cell>
          <cell r="E2982"/>
          <cell r="F2982">
            <v>0.96500000000000008</v>
          </cell>
          <cell r="G2982"/>
          <cell r="H2982">
            <v>97.91</v>
          </cell>
          <cell r="I2982">
            <v>0</v>
          </cell>
          <cell r="J2982"/>
          <cell r="K2982">
            <v>97.91</v>
          </cell>
          <cell r="L2982">
            <v>0</v>
          </cell>
          <cell r="M2982"/>
          <cell r="N2982">
            <v>97.91</v>
          </cell>
          <cell r="O2982">
            <v>98.875</v>
          </cell>
          <cell r="P2982"/>
          <cell r="Q2982"/>
          <cell r="R2982">
            <v>97.91</v>
          </cell>
        </row>
        <row r="2983">
          <cell r="A2983">
            <v>7.125</v>
          </cell>
          <cell r="B2983">
            <v>98.25</v>
          </cell>
          <cell r="C2983"/>
          <cell r="D2983">
            <v>98.25</v>
          </cell>
          <cell r="E2983"/>
          <cell r="F2983">
            <v>0.96500000000000008</v>
          </cell>
          <cell r="G2983"/>
          <cell r="H2983">
            <v>97.284999999999997</v>
          </cell>
          <cell r="I2983">
            <v>0</v>
          </cell>
          <cell r="J2983"/>
          <cell r="K2983">
            <v>97.284999999999997</v>
          </cell>
          <cell r="L2983">
            <v>0</v>
          </cell>
          <cell r="M2983"/>
          <cell r="N2983">
            <v>97.284999999999997</v>
          </cell>
          <cell r="O2983">
            <v>98.25</v>
          </cell>
          <cell r="P2983"/>
          <cell r="Q2983"/>
          <cell r="R2983">
            <v>97.284999999999997</v>
          </cell>
        </row>
        <row r="2984">
          <cell r="A2984"/>
          <cell r="B2984"/>
          <cell r="C2984"/>
          <cell r="D2984">
            <v>0</v>
          </cell>
          <cell r="E2984"/>
          <cell r="F2984">
            <v>0.96500000000000008</v>
          </cell>
          <cell r="G2984"/>
          <cell r="H2984">
            <v>-0.96500000000000008</v>
          </cell>
          <cell r="I2984">
            <v>0</v>
          </cell>
          <cell r="J2984"/>
          <cell r="K2984">
            <v>-0.96500000000000008</v>
          </cell>
          <cell r="L2984">
            <v>0</v>
          </cell>
          <cell r="M2984"/>
          <cell r="N2984">
            <v>-0.96500000000000008</v>
          </cell>
          <cell r="O2984">
            <v>0</v>
          </cell>
          <cell r="P2984"/>
          <cell r="Q2984"/>
          <cell r="R2984">
            <v>-0.96500000000000008</v>
          </cell>
        </row>
        <row r="2985">
          <cell r="A2985"/>
          <cell r="B2985"/>
          <cell r="C2985"/>
          <cell r="D2985"/>
          <cell r="E2985"/>
          <cell r="F2985"/>
          <cell r="G2985"/>
          <cell r="H2985"/>
          <cell r="I2985"/>
          <cell r="J2985"/>
          <cell r="K2985"/>
          <cell r="L2985"/>
          <cell r="M2985"/>
          <cell r="N2985"/>
          <cell r="O2985"/>
          <cell r="P2985"/>
          <cell r="Q2985"/>
          <cell r="R2985"/>
        </row>
        <row r="2986">
          <cell r="A2986"/>
          <cell r="B2986"/>
          <cell r="C2986"/>
          <cell r="D2986"/>
          <cell r="E2986"/>
          <cell r="F2986"/>
          <cell r="G2986"/>
          <cell r="H2986"/>
          <cell r="I2986"/>
          <cell r="J2986"/>
          <cell r="K2986"/>
          <cell r="L2986"/>
          <cell r="M2986"/>
          <cell r="N2986"/>
          <cell r="O2986"/>
          <cell r="P2986"/>
          <cell r="Q2986"/>
          <cell r="R2986"/>
        </row>
        <row r="2987">
          <cell r="A2987"/>
          <cell r="B2987"/>
          <cell r="C2987"/>
          <cell r="D2987"/>
          <cell r="E2987"/>
          <cell r="F2987"/>
          <cell r="G2987"/>
          <cell r="H2987"/>
          <cell r="I2987"/>
          <cell r="J2987"/>
          <cell r="K2987"/>
          <cell r="L2987"/>
          <cell r="M2987"/>
          <cell r="N2987"/>
          <cell r="O2987"/>
          <cell r="P2987"/>
          <cell r="Q2987"/>
          <cell r="R2987"/>
        </row>
        <row r="2988">
          <cell r="A2988"/>
          <cell r="B2988"/>
          <cell r="C2988"/>
          <cell r="D2988"/>
          <cell r="E2988"/>
          <cell r="F2988"/>
          <cell r="G2988"/>
          <cell r="H2988"/>
          <cell r="I2988"/>
          <cell r="J2988"/>
          <cell r="K2988"/>
          <cell r="L2988"/>
          <cell r="M2988"/>
          <cell r="N2988"/>
          <cell r="O2988"/>
          <cell r="P2988"/>
          <cell r="Q2988"/>
          <cell r="R2988"/>
        </row>
        <row r="2989">
          <cell r="A2989"/>
          <cell r="B2989"/>
          <cell r="C2989"/>
          <cell r="D2989"/>
          <cell r="E2989"/>
          <cell r="F2989"/>
          <cell r="G2989"/>
          <cell r="H2989"/>
          <cell r="I2989"/>
          <cell r="J2989"/>
          <cell r="K2989"/>
          <cell r="L2989"/>
          <cell r="M2989"/>
          <cell r="N2989"/>
          <cell r="O2989"/>
          <cell r="P2989"/>
          <cell r="Q2989"/>
          <cell r="R2989"/>
        </row>
        <row r="2990">
          <cell r="A2990"/>
          <cell r="B2990"/>
          <cell r="C2990"/>
          <cell r="D2990"/>
          <cell r="E2990"/>
          <cell r="F2990"/>
          <cell r="G2990"/>
          <cell r="H2990"/>
          <cell r="I2990"/>
          <cell r="J2990"/>
          <cell r="K2990"/>
          <cell r="L2990"/>
          <cell r="M2990"/>
          <cell r="N2990"/>
          <cell r="O2990"/>
          <cell r="P2990"/>
          <cell r="Q2990"/>
          <cell r="R2990"/>
        </row>
        <row r="2991">
          <cell r="A2991"/>
          <cell r="B2991"/>
          <cell r="C2991"/>
          <cell r="D2991"/>
          <cell r="E2991"/>
          <cell r="F2991"/>
          <cell r="G2991"/>
          <cell r="H2991"/>
          <cell r="I2991"/>
          <cell r="J2991"/>
          <cell r="K2991"/>
          <cell r="L2991"/>
          <cell r="M2991"/>
          <cell r="N2991"/>
          <cell r="O2991"/>
          <cell r="P2991"/>
          <cell r="Q2991"/>
          <cell r="R2991"/>
        </row>
        <row r="2992">
          <cell r="A2992"/>
          <cell r="B2992"/>
          <cell r="C2992"/>
          <cell r="D2992"/>
          <cell r="E2992"/>
          <cell r="F2992"/>
          <cell r="G2992"/>
          <cell r="H2992"/>
          <cell r="I2992"/>
          <cell r="J2992"/>
          <cell r="K2992"/>
          <cell r="L2992"/>
          <cell r="M2992"/>
          <cell r="N2992"/>
          <cell r="O2992"/>
          <cell r="P2992"/>
          <cell r="Q2992"/>
          <cell r="R2992"/>
        </row>
        <row r="2993">
          <cell r="A2993"/>
          <cell r="B2993"/>
          <cell r="C2993"/>
          <cell r="D2993"/>
          <cell r="E2993"/>
          <cell r="F2993"/>
          <cell r="G2993"/>
          <cell r="H2993"/>
          <cell r="I2993"/>
          <cell r="J2993"/>
          <cell r="K2993"/>
          <cell r="L2993"/>
          <cell r="M2993"/>
          <cell r="N2993"/>
          <cell r="O2993"/>
          <cell r="P2993"/>
          <cell r="Q2993"/>
          <cell r="R2993"/>
        </row>
        <row r="2994">
          <cell r="A2994"/>
          <cell r="B2994"/>
          <cell r="C2994"/>
          <cell r="D2994"/>
          <cell r="E2994"/>
          <cell r="F2994"/>
          <cell r="G2994"/>
          <cell r="H2994"/>
          <cell r="I2994"/>
          <cell r="J2994"/>
          <cell r="K2994"/>
          <cell r="L2994"/>
          <cell r="M2994"/>
          <cell r="N2994"/>
          <cell r="O2994"/>
          <cell r="P2994"/>
          <cell r="Q2994"/>
          <cell r="R2994"/>
        </row>
        <row r="2995">
          <cell r="A2995"/>
          <cell r="B2995"/>
          <cell r="C2995"/>
          <cell r="D2995"/>
          <cell r="E2995"/>
          <cell r="F2995"/>
          <cell r="G2995"/>
          <cell r="H2995"/>
          <cell r="I2995"/>
          <cell r="J2995"/>
          <cell r="K2995"/>
          <cell r="L2995"/>
          <cell r="M2995"/>
          <cell r="N2995"/>
          <cell r="O2995"/>
          <cell r="P2995"/>
          <cell r="Q2995"/>
          <cell r="R2995"/>
        </row>
        <row r="2996">
          <cell r="A2996"/>
          <cell r="B2996"/>
          <cell r="C2996"/>
          <cell r="D2996"/>
          <cell r="E2996"/>
          <cell r="F2996"/>
          <cell r="G2996"/>
          <cell r="H2996"/>
          <cell r="I2996"/>
          <cell r="J2996"/>
          <cell r="K2996"/>
          <cell r="L2996"/>
          <cell r="M2996"/>
          <cell r="N2996"/>
          <cell r="O2996"/>
          <cell r="P2996"/>
          <cell r="Q2996"/>
          <cell r="R2996"/>
        </row>
        <row r="2997">
          <cell r="A2997"/>
          <cell r="B2997"/>
          <cell r="C2997"/>
          <cell r="D2997"/>
          <cell r="E2997"/>
          <cell r="F2997"/>
          <cell r="G2997"/>
          <cell r="H2997"/>
          <cell r="I2997"/>
          <cell r="J2997"/>
          <cell r="K2997"/>
          <cell r="L2997"/>
          <cell r="M2997"/>
          <cell r="N2997"/>
          <cell r="O2997"/>
          <cell r="P2997"/>
          <cell r="Q2997"/>
          <cell r="R2997"/>
        </row>
        <row r="3000">
          <cell r="A3000">
            <v>8.125</v>
          </cell>
          <cell r="B3000">
            <v>102.5</v>
          </cell>
          <cell r="C3000"/>
          <cell r="D3000">
            <v>102.5</v>
          </cell>
          <cell r="E3000"/>
          <cell r="F3000">
            <v>1.0900000000000001</v>
          </cell>
          <cell r="G3000">
            <v>0</v>
          </cell>
          <cell r="H3000">
            <v>101.41</v>
          </cell>
          <cell r="I3000">
            <v>0</v>
          </cell>
          <cell r="J3000"/>
          <cell r="K3000">
            <v>101.41</v>
          </cell>
        </row>
        <row r="3001">
          <cell r="A3001">
            <v>8</v>
          </cell>
          <cell r="B3001">
            <v>102.375</v>
          </cell>
          <cell r="C3001"/>
          <cell r="D3001">
            <v>102.375</v>
          </cell>
          <cell r="E3001"/>
          <cell r="F3001">
            <v>1.0900000000000001</v>
          </cell>
          <cell r="G3001"/>
          <cell r="H3001">
            <v>101.285</v>
          </cell>
          <cell r="I3001">
            <v>0</v>
          </cell>
          <cell r="J3001"/>
          <cell r="K3001">
            <v>101.285</v>
          </cell>
        </row>
        <row r="3002">
          <cell r="A3002">
            <v>7.875</v>
          </cell>
          <cell r="B3002">
            <v>102.22499999999999</v>
          </cell>
          <cell r="C3002"/>
          <cell r="D3002">
            <v>102.22499999999999</v>
          </cell>
          <cell r="E3002"/>
          <cell r="F3002">
            <v>1.0900000000000001</v>
          </cell>
          <cell r="G3002"/>
          <cell r="H3002">
            <v>101.13499999999999</v>
          </cell>
          <cell r="I3002">
            <v>0</v>
          </cell>
          <cell r="J3002"/>
          <cell r="K3002">
            <v>101.13499999999999</v>
          </cell>
        </row>
        <row r="3003">
          <cell r="A3003">
            <v>7.75</v>
          </cell>
          <cell r="B3003">
            <v>102.05</v>
          </cell>
          <cell r="C3003"/>
          <cell r="D3003">
            <v>102.05</v>
          </cell>
          <cell r="E3003"/>
          <cell r="F3003">
            <v>1.0900000000000001</v>
          </cell>
          <cell r="G3003"/>
          <cell r="H3003">
            <v>100.96</v>
          </cell>
          <cell r="I3003">
            <v>0</v>
          </cell>
          <cell r="J3003"/>
          <cell r="K3003">
            <v>100.96</v>
          </cell>
        </row>
        <row r="3004">
          <cell r="A3004">
            <v>7.625</v>
          </cell>
          <cell r="B3004">
            <v>101.85</v>
          </cell>
          <cell r="C3004"/>
          <cell r="D3004">
            <v>101.85</v>
          </cell>
          <cell r="E3004"/>
          <cell r="F3004">
            <v>1.0900000000000001</v>
          </cell>
          <cell r="G3004"/>
          <cell r="H3004">
            <v>100.75999999999999</v>
          </cell>
          <cell r="I3004">
            <v>0</v>
          </cell>
          <cell r="J3004"/>
          <cell r="K3004">
            <v>100.75999999999999</v>
          </cell>
        </row>
        <row r="3005">
          <cell r="A3005">
            <v>7.5</v>
          </cell>
          <cell r="B3005">
            <v>101.625</v>
          </cell>
          <cell r="C3005"/>
          <cell r="D3005">
            <v>101.625</v>
          </cell>
          <cell r="E3005"/>
          <cell r="F3005">
            <v>1.0900000000000001</v>
          </cell>
          <cell r="G3005"/>
          <cell r="H3005">
            <v>100.535</v>
          </cell>
          <cell r="I3005">
            <v>0</v>
          </cell>
          <cell r="J3005"/>
          <cell r="K3005">
            <v>100.535</v>
          </cell>
        </row>
        <row r="3006">
          <cell r="A3006">
            <v>7.375</v>
          </cell>
          <cell r="B3006">
            <v>101.375</v>
          </cell>
          <cell r="C3006"/>
          <cell r="D3006">
            <v>101.375</v>
          </cell>
          <cell r="E3006"/>
          <cell r="F3006">
            <v>1.0900000000000001</v>
          </cell>
          <cell r="G3006"/>
          <cell r="H3006">
            <v>100.285</v>
          </cell>
          <cell r="I3006">
            <v>0</v>
          </cell>
          <cell r="J3006"/>
          <cell r="K3006">
            <v>100.285</v>
          </cell>
        </row>
        <row r="3007">
          <cell r="A3007">
            <v>7.25</v>
          </cell>
          <cell r="B3007">
            <v>101.1</v>
          </cell>
          <cell r="C3007"/>
          <cell r="D3007">
            <v>101.1</v>
          </cell>
          <cell r="E3007"/>
          <cell r="F3007">
            <v>1.0900000000000001</v>
          </cell>
          <cell r="G3007"/>
          <cell r="H3007">
            <v>100.00999999999999</v>
          </cell>
          <cell r="I3007">
            <v>0</v>
          </cell>
          <cell r="J3007"/>
          <cell r="K3007">
            <v>100.00999999999999</v>
          </cell>
        </row>
        <row r="3008">
          <cell r="A3008">
            <v>7.125</v>
          </cell>
          <cell r="B3008">
            <v>100.8</v>
          </cell>
          <cell r="C3008"/>
          <cell r="D3008">
            <v>100.8</v>
          </cell>
          <cell r="E3008"/>
          <cell r="F3008">
            <v>1.0900000000000001</v>
          </cell>
          <cell r="G3008"/>
          <cell r="H3008">
            <v>99.71</v>
          </cell>
          <cell r="I3008">
            <v>0</v>
          </cell>
          <cell r="J3008"/>
          <cell r="K3008">
            <v>99.71</v>
          </cell>
        </row>
        <row r="3009">
          <cell r="A3009">
            <v>7</v>
          </cell>
          <cell r="B3009">
            <v>100.47499999999999</v>
          </cell>
          <cell r="C3009"/>
          <cell r="D3009">
            <v>100.47499999999999</v>
          </cell>
          <cell r="E3009"/>
          <cell r="F3009">
            <v>1.0900000000000001</v>
          </cell>
          <cell r="G3009"/>
          <cell r="H3009">
            <v>99.384999999999991</v>
          </cell>
          <cell r="I3009">
            <v>0</v>
          </cell>
          <cell r="J3009"/>
          <cell r="K3009">
            <v>99.384999999999991</v>
          </cell>
        </row>
        <row r="3010">
          <cell r="A3010">
            <v>6.875</v>
          </cell>
          <cell r="B3010">
            <v>100.125</v>
          </cell>
          <cell r="C3010"/>
          <cell r="D3010">
            <v>100.125</v>
          </cell>
          <cell r="E3010"/>
          <cell r="F3010">
            <v>1.0900000000000001</v>
          </cell>
          <cell r="G3010"/>
          <cell r="H3010">
            <v>99.034999999999997</v>
          </cell>
          <cell r="I3010">
            <v>0</v>
          </cell>
          <cell r="J3010"/>
          <cell r="K3010">
            <v>99.034999999999997</v>
          </cell>
        </row>
        <row r="3011">
          <cell r="A3011">
            <v>6.75</v>
          </cell>
          <cell r="B3011">
            <v>99.75</v>
          </cell>
          <cell r="C3011"/>
          <cell r="D3011">
            <v>99.75</v>
          </cell>
          <cell r="E3011"/>
          <cell r="F3011">
            <v>1.0900000000000001</v>
          </cell>
          <cell r="G3011"/>
          <cell r="H3011">
            <v>98.66</v>
          </cell>
          <cell r="I3011">
            <v>0</v>
          </cell>
          <cell r="J3011"/>
          <cell r="K3011">
            <v>98.66</v>
          </cell>
        </row>
        <row r="3012">
          <cell r="A3012">
            <v>6.625</v>
          </cell>
          <cell r="B3012">
            <v>99.375</v>
          </cell>
          <cell r="C3012"/>
          <cell r="D3012">
            <v>99.375</v>
          </cell>
          <cell r="E3012"/>
          <cell r="F3012">
            <v>1.0900000000000001</v>
          </cell>
          <cell r="G3012"/>
          <cell r="H3012">
            <v>98.284999999999997</v>
          </cell>
          <cell r="I3012">
            <v>0</v>
          </cell>
          <cell r="J3012"/>
          <cell r="K3012">
            <v>98.284999999999997</v>
          </cell>
        </row>
        <row r="3013">
          <cell r="A3013">
            <v>6.5</v>
          </cell>
          <cell r="B3013">
            <v>99</v>
          </cell>
          <cell r="C3013"/>
          <cell r="D3013">
            <v>99</v>
          </cell>
          <cell r="E3013"/>
          <cell r="F3013">
            <v>1.0900000000000001</v>
          </cell>
          <cell r="G3013"/>
          <cell r="H3013">
            <v>97.91</v>
          </cell>
          <cell r="I3013">
            <v>0</v>
          </cell>
          <cell r="J3013"/>
          <cell r="K3013">
            <v>97.91</v>
          </cell>
        </row>
        <row r="3014">
          <cell r="A3014">
            <v>6.375</v>
          </cell>
          <cell r="B3014">
            <v>98.5</v>
          </cell>
          <cell r="C3014"/>
          <cell r="D3014">
            <v>98.5</v>
          </cell>
          <cell r="E3014"/>
          <cell r="F3014">
            <v>1.0900000000000001</v>
          </cell>
          <cell r="G3014"/>
          <cell r="H3014">
            <v>97.41</v>
          </cell>
          <cell r="I3014">
            <v>0</v>
          </cell>
          <cell r="J3014"/>
          <cell r="K3014">
            <v>97.41</v>
          </cell>
        </row>
        <row r="3015">
          <cell r="A3015">
            <v>6.25</v>
          </cell>
          <cell r="B3015">
            <v>98</v>
          </cell>
          <cell r="C3015"/>
          <cell r="D3015">
            <v>98</v>
          </cell>
          <cell r="E3015"/>
          <cell r="F3015">
            <v>1.0900000000000001</v>
          </cell>
          <cell r="G3015"/>
          <cell r="H3015">
            <v>96.91</v>
          </cell>
          <cell r="I3015">
            <v>0</v>
          </cell>
          <cell r="J3015"/>
          <cell r="K3015">
            <v>96.91</v>
          </cell>
        </row>
        <row r="3016">
          <cell r="A3016">
            <v>6.125</v>
          </cell>
          <cell r="B3016">
            <v>97.5</v>
          </cell>
          <cell r="C3016"/>
          <cell r="D3016">
            <v>97.5</v>
          </cell>
          <cell r="E3016"/>
          <cell r="F3016">
            <v>1.0900000000000001</v>
          </cell>
          <cell r="G3016"/>
          <cell r="H3016">
            <v>96.41</v>
          </cell>
          <cell r="I3016">
            <v>0</v>
          </cell>
          <cell r="J3016"/>
          <cell r="K3016">
            <v>96.41</v>
          </cell>
        </row>
        <row r="3017">
          <cell r="A3017">
            <v>6</v>
          </cell>
          <cell r="B3017">
            <v>97</v>
          </cell>
          <cell r="C3017"/>
          <cell r="D3017">
            <v>97</v>
          </cell>
          <cell r="E3017"/>
          <cell r="F3017">
            <v>1.0900000000000001</v>
          </cell>
          <cell r="G3017"/>
          <cell r="H3017">
            <v>95.91</v>
          </cell>
          <cell r="I3017">
            <v>0</v>
          </cell>
          <cell r="J3017"/>
          <cell r="K3017">
            <v>95.91</v>
          </cell>
        </row>
        <row r="3018">
          <cell r="A3018">
            <v>5.875</v>
          </cell>
          <cell r="B3018">
            <v>96.375</v>
          </cell>
          <cell r="C3018"/>
          <cell r="D3018">
            <v>96.375</v>
          </cell>
          <cell r="E3018"/>
          <cell r="F3018">
            <v>1.0900000000000001</v>
          </cell>
          <cell r="G3018"/>
          <cell r="H3018">
            <v>95.284999999999997</v>
          </cell>
          <cell r="I3018">
            <v>0</v>
          </cell>
          <cell r="J3018"/>
          <cell r="K3018">
            <v>95.284999999999997</v>
          </cell>
        </row>
        <row r="3019">
          <cell r="A3019">
            <v>5.75</v>
          </cell>
          <cell r="B3019">
            <v>95.75</v>
          </cell>
          <cell r="C3019"/>
          <cell r="D3019">
            <v>95.75</v>
          </cell>
          <cell r="E3019"/>
          <cell r="F3019">
            <v>1.0900000000000001</v>
          </cell>
          <cell r="G3019"/>
          <cell r="H3019">
            <v>94.66</v>
          </cell>
          <cell r="I3019">
            <v>0</v>
          </cell>
          <cell r="J3019"/>
          <cell r="K3019">
            <v>94.66</v>
          </cell>
        </row>
        <row r="3020">
          <cell r="A3020"/>
          <cell r="B3020"/>
          <cell r="C3020"/>
          <cell r="D3020">
            <v>0</v>
          </cell>
          <cell r="E3020"/>
          <cell r="F3020">
            <v>1.0900000000000001</v>
          </cell>
          <cell r="G3020"/>
          <cell r="H3020">
            <v>-1.0900000000000001</v>
          </cell>
          <cell r="I3020">
            <v>0</v>
          </cell>
          <cell r="J3020"/>
          <cell r="K3020">
            <v>-1.0900000000000001</v>
          </cell>
        </row>
        <row r="3021">
          <cell r="A3021"/>
          <cell r="B3021"/>
          <cell r="C3021"/>
          <cell r="D3021">
            <v>0</v>
          </cell>
          <cell r="E3021"/>
          <cell r="F3021">
            <v>1.0900000000000001</v>
          </cell>
          <cell r="G3021"/>
          <cell r="H3021">
            <v>-1.0900000000000001</v>
          </cell>
          <cell r="I3021">
            <v>0</v>
          </cell>
          <cell r="J3021"/>
          <cell r="K3021">
            <v>-1.0900000000000001</v>
          </cell>
        </row>
        <row r="3022">
          <cell r="A3022"/>
          <cell r="B3022"/>
          <cell r="C3022"/>
          <cell r="D3022"/>
          <cell r="E3022"/>
          <cell r="F3022"/>
          <cell r="G3022"/>
          <cell r="H3022"/>
          <cell r="I3022"/>
          <cell r="J3022"/>
          <cell r="K3022"/>
        </row>
        <row r="3023">
          <cell r="A3023"/>
          <cell r="B3023"/>
          <cell r="C3023"/>
          <cell r="D3023"/>
          <cell r="E3023"/>
          <cell r="F3023"/>
          <cell r="G3023"/>
          <cell r="H3023"/>
          <cell r="I3023"/>
          <cell r="J3023"/>
          <cell r="K3023"/>
        </row>
        <row r="3024">
          <cell r="A3024"/>
          <cell r="B3024"/>
          <cell r="C3024"/>
          <cell r="D3024"/>
          <cell r="E3024"/>
          <cell r="F3024"/>
          <cell r="G3024"/>
          <cell r="H3024"/>
          <cell r="I3024"/>
          <cell r="J3024"/>
          <cell r="K3024"/>
        </row>
        <row r="3025">
          <cell r="A3025"/>
          <cell r="B3025"/>
          <cell r="C3025"/>
          <cell r="D3025"/>
          <cell r="E3025"/>
          <cell r="F3025"/>
          <cell r="G3025"/>
          <cell r="H3025"/>
          <cell r="I3025"/>
          <cell r="J3025"/>
          <cell r="K3025"/>
        </row>
        <row r="3026">
          <cell r="A3026"/>
          <cell r="B3026"/>
          <cell r="C3026"/>
          <cell r="D3026"/>
          <cell r="E3026"/>
          <cell r="F3026"/>
          <cell r="G3026"/>
          <cell r="H3026"/>
          <cell r="I3026"/>
          <cell r="J3026"/>
          <cell r="K3026"/>
        </row>
        <row r="3027">
          <cell r="A3027"/>
          <cell r="B3027"/>
          <cell r="C3027"/>
          <cell r="D3027"/>
          <cell r="E3027"/>
          <cell r="F3027"/>
          <cell r="G3027"/>
          <cell r="H3027"/>
          <cell r="I3027"/>
          <cell r="J3027"/>
          <cell r="K3027"/>
        </row>
        <row r="3028">
          <cell r="A3028"/>
          <cell r="B3028"/>
          <cell r="C3028"/>
          <cell r="D3028"/>
          <cell r="E3028"/>
          <cell r="F3028"/>
          <cell r="G3028"/>
          <cell r="H3028"/>
          <cell r="I3028"/>
          <cell r="J3028"/>
          <cell r="K3028"/>
        </row>
        <row r="3052">
          <cell r="A3052">
            <v>7.25</v>
          </cell>
          <cell r="B3052">
            <v>103.5</v>
          </cell>
          <cell r="C3052">
            <v>0.45126029552525859</v>
          </cell>
          <cell r="D3052">
            <v>103.95126029552526</v>
          </cell>
          <cell r="E3052">
            <v>-0.12000000000000005</v>
          </cell>
          <cell r="F3052">
            <v>0</v>
          </cell>
          <cell r="G3052">
            <v>0</v>
          </cell>
          <cell r="H3052">
            <v>104.07126029552526</v>
          </cell>
          <cell r="I3052">
            <v>0</v>
          </cell>
          <cell r="J3052"/>
          <cell r="K3052">
            <v>104.07126029552526</v>
          </cell>
        </row>
        <row r="3053">
          <cell r="A3053">
            <v>7.125</v>
          </cell>
          <cell r="B3053">
            <v>103.256</v>
          </cell>
          <cell r="C3053">
            <v>0.47062189133641386</v>
          </cell>
          <cell r="D3053">
            <v>103.72662189133641</v>
          </cell>
          <cell r="E3053">
            <v>-0.12000000000000005</v>
          </cell>
          <cell r="F3053">
            <v>0</v>
          </cell>
          <cell r="G3053">
            <v>0</v>
          </cell>
          <cell r="H3053">
            <v>103.84662189133641</v>
          </cell>
          <cell r="I3053">
            <v>0</v>
          </cell>
          <cell r="J3053"/>
          <cell r="K3053">
            <v>103.84662189133641</v>
          </cell>
        </row>
        <row r="3054">
          <cell r="A3054">
            <v>7</v>
          </cell>
          <cell r="B3054">
            <v>103.577</v>
          </cell>
          <cell r="C3054">
            <v>0.49203982005500169</v>
          </cell>
          <cell r="D3054">
            <v>104.069039820055</v>
          </cell>
          <cell r="E3054">
            <v>-0.12000000000000005</v>
          </cell>
          <cell r="F3054">
            <v>0</v>
          </cell>
          <cell r="G3054">
            <v>0</v>
          </cell>
          <cell r="H3054">
            <v>104.189039820055</v>
          </cell>
          <cell r="I3054">
            <v>0</v>
          </cell>
          <cell r="J3054"/>
          <cell r="K3054">
            <v>104.189039820055</v>
          </cell>
        </row>
        <row r="3055">
          <cell r="A3055">
            <v>6.875</v>
          </cell>
          <cell r="B3055">
            <v>103.336</v>
          </cell>
          <cell r="C3055">
            <v>0.51534093630826339</v>
          </cell>
          <cell r="D3055">
            <v>103.85134093630826</v>
          </cell>
          <cell r="E3055">
            <v>-0.12000000000000005</v>
          </cell>
          <cell r="F3055">
            <v>0</v>
          </cell>
          <cell r="G3055">
            <v>0</v>
          </cell>
          <cell r="H3055">
            <v>103.97134093630827</v>
          </cell>
          <cell r="I3055">
            <v>0</v>
          </cell>
          <cell r="J3055"/>
          <cell r="K3055">
            <v>103.97134093630827</v>
          </cell>
        </row>
        <row r="3056">
          <cell r="A3056">
            <v>6.75</v>
          </cell>
          <cell r="B3056">
            <v>103.06699999999999</v>
          </cell>
          <cell r="C3056">
            <v>0.54025908368989306</v>
          </cell>
          <cell r="D3056">
            <v>103.60725908368988</v>
          </cell>
          <cell r="E3056">
            <v>-0.12000000000000005</v>
          </cell>
          <cell r="F3056">
            <v>0</v>
          </cell>
          <cell r="G3056">
            <v>0</v>
          </cell>
          <cell r="H3056">
            <v>103.72725908368989</v>
          </cell>
          <cell r="I3056">
            <v>0</v>
          </cell>
          <cell r="J3056"/>
          <cell r="K3056">
            <v>103.72725908368989</v>
          </cell>
        </row>
        <row r="3057">
          <cell r="A3057">
            <v>6.625</v>
          </cell>
          <cell r="B3057">
            <v>102.824</v>
          </cell>
          <cell r="C3057">
            <v>0.56610484962926122</v>
          </cell>
          <cell r="D3057">
            <v>103.39010484962925</v>
          </cell>
          <cell r="E3057">
            <v>-0.12000000000000005</v>
          </cell>
          <cell r="F3057">
            <v>0</v>
          </cell>
          <cell r="G3057">
            <v>0</v>
          </cell>
          <cell r="H3057">
            <v>103.51010484962926</v>
          </cell>
          <cell r="I3057">
            <v>0</v>
          </cell>
          <cell r="J3057"/>
          <cell r="K3057">
            <v>103.51010484962926</v>
          </cell>
        </row>
        <row r="3058">
          <cell r="A3058">
            <v>6.5</v>
          </cell>
          <cell r="B3058">
            <v>102.574</v>
          </cell>
          <cell r="C3058">
            <v>0.5949705107690505</v>
          </cell>
          <cell r="D3058">
            <v>103.16897051076904</v>
          </cell>
          <cell r="E3058">
            <v>-0.12000000000000005</v>
          </cell>
          <cell r="F3058">
            <v>0</v>
          </cell>
          <cell r="G3058">
            <v>0</v>
          </cell>
          <cell r="H3058">
            <v>103.28897051076905</v>
          </cell>
          <cell r="I3058">
            <v>0</v>
          </cell>
          <cell r="J3058"/>
          <cell r="K3058">
            <v>103.28897051076905</v>
          </cell>
        </row>
        <row r="3059">
          <cell r="A3059">
            <v>6.375</v>
          </cell>
          <cell r="B3059">
            <v>102.303</v>
          </cell>
          <cell r="C3059">
            <v>0.6285438397576335</v>
          </cell>
          <cell r="D3059">
            <v>102.93154383975764</v>
          </cell>
          <cell r="E3059">
            <v>-0.12000000000000005</v>
          </cell>
          <cell r="F3059">
            <v>0</v>
          </cell>
          <cell r="G3059">
            <v>0</v>
          </cell>
          <cell r="H3059">
            <v>103.05154383975764</v>
          </cell>
          <cell r="I3059">
            <v>0</v>
          </cell>
          <cell r="J3059"/>
          <cell r="K3059">
            <v>103.05154383975764</v>
          </cell>
        </row>
        <row r="3060">
          <cell r="A3060">
            <v>6.25</v>
          </cell>
          <cell r="B3060">
            <v>101.97799999999999</v>
          </cell>
          <cell r="C3060">
            <v>0.66507419526604572</v>
          </cell>
          <cell r="D3060">
            <v>102.64307419526604</v>
          </cell>
          <cell r="E3060">
            <v>-0.12000000000000005</v>
          </cell>
          <cell r="F3060">
            <v>0</v>
          </cell>
          <cell r="G3060">
            <v>0</v>
          </cell>
          <cell r="H3060">
            <v>102.76307419526604</v>
          </cell>
          <cell r="I3060">
            <v>0</v>
          </cell>
          <cell r="J3060"/>
          <cell r="K3060">
            <v>102.76307419526604</v>
          </cell>
        </row>
        <row r="3061">
          <cell r="A3061">
            <v>6.125</v>
          </cell>
          <cell r="B3061">
            <v>101.625</v>
          </cell>
          <cell r="C3061">
            <v>0.70193159693787899</v>
          </cell>
          <cell r="D3061">
            <v>102.32693159693788</v>
          </cell>
          <cell r="E3061">
            <v>-0.12000000000000005</v>
          </cell>
          <cell r="F3061">
            <v>0</v>
          </cell>
          <cell r="G3061">
            <v>0</v>
          </cell>
          <cell r="H3061">
            <v>102.44693159693789</v>
          </cell>
          <cell r="I3061">
            <v>0</v>
          </cell>
          <cell r="J3061"/>
          <cell r="K3061">
            <v>102.44693159693789</v>
          </cell>
        </row>
        <row r="3062">
          <cell r="A3062">
            <v>6</v>
          </cell>
          <cell r="B3062">
            <v>101.328</v>
          </cell>
          <cell r="C3062">
            <v>0.7345453709174955</v>
          </cell>
          <cell r="D3062">
            <v>102.0625453709175</v>
          </cell>
          <cell r="E3062">
            <v>-0.12000000000000005</v>
          </cell>
          <cell r="F3062">
            <v>0</v>
          </cell>
          <cell r="G3062">
            <v>0</v>
          </cell>
          <cell r="H3062">
            <v>102.18254537091751</v>
          </cell>
          <cell r="I3062">
            <v>0</v>
          </cell>
          <cell r="J3062"/>
          <cell r="K3062">
            <v>102.18254537091751</v>
          </cell>
        </row>
        <row r="3063">
          <cell r="A3063">
            <v>5.875</v>
          </cell>
          <cell r="B3063">
            <v>101.032</v>
          </cell>
          <cell r="C3063">
            <v>0.76241864753888955</v>
          </cell>
          <cell r="D3063">
            <v>101.79441864753889</v>
          </cell>
          <cell r="E3063">
            <v>-0.12000000000000005</v>
          </cell>
          <cell r="F3063">
            <v>0</v>
          </cell>
          <cell r="G3063">
            <v>0</v>
          </cell>
          <cell r="H3063">
            <v>101.91441864753889</v>
          </cell>
          <cell r="I3063">
            <v>0</v>
          </cell>
          <cell r="J3063"/>
          <cell r="K3063">
            <v>101.91441864753889</v>
          </cell>
        </row>
        <row r="3064">
          <cell r="A3064">
            <v>5.75</v>
          </cell>
          <cell r="B3064">
            <v>100.60899999999999</v>
          </cell>
          <cell r="C3064">
            <v>0.7840574002214834</v>
          </cell>
          <cell r="D3064">
            <v>101.39305740022148</v>
          </cell>
          <cell r="E3064">
            <v>-0.12000000000000005</v>
          </cell>
          <cell r="F3064">
            <v>0</v>
          </cell>
          <cell r="G3064">
            <v>0</v>
          </cell>
          <cell r="H3064">
            <v>101.51305740022148</v>
          </cell>
          <cell r="I3064">
            <v>0</v>
          </cell>
          <cell r="J3064"/>
          <cell r="K3064">
            <v>101.51305740022148</v>
          </cell>
        </row>
        <row r="3065">
          <cell r="A3065">
            <v>5.625</v>
          </cell>
          <cell r="B3065">
            <v>100.26900000000001</v>
          </cell>
          <cell r="C3065">
            <v>0.80157641302291993</v>
          </cell>
          <cell r="D3065">
            <v>101.07057641302292</v>
          </cell>
          <cell r="E3065">
            <v>-0.12000000000000005</v>
          </cell>
          <cell r="F3065">
            <v>0</v>
          </cell>
          <cell r="G3065">
            <v>0</v>
          </cell>
          <cell r="H3065">
            <v>101.19057641302292</v>
          </cell>
          <cell r="I3065">
            <v>0</v>
          </cell>
          <cell r="J3065"/>
          <cell r="K3065">
            <v>101.19057641302292</v>
          </cell>
        </row>
        <row r="3066">
          <cell r="A3066">
            <v>5.5</v>
          </cell>
          <cell r="B3066">
            <v>100.536</v>
          </cell>
          <cell r="C3066">
            <v>0.81675711880623858</v>
          </cell>
          <cell r="D3066">
            <v>101.35275711880624</v>
          </cell>
          <cell r="E3066">
            <v>-0.12000000000000005</v>
          </cell>
          <cell r="F3066">
            <v>0</v>
          </cell>
          <cell r="G3066">
            <v>0</v>
          </cell>
          <cell r="H3066">
            <v>101.47275711880624</v>
          </cell>
          <cell r="I3066">
            <v>0</v>
          </cell>
          <cell r="J3066"/>
          <cell r="K3066">
            <v>101.47275711880624</v>
          </cell>
        </row>
        <row r="3067">
          <cell r="A3067">
            <v>5.375</v>
          </cell>
          <cell r="B3067">
            <v>100.175</v>
          </cell>
          <cell r="C3067">
            <v>0.83182030861649348</v>
          </cell>
          <cell r="D3067">
            <v>101.0068203086165</v>
          </cell>
          <cell r="E3067">
            <v>-0.12000000000000005</v>
          </cell>
          <cell r="F3067">
            <v>0</v>
          </cell>
          <cell r="G3067">
            <v>0</v>
          </cell>
          <cell r="H3067">
            <v>101.1268203086165</v>
          </cell>
          <cell r="I3067">
            <v>0</v>
          </cell>
          <cell r="J3067"/>
          <cell r="K3067">
            <v>101.1268203086165</v>
          </cell>
        </row>
        <row r="3068">
          <cell r="A3068">
            <v>5.25</v>
          </cell>
          <cell r="B3068">
            <v>99.822000000000003</v>
          </cell>
          <cell r="C3068">
            <v>0.84620950695123665</v>
          </cell>
          <cell r="D3068">
            <v>100.66820950695124</v>
          </cell>
          <cell r="E3068">
            <v>-0.12000000000000005</v>
          </cell>
          <cell r="F3068">
            <v>0</v>
          </cell>
          <cell r="G3068">
            <v>0</v>
          </cell>
          <cell r="H3068">
            <v>100.78820950695125</v>
          </cell>
          <cell r="I3068">
            <v>0</v>
          </cell>
          <cell r="J3068"/>
          <cell r="K3068">
            <v>100.78820950695125</v>
          </cell>
        </row>
        <row r="3069">
          <cell r="A3069">
            <v>5.125</v>
          </cell>
          <cell r="B3069">
            <v>99.495999999999995</v>
          </cell>
          <cell r="C3069">
            <v>0.85597412571712739</v>
          </cell>
          <cell r="D3069">
            <v>100.35197412571712</v>
          </cell>
          <cell r="E3069">
            <v>-0.12000000000000005</v>
          </cell>
          <cell r="F3069">
            <v>0</v>
          </cell>
          <cell r="G3069">
            <v>0</v>
          </cell>
          <cell r="H3069">
            <v>100.47197412571713</v>
          </cell>
          <cell r="I3069">
            <v>0</v>
          </cell>
          <cell r="J3069"/>
          <cell r="K3069">
            <v>100.47197412571713</v>
          </cell>
        </row>
        <row r="3070">
          <cell r="A3070">
            <v>5</v>
          </cell>
          <cell r="B3070">
            <v>99.328000000000003</v>
          </cell>
          <cell r="C3070">
            <v>0.86578115344577855</v>
          </cell>
          <cell r="D3070">
            <v>100.19378115344578</v>
          </cell>
          <cell r="E3070">
            <v>-0.12000000000000005</v>
          </cell>
          <cell r="F3070">
            <v>0</v>
          </cell>
          <cell r="G3070">
            <v>0</v>
          </cell>
          <cell r="H3070">
            <v>100.31378115344579</v>
          </cell>
          <cell r="I3070">
            <v>0</v>
          </cell>
          <cell r="J3070"/>
          <cell r="K3070">
            <v>100.31378115344579</v>
          </cell>
        </row>
        <row r="3071">
          <cell r="A3071">
            <v>4.875</v>
          </cell>
          <cell r="B3071">
            <v>98.953000000000003</v>
          </cell>
          <cell r="C3071">
            <v>0.87464002628506887</v>
          </cell>
          <cell r="D3071">
            <v>99.827640026285067</v>
          </cell>
          <cell r="E3071">
            <v>-0.12000000000000005</v>
          </cell>
          <cell r="F3071">
            <v>0</v>
          </cell>
          <cell r="G3071">
            <v>0</v>
          </cell>
          <cell r="H3071">
            <v>99.947640026285072</v>
          </cell>
          <cell r="I3071">
            <v>0</v>
          </cell>
          <cell r="J3071"/>
          <cell r="K3071">
            <v>99.947640026285072</v>
          </cell>
        </row>
        <row r="3072">
          <cell r="A3072">
            <v>4.75</v>
          </cell>
          <cell r="B3072">
            <v>98.557000000000002</v>
          </cell>
          <cell r="C3072">
            <v>0.88318360139067431</v>
          </cell>
          <cell r="D3072">
            <v>99.440183601390672</v>
          </cell>
          <cell r="E3072">
            <v>-0.12000000000000005</v>
          </cell>
          <cell r="F3072">
            <v>0</v>
          </cell>
          <cell r="G3072">
            <v>0</v>
          </cell>
          <cell r="H3072">
            <v>99.560183601390676</v>
          </cell>
          <cell r="I3072">
            <v>0</v>
          </cell>
          <cell r="J3072"/>
          <cell r="K3072">
            <v>99.560183601390676</v>
          </cell>
        </row>
        <row r="3073">
          <cell r="A3073">
            <v>4.625</v>
          </cell>
          <cell r="B3073">
            <v>98.113</v>
          </cell>
          <cell r="C3073">
            <v>0.88945483888891885</v>
          </cell>
          <cell r="D3073">
            <v>99.002454838888923</v>
          </cell>
          <cell r="E3073">
            <v>-0.12000000000000005</v>
          </cell>
          <cell r="F3073">
            <v>0</v>
          </cell>
          <cell r="G3073">
            <v>0</v>
          </cell>
          <cell r="H3073">
            <v>99.122454838888927</v>
          </cell>
          <cell r="I3073">
            <v>0</v>
          </cell>
          <cell r="J3073"/>
          <cell r="K3073">
            <v>99.122454838888927</v>
          </cell>
        </row>
        <row r="3074">
          <cell r="A3074">
            <v>4.5</v>
          </cell>
          <cell r="B3074">
            <v>97.251000000000005</v>
          </cell>
          <cell r="C3074">
            <v>0.89644086220944363</v>
          </cell>
          <cell r="D3074">
            <v>98.14744086220945</v>
          </cell>
          <cell r="E3074">
            <v>-0.12000000000000005</v>
          </cell>
          <cell r="F3074">
            <v>0</v>
          </cell>
          <cell r="G3074">
            <v>0</v>
          </cell>
          <cell r="H3074">
            <v>98.267440862209455</v>
          </cell>
          <cell r="I3074">
            <v>0</v>
          </cell>
          <cell r="J3074"/>
          <cell r="K3074">
            <v>98.267440862209455</v>
          </cell>
        </row>
        <row r="3075">
          <cell r="A3075">
            <v>4.375</v>
          </cell>
          <cell r="B3075">
            <v>96.703000000000003</v>
          </cell>
          <cell r="C3075">
            <v>0.9026944802008624</v>
          </cell>
          <cell r="D3075">
            <v>97.605694480200867</v>
          </cell>
          <cell r="E3075">
            <v>-0.12000000000000005</v>
          </cell>
          <cell r="F3075">
            <v>0</v>
          </cell>
          <cell r="G3075">
            <v>0</v>
          </cell>
          <cell r="H3075">
            <v>97.725694480200872</v>
          </cell>
          <cell r="I3075">
            <v>0</v>
          </cell>
          <cell r="J3075"/>
          <cell r="K3075">
            <v>97.725694480200872</v>
          </cell>
        </row>
        <row r="3076">
          <cell r="A3076">
            <v>4.25</v>
          </cell>
          <cell r="B3076">
            <v>96.153999999999996</v>
          </cell>
          <cell r="C3076">
            <v>0.90825048699029087</v>
          </cell>
          <cell r="D3076">
            <v>97.062250486990294</v>
          </cell>
          <cell r="E3076">
            <v>-0.12000000000000005</v>
          </cell>
          <cell r="F3076">
            <v>0</v>
          </cell>
          <cell r="G3076">
            <v>0</v>
          </cell>
          <cell r="H3076">
            <v>97.182250486990299</v>
          </cell>
          <cell r="I3076">
            <v>0</v>
          </cell>
          <cell r="J3076"/>
          <cell r="K3076">
            <v>97.182250486990299</v>
          </cell>
        </row>
        <row r="3077">
          <cell r="A3077">
            <v>4.125</v>
          </cell>
          <cell r="B3077">
            <v>95.606999999999999</v>
          </cell>
          <cell r="C3077">
            <v>0.91177224234387866</v>
          </cell>
          <cell r="D3077">
            <v>96.518772242343871</v>
          </cell>
          <cell r="E3077">
            <v>-0.12000000000000005</v>
          </cell>
          <cell r="F3077">
            <v>0</v>
          </cell>
          <cell r="G3077">
            <v>0</v>
          </cell>
          <cell r="H3077">
            <v>96.638772242343876</v>
          </cell>
          <cell r="I3077">
            <v>0</v>
          </cell>
          <cell r="J3077"/>
          <cell r="K3077">
            <v>96.638772242343876</v>
          </cell>
        </row>
        <row r="3347">
          <cell r="A3347">
            <v>7.75</v>
          </cell>
          <cell r="B3347">
            <v>104.38590000000001</v>
          </cell>
          <cell r="C3347">
            <v>0.60012653450037634</v>
          </cell>
          <cell r="D3347">
            <v>104.98602653450038</v>
          </cell>
          <cell r="E3347">
            <v>0.31</v>
          </cell>
          <cell r="F3347">
            <v>0.375</v>
          </cell>
          <cell r="G3347">
            <v>0</v>
          </cell>
          <cell r="H3347">
            <v>104.30102653450038</v>
          </cell>
          <cell r="I3347">
            <v>0</v>
          </cell>
          <cell r="J3347"/>
          <cell r="K3347">
            <v>104.30102653450038</v>
          </cell>
        </row>
        <row r="3348">
          <cell r="A3348">
            <v>7.625</v>
          </cell>
          <cell r="B3348">
            <v>104.3659</v>
          </cell>
          <cell r="C3348">
            <v>0.65472031167613554</v>
          </cell>
          <cell r="D3348">
            <v>105.02062031167613</v>
          </cell>
          <cell r="E3348">
            <v>0.31</v>
          </cell>
          <cell r="F3348">
            <v>0.375</v>
          </cell>
          <cell r="G3348">
            <v>0</v>
          </cell>
          <cell r="H3348">
            <v>104.33562031167612</v>
          </cell>
          <cell r="I3348">
            <v>0</v>
          </cell>
          <cell r="J3348"/>
          <cell r="K3348">
            <v>104.33562031167612</v>
          </cell>
        </row>
        <row r="3349">
          <cell r="A3349">
            <v>7.5</v>
          </cell>
          <cell r="B3349">
            <v>104.0809</v>
          </cell>
          <cell r="C3349">
            <v>0.71320601804099537</v>
          </cell>
          <cell r="D3349">
            <v>104.79410601804099</v>
          </cell>
          <cell r="E3349">
            <v>0.31</v>
          </cell>
          <cell r="F3349">
            <v>0.375</v>
          </cell>
          <cell r="G3349">
            <v>0</v>
          </cell>
          <cell r="H3349">
            <v>104.10910601804099</v>
          </cell>
          <cell r="I3349">
            <v>0</v>
          </cell>
          <cell r="J3349"/>
          <cell r="K3349">
            <v>104.10910601804099</v>
          </cell>
        </row>
        <row r="3350">
          <cell r="A3350">
            <v>7.375</v>
          </cell>
          <cell r="B3350">
            <v>103.7509</v>
          </cell>
          <cell r="C3350">
            <v>0.7747793530222602</v>
          </cell>
          <cell r="D3350">
            <v>104.52567935302226</v>
          </cell>
          <cell r="E3350">
            <v>0.31</v>
          </cell>
          <cell r="F3350">
            <v>0.375</v>
          </cell>
          <cell r="G3350">
            <v>0</v>
          </cell>
          <cell r="H3350">
            <v>103.84067935302225</v>
          </cell>
          <cell r="I3350">
            <v>0</v>
          </cell>
          <cell r="J3350"/>
          <cell r="K3350">
            <v>103.84067935302225</v>
          </cell>
        </row>
        <row r="3351">
          <cell r="A3351">
            <v>7.25</v>
          </cell>
          <cell r="B3351">
            <v>103.5509</v>
          </cell>
          <cell r="C3351">
            <v>0.82822321807392485</v>
          </cell>
          <cell r="D3351">
            <v>104.37912321807393</v>
          </cell>
          <cell r="E3351">
            <v>0.31</v>
          </cell>
          <cell r="F3351">
            <v>0.375</v>
          </cell>
          <cell r="G3351">
            <v>0</v>
          </cell>
          <cell r="H3351">
            <v>103.69412321807393</v>
          </cell>
          <cell r="I3351">
            <v>0</v>
          </cell>
          <cell r="J3351"/>
          <cell r="K3351">
            <v>103.69412321807393</v>
          </cell>
        </row>
        <row r="3352">
          <cell r="A3352">
            <v>7.125</v>
          </cell>
          <cell r="B3352">
            <v>103.11839999999999</v>
          </cell>
          <cell r="C3352">
            <v>0.87863429865376697</v>
          </cell>
          <cell r="D3352">
            <v>103.99703429865376</v>
          </cell>
          <cell r="E3352">
            <v>0.31</v>
          </cell>
          <cell r="F3352">
            <v>0.375</v>
          </cell>
          <cell r="G3352">
            <v>0</v>
          </cell>
          <cell r="H3352">
            <v>103.31203429865376</v>
          </cell>
          <cell r="I3352">
            <v>0</v>
          </cell>
          <cell r="J3352"/>
          <cell r="K3352">
            <v>103.31203429865376</v>
          </cell>
        </row>
        <row r="3353">
          <cell r="A3353">
            <v>7</v>
          </cell>
          <cell r="B3353">
            <v>102.7672</v>
          </cell>
          <cell r="C3353">
            <v>0.92941882148098509</v>
          </cell>
          <cell r="D3353">
            <v>103.69661882148098</v>
          </cell>
          <cell r="E3353">
            <v>0.31</v>
          </cell>
          <cell r="F3353">
            <v>0.375</v>
          </cell>
          <cell r="G3353">
            <v>0</v>
          </cell>
          <cell r="H3353">
            <v>103.01161882148098</v>
          </cell>
          <cell r="I3353">
            <v>0</v>
          </cell>
          <cell r="J3353"/>
          <cell r="K3353">
            <v>103.01161882148098</v>
          </cell>
        </row>
        <row r="3354">
          <cell r="A3354">
            <v>6.875</v>
          </cell>
          <cell r="B3354">
            <v>102.3509</v>
          </cell>
          <cell r="C3354">
            <v>0.97963707029997038</v>
          </cell>
          <cell r="D3354">
            <v>103.33053707029997</v>
          </cell>
          <cell r="E3354">
            <v>0.31</v>
          </cell>
          <cell r="F3354">
            <v>0.375</v>
          </cell>
          <cell r="G3354">
            <v>0</v>
          </cell>
          <cell r="H3354">
            <v>102.64553707029997</v>
          </cell>
          <cell r="I3354">
            <v>0</v>
          </cell>
          <cell r="J3354"/>
          <cell r="K3354">
            <v>102.64553707029997</v>
          </cell>
        </row>
        <row r="3355">
          <cell r="A3355">
            <v>6.75</v>
          </cell>
          <cell r="B3355">
            <v>101.8822</v>
          </cell>
          <cell r="C3355">
            <v>1.0280353823492594</v>
          </cell>
          <cell r="D3355">
            <v>102.91023538234926</v>
          </cell>
          <cell r="E3355">
            <v>0.31</v>
          </cell>
          <cell r="F3355">
            <v>0.375</v>
          </cell>
          <cell r="G3355">
            <v>0</v>
          </cell>
          <cell r="H3355">
            <v>102.22523538234925</v>
          </cell>
          <cell r="I3355">
            <v>0</v>
          </cell>
          <cell r="J3355"/>
          <cell r="K3355">
            <v>102.22523538234925</v>
          </cell>
        </row>
        <row r="3356">
          <cell r="A3356">
            <v>6.625</v>
          </cell>
          <cell r="B3356">
            <v>101.4088</v>
          </cell>
          <cell r="C3356">
            <v>1.0731419487640863</v>
          </cell>
          <cell r="D3356">
            <v>102.48194194876409</v>
          </cell>
          <cell r="E3356">
            <v>0.31</v>
          </cell>
          <cell r="F3356">
            <v>0.375</v>
          </cell>
          <cell r="G3356">
            <v>0</v>
          </cell>
          <cell r="H3356">
            <v>101.79694194876409</v>
          </cell>
          <cell r="I3356">
            <v>0</v>
          </cell>
          <cell r="J3356"/>
          <cell r="K3356">
            <v>101.79694194876409</v>
          </cell>
        </row>
        <row r="3357">
          <cell r="A3357">
            <v>6.5</v>
          </cell>
          <cell r="B3357">
            <v>100.9375</v>
          </cell>
          <cell r="C3357">
            <v>1.1135579725934197</v>
          </cell>
          <cell r="D3357">
            <v>102.05105797259343</v>
          </cell>
          <cell r="E3357">
            <v>0.31</v>
          </cell>
          <cell r="F3357">
            <v>0.375</v>
          </cell>
          <cell r="G3357">
            <v>0</v>
          </cell>
          <cell r="H3357">
            <v>101.36605797259342</v>
          </cell>
          <cell r="I3357">
            <v>0</v>
          </cell>
          <cell r="J3357"/>
          <cell r="K3357">
            <v>101.36605797259342</v>
          </cell>
        </row>
        <row r="3358">
          <cell r="A3358">
            <v>6.375</v>
          </cell>
          <cell r="B3358">
            <v>100.48090000000001</v>
          </cell>
          <cell r="C3358">
            <v>1.1475731089140164</v>
          </cell>
          <cell r="D3358">
            <v>101.62847310891402</v>
          </cell>
          <cell r="E3358">
            <v>0.31</v>
          </cell>
          <cell r="F3358">
            <v>0.375</v>
          </cell>
          <cell r="G3358">
            <v>0</v>
          </cell>
          <cell r="H3358">
            <v>100.94347310891402</v>
          </cell>
          <cell r="I3358">
            <v>0</v>
          </cell>
          <cell r="J3358"/>
          <cell r="K3358">
            <v>100.94347310891402</v>
          </cell>
        </row>
        <row r="3359">
          <cell r="A3359">
            <v>6.25</v>
          </cell>
          <cell r="B3359">
            <v>100.0172</v>
          </cell>
          <cell r="C3359">
            <v>1.1739341544104718</v>
          </cell>
          <cell r="D3359">
            <v>101.19113415441048</v>
          </cell>
          <cell r="E3359">
            <v>0.31</v>
          </cell>
          <cell r="F3359">
            <v>0.375</v>
          </cell>
          <cell r="G3359">
            <v>0</v>
          </cell>
          <cell r="H3359">
            <v>100.50613415441047</v>
          </cell>
          <cell r="I3359">
            <v>0</v>
          </cell>
          <cell r="J3359"/>
          <cell r="K3359">
            <v>100.50613415441047</v>
          </cell>
        </row>
        <row r="3360">
          <cell r="A3360">
            <v>6.125</v>
          </cell>
          <cell r="B3360">
            <v>99.563400000000001</v>
          </cell>
          <cell r="C3360">
            <v>1.1914619382646172</v>
          </cell>
          <cell r="D3360">
            <v>100.75486193826463</v>
          </cell>
          <cell r="E3360">
            <v>0.31</v>
          </cell>
          <cell r="F3360">
            <v>0.27500000000000002</v>
          </cell>
          <cell r="G3360">
            <v>0</v>
          </cell>
          <cell r="H3360">
            <v>100.16986193826462</v>
          </cell>
          <cell r="I3360">
            <v>0</v>
          </cell>
          <cell r="J3360"/>
          <cell r="K3360">
            <v>100.16986193826462</v>
          </cell>
        </row>
        <row r="3361">
          <cell r="A3361">
            <v>6</v>
          </cell>
          <cell r="B3361">
            <v>99.009699999999995</v>
          </cell>
          <cell r="C3361">
            <v>1.2261032992851351</v>
          </cell>
          <cell r="D3361">
            <v>100.23580329928512</v>
          </cell>
          <cell r="E3361">
            <v>0.31</v>
          </cell>
          <cell r="F3361">
            <v>0.375</v>
          </cell>
          <cell r="G3361">
            <v>0</v>
          </cell>
          <cell r="H3361">
            <v>99.550803299285121</v>
          </cell>
          <cell r="I3361">
            <v>0</v>
          </cell>
          <cell r="J3361"/>
          <cell r="K3361">
            <v>99.550803299285121</v>
          </cell>
        </row>
        <row r="3362">
          <cell r="A3362">
            <v>5.875</v>
          </cell>
          <cell r="B3362">
            <v>98.468100000000007</v>
          </cell>
          <cell r="C3362">
            <v>1.2582542829647416</v>
          </cell>
          <cell r="D3362">
            <v>99.726354282964749</v>
          </cell>
          <cell r="E3362">
            <v>0.31</v>
          </cell>
          <cell r="F3362">
            <v>0.375</v>
          </cell>
          <cell r="G3362">
            <v>0</v>
          </cell>
          <cell r="H3362">
            <v>99.041354282964747</v>
          </cell>
          <cell r="I3362">
            <v>0</v>
          </cell>
          <cell r="J3362"/>
          <cell r="K3362">
            <v>99.041354282964747</v>
          </cell>
        </row>
        <row r="3363">
          <cell r="A3363">
            <v>5.75</v>
          </cell>
          <cell r="B3363">
            <v>97.921899999999994</v>
          </cell>
          <cell r="C3363">
            <v>1.2874604346057832</v>
          </cell>
          <cell r="D3363">
            <v>99.20936043460577</v>
          </cell>
          <cell r="E3363">
            <v>0.31</v>
          </cell>
          <cell r="F3363">
            <v>0.375</v>
          </cell>
          <cell r="G3363">
            <v>0</v>
          </cell>
          <cell r="H3363">
            <v>98.524360434605768</v>
          </cell>
          <cell r="I3363">
            <v>0</v>
          </cell>
          <cell r="J3363"/>
          <cell r="K3363">
            <v>98.524360434605768</v>
          </cell>
        </row>
        <row r="3364">
          <cell r="A3364">
            <v>5.625</v>
          </cell>
          <cell r="B3364">
            <v>97.381200000000007</v>
          </cell>
          <cell r="C3364">
            <v>1.3103523159702306</v>
          </cell>
          <cell r="D3364">
            <v>98.691552315970242</v>
          </cell>
          <cell r="E3364">
            <v>0.31</v>
          </cell>
          <cell r="F3364">
            <v>0.375</v>
          </cell>
          <cell r="G3364">
            <v>0</v>
          </cell>
          <cell r="H3364">
            <v>98.006552315970239</v>
          </cell>
          <cell r="I3364">
            <v>0</v>
          </cell>
          <cell r="J3364"/>
          <cell r="K3364">
            <v>98.006552315970239</v>
          </cell>
        </row>
        <row r="3365">
          <cell r="A3365">
            <v>5.5</v>
          </cell>
          <cell r="B3365">
            <v>96.825000000000003</v>
          </cell>
          <cell r="C3365">
            <v>1.332099769761613</v>
          </cell>
          <cell r="D3365">
            <v>98.157099769761615</v>
          </cell>
          <cell r="E3365">
            <v>0.31</v>
          </cell>
          <cell r="F3365">
            <v>0.375</v>
          </cell>
          <cell r="G3365">
            <v>0</v>
          </cell>
          <cell r="H3365">
            <v>97.472099769761613</v>
          </cell>
          <cell r="I3365">
            <v>0</v>
          </cell>
          <cell r="J3365"/>
          <cell r="K3365">
            <v>97.472099769761613</v>
          </cell>
        </row>
        <row r="3366">
          <cell r="A3366">
            <v>5.375</v>
          </cell>
          <cell r="B3366">
            <v>96.23</v>
          </cell>
          <cell r="C3366">
            <v>1.349396508770641</v>
          </cell>
          <cell r="D3366">
            <v>97.579396508770643</v>
          </cell>
          <cell r="E3366">
            <v>0.31</v>
          </cell>
          <cell r="F3366">
            <v>0.375</v>
          </cell>
          <cell r="G3366">
            <v>0</v>
          </cell>
          <cell r="H3366">
            <v>96.89439650877064</v>
          </cell>
          <cell r="I3366">
            <v>0</v>
          </cell>
          <cell r="J3366"/>
          <cell r="K3366">
            <v>96.89439650877064</v>
          </cell>
        </row>
        <row r="3367">
          <cell r="A3367">
            <v>5.25</v>
          </cell>
          <cell r="B3367">
            <v>95.6</v>
          </cell>
          <cell r="C3367">
            <v>1.3619320322486328</v>
          </cell>
          <cell r="D3367">
            <v>96.961932032248626</v>
          </cell>
          <cell r="E3367">
            <v>0.31</v>
          </cell>
          <cell r="F3367">
            <v>0.375</v>
          </cell>
          <cell r="G3367">
            <v>0</v>
          </cell>
          <cell r="H3367">
            <v>96.276932032248624</v>
          </cell>
          <cell r="I3367">
            <v>0</v>
          </cell>
          <cell r="J3367"/>
          <cell r="K3367">
            <v>96.276932032248624</v>
          </cell>
        </row>
        <row r="3368">
          <cell r="A3368">
            <v>5.125</v>
          </cell>
          <cell r="B3368">
            <v>95.157200000000003</v>
          </cell>
          <cell r="C3368">
            <v>1.3719680144753188</v>
          </cell>
          <cell r="D3368">
            <v>96.529168014475317</v>
          </cell>
          <cell r="E3368">
            <v>0.31</v>
          </cell>
          <cell r="F3368">
            <v>0.375</v>
          </cell>
          <cell r="G3368">
            <v>0</v>
          </cell>
          <cell r="H3368">
            <v>95.844168014475315</v>
          </cell>
          <cell r="I3368">
            <v>0</v>
          </cell>
          <cell r="J3368"/>
          <cell r="K3368">
            <v>95.844168014475315</v>
          </cell>
        </row>
        <row r="3369">
          <cell r="A3369">
            <v>5</v>
          </cell>
          <cell r="B3369">
            <v>94.5184</v>
          </cell>
          <cell r="C3369">
            <v>1.3849446652924806</v>
          </cell>
          <cell r="D3369">
            <v>95.903344665292479</v>
          </cell>
          <cell r="E3369">
            <v>0.31</v>
          </cell>
          <cell r="F3369">
            <v>0.375</v>
          </cell>
          <cell r="G3369">
            <v>0</v>
          </cell>
          <cell r="H3369">
            <v>95.218344665292477</v>
          </cell>
          <cell r="I3369">
            <v>0</v>
          </cell>
          <cell r="J3369"/>
          <cell r="K3369">
            <v>95.218344665292477</v>
          </cell>
        </row>
        <row r="3370">
          <cell r="A3370">
            <v>4.875</v>
          </cell>
          <cell r="B3370">
            <v>93.854699999999994</v>
          </cell>
          <cell r="C3370">
            <v>1.3980988298836645</v>
          </cell>
          <cell r="D3370">
            <v>95.252798829883659</v>
          </cell>
          <cell r="E3370">
            <v>0.31</v>
          </cell>
          <cell r="F3370">
            <v>0.375</v>
          </cell>
          <cell r="G3370">
            <v>0</v>
          </cell>
          <cell r="H3370">
            <v>94.567798829883657</v>
          </cell>
          <cell r="I3370">
            <v>0</v>
          </cell>
          <cell r="J3370"/>
          <cell r="K3370">
            <v>94.567798829883657</v>
          </cell>
        </row>
        <row r="3371">
          <cell r="A3371">
            <v>4.75</v>
          </cell>
          <cell r="B3371">
            <v>93.173400000000001</v>
          </cell>
          <cell r="C3371">
            <v>1.4114225825536417</v>
          </cell>
          <cell r="D3371">
            <v>94.584822582553642</v>
          </cell>
          <cell r="E3371">
            <v>0.31</v>
          </cell>
          <cell r="F3371">
            <v>0.375</v>
          </cell>
          <cell r="G3371">
            <v>0</v>
          </cell>
          <cell r="H3371">
            <v>93.899822582553639</v>
          </cell>
          <cell r="I3371">
            <v>0</v>
          </cell>
          <cell r="J3371"/>
          <cell r="K3371">
            <v>93.899822582553639</v>
          </cell>
        </row>
        <row r="3404">
          <cell r="A3404">
            <v>7.875</v>
          </cell>
          <cell r="B3404">
            <v>104.64700000000001</v>
          </cell>
          <cell r="C3404">
            <v>0.55833102735023488</v>
          </cell>
          <cell r="D3404">
            <v>105.20533102735024</v>
          </cell>
          <cell r="E3404">
            <v>0.57999999999999996</v>
          </cell>
          <cell r="F3404">
            <v>0.375</v>
          </cell>
          <cell r="G3404">
            <v>0</v>
          </cell>
          <cell r="H3404">
            <v>104.25033102735024</v>
          </cell>
          <cell r="I3404">
            <v>0</v>
          </cell>
          <cell r="J3404"/>
          <cell r="K3404">
            <v>104.25033102735024</v>
          </cell>
        </row>
        <row r="3405">
          <cell r="A3405">
            <v>7.75</v>
          </cell>
          <cell r="B3405">
            <v>104.34399999999999</v>
          </cell>
          <cell r="C3405">
            <v>0.60012653450037634</v>
          </cell>
          <cell r="D3405">
            <v>104.94412653450037</v>
          </cell>
          <cell r="E3405">
            <v>0.57999999999999996</v>
          </cell>
          <cell r="F3405">
            <v>0.375</v>
          </cell>
          <cell r="G3405">
            <v>0</v>
          </cell>
          <cell r="H3405">
            <v>103.98912653450037</v>
          </cell>
          <cell r="I3405">
            <v>0</v>
          </cell>
          <cell r="J3405"/>
          <cell r="K3405">
            <v>103.98912653450037</v>
          </cell>
        </row>
        <row r="3406">
          <cell r="A3406">
            <v>7.625</v>
          </cell>
          <cell r="B3406">
            <v>104.32599999999999</v>
          </cell>
          <cell r="C3406">
            <v>0.65472031167613554</v>
          </cell>
          <cell r="D3406">
            <v>104.98072031167612</v>
          </cell>
          <cell r="E3406">
            <v>0.57999999999999996</v>
          </cell>
          <cell r="F3406">
            <v>0.375</v>
          </cell>
          <cell r="G3406">
            <v>0</v>
          </cell>
          <cell r="H3406">
            <v>104.02572031167612</v>
          </cell>
          <cell r="I3406">
            <v>0</v>
          </cell>
          <cell r="J3406"/>
          <cell r="K3406">
            <v>104.02572031167612</v>
          </cell>
        </row>
        <row r="3407">
          <cell r="A3407">
            <v>7.5</v>
          </cell>
          <cell r="B3407">
            <v>104.059</v>
          </cell>
          <cell r="C3407">
            <v>0.71320601804099537</v>
          </cell>
          <cell r="D3407">
            <v>104.77220601804099</v>
          </cell>
          <cell r="E3407">
            <v>0.57999999999999996</v>
          </cell>
          <cell r="F3407">
            <v>0.375</v>
          </cell>
          <cell r="G3407">
            <v>0</v>
          </cell>
          <cell r="H3407">
            <v>103.81720601804099</v>
          </cell>
          <cell r="I3407">
            <v>0</v>
          </cell>
          <cell r="J3407"/>
          <cell r="K3407">
            <v>103.81720601804099</v>
          </cell>
        </row>
        <row r="3408">
          <cell r="A3408">
            <v>7.375</v>
          </cell>
          <cell r="B3408">
            <v>103.72799999999999</v>
          </cell>
          <cell r="C3408">
            <v>0.7747793530222602</v>
          </cell>
          <cell r="D3408">
            <v>104.50277935302225</v>
          </cell>
          <cell r="E3408">
            <v>0.57999999999999996</v>
          </cell>
          <cell r="F3408">
            <v>0.375</v>
          </cell>
          <cell r="G3408">
            <v>0</v>
          </cell>
          <cell r="H3408">
            <v>103.54777935302225</v>
          </cell>
          <cell r="I3408">
            <v>0</v>
          </cell>
          <cell r="J3408"/>
          <cell r="K3408">
            <v>103.54777935302225</v>
          </cell>
        </row>
        <row r="3409">
          <cell r="A3409">
            <v>7.25</v>
          </cell>
          <cell r="B3409">
            <v>103.196</v>
          </cell>
          <cell r="C3409">
            <v>0.82822321807392485</v>
          </cell>
          <cell r="D3409">
            <v>104.02422321807393</v>
          </cell>
          <cell r="E3409">
            <v>0.57999999999999996</v>
          </cell>
          <cell r="F3409">
            <v>0.375</v>
          </cell>
          <cell r="G3409">
            <v>0</v>
          </cell>
          <cell r="H3409">
            <v>103.06922321807393</v>
          </cell>
          <cell r="I3409">
            <v>0</v>
          </cell>
          <cell r="J3409"/>
          <cell r="K3409">
            <v>103.06922321807393</v>
          </cell>
        </row>
        <row r="3410">
          <cell r="A3410">
            <v>7.125</v>
          </cell>
          <cell r="B3410">
            <v>102.932</v>
          </cell>
          <cell r="C3410">
            <v>0.87863429865376697</v>
          </cell>
          <cell r="D3410">
            <v>103.81063429865377</v>
          </cell>
          <cell r="E3410">
            <v>0.57999999999999996</v>
          </cell>
          <cell r="F3410">
            <v>0.375</v>
          </cell>
          <cell r="G3410">
            <v>0</v>
          </cell>
          <cell r="H3410">
            <v>102.85563429865377</v>
          </cell>
          <cell r="I3410">
            <v>0</v>
          </cell>
          <cell r="J3410"/>
          <cell r="K3410">
            <v>102.85563429865377</v>
          </cell>
        </row>
        <row r="3411">
          <cell r="A3411">
            <v>7</v>
          </cell>
          <cell r="B3411">
            <v>102.554</v>
          </cell>
          <cell r="C3411">
            <v>0.92941882148098509</v>
          </cell>
          <cell r="D3411">
            <v>103.48341882148098</v>
          </cell>
          <cell r="E3411">
            <v>0.57999999999999996</v>
          </cell>
          <cell r="F3411">
            <v>0.375</v>
          </cell>
          <cell r="G3411">
            <v>0</v>
          </cell>
          <cell r="H3411">
            <v>102.52841882148098</v>
          </cell>
          <cell r="I3411">
            <v>0</v>
          </cell>
          <cell r="J3411"/>
          <cell r="K3411">
            <v>102.52841882148098</v>
          </cell>
        </row>
        <row r="3412">
          <cell r="A3412">
            <v>6.875</v>
          </cell>
          <cell r="B3412">
            <v>102.042</v>
          </cell>
          <cell r="C3412">
            <v>0.97963707029997038</v>
          </cell>
          <cell r="D3412">
            <v>103.02163707029997</v>
          </cell>
          <cell r="E3412">
            <v>0.57999999999999996</v>
          </cell>
          <cell r="F3412">
            <v>0.375</v>
          </cell>
          <cell r="G3412">
            <v>0</v>
          </cell>
          <cell r="H3412">
            <v>102.06663707029998</v>
          </cell>
          <cell r="I3412">
            <v>0</v>
          </cell>
          <cell r="J3412"/>
          <cell r="K3412">
            <v>102.06663707029998</v>
          </cell>
        </row>
        <row r="3413">
          <cell r="A3413">
            <v>6.75</v>
          </cell>
          <cell r="B3413">
            <v>101.453</v>
          </cell>
          <cell r="C3413">
            <v>1.0280353823492594</v>
          </cell>
          <cell r="D3413">
            <v>102.48103538234926</v>
          </cell>
          <cell r="E3413">
            <v>0.57999999999999996</v>
          </cell>
          <cell r="F3413">
            <v>0.375</v>
          </cell>
          <cell r="G3413">
            <v>0</v>
          </cell>
          <cell r="H3413">
            <v>101.52603538234926</v>
          </cell>
          <cell r="I3413">
            <v>0</v>
          </cell>
          <cell r="J3413"/>
          <cell r="K3413">
            <v>101.52603538234926</v>
          </cell>
        </row>
        <row r="3414">
          <cell r="A3414">
            <v>6.625</v>
          </cell>
          <cell r="B3414">
            <v>101.232</v>
          </cell>
          <cell r="C3414">
            <v>1.0731419487640863</v>
          </cell>
          <cell r="D3414">
            <v>102.30514194876409</v>
          </cell>
          <cell r="E3414">
            <v>0.57999999999999996</v>
          </cell>
          <cell r="F3414">
            <v>0.375</v>
          </cell>
          <cell r="G3414">
            <v>0</v>
          </cell>
          <cell r="H3414">
            <v>101.35014194876409</v>
          </cell>
          <cell r="I3414">
            <v>0</v>
          </cell>
          <cell r="J3414"/>
          <cell r="K3414">
            <v>101.35014194876409</v>
          </cell>
        </row>
        <row r="3415">
          <cell r="A3415">
            <v>6.5</v>
          </cell>
          <cell r="B3415">
            <v>100.82</v>
          </cell>
          <cell r="C3415">
            <v>1.1135579725934197</v>
          </cell>
          <cell r="D3415">
            <v>101.93355797259342</v>
          </cell>
          <cell r="E3415">
            <v>0.57999999999999996</v>
          </cell>
          <cell r="F3415">
            <v>0.375</v>
          </cell>
          <cell r="G3415">
            <v>0</v>
          </cell>
          <cell r="H3415">
            <v>100.97855797259342</v>
          </cell>
          <cell r="I3415">
            <v>0</v>
          </cell>
          <cell r="J3415"/>
          <cell r="K3415">
            <v>100.97855797259342</v>
          </cell>
        </row>
        <row r="3416">
          <cell r="A3416">
            <v>6.375</v>
          </cell>
          <cell r="B3416">
            <v>100.45399999999999</v>
          </cell>
          <cell r="C3416">
            <v>1.1475731089140164</v>
          </cell>
          <cell r="D3416">
            <v>101.60157310891401</v>
          </cell>
          <cell r="E3416">
            <v>0.57999999999999996</v>
          </cell>
          <cell r="F3416">
            <v>0.375</v>
          </cell>
          <cell r="G3416">
            <v>0</v>
          </cell>
          <cell r="H3416">
            <v>100.64657310891401</v>
          </cell>
          <cell r="I3416">
            <v>0</v>
          </cell>
          <cell r="J3416"/>
          <cell r="K3416">
            <v>100.64657310891401</v>
          </cell>
        </row>
        <row r="3417">
          <cell r="A3417">
            <v>6.25</v>
          </cell>
          <cell r="B3417">
            <v>99.978999999999999</v>
          </cell>
          <cell r="C3417">
            <v>1.1739341544104718</v>
          </cell>
          <cell r="D3417">
            <v>101.15293415441047</v>
          </cell>
          <cell r="E3417">
            <v>0.57999999999999996</v>
          </cell>
          <cell r="F3417">
            <v>0.375</v>
          </cell>
          <cell r="G3417">
            <v>0</v>
          </cell>
          <cell r="H3417">
            <v>100.19793415441048</v>
          </cell>
          <cell r="I3417">
            <v>0</v>
          </cell>
          <cell r="J3417"/>
          <cell r="K3417">
            <v>100.19793415441048</v>
          </cell>
        </row>
        <row r="3418">
          <cell r="A3418">
            <v>6.125</v>
          </cell>
          <cell r="B3418">
            <v>99.421999999999997</v>
          </cell>
          <cell r="C3418">
            <v>1.1914619382646172</v>
          </cell>
          <cell r="D3418">
            <v>100.61346193826462</v>
          </cell>
          <cell r="E3418">
            <v>0.57999999999999996</v>
          </cell>
          <cell r="F3418">
            <v>0.27500000000000002</v>
          </cell>
          <cell r="G3418">
            <v>0</v>
          </cell>
          <cell r="H3418">
            <v>99.758461938264617</v>
          </cell>
          <cell r="I3418">
            <v>0</v>
          </cell>
          <cell r="J3418"/>
          <cell r="K3418">
            <v>99.758461938264617</v>
          </cell>
        </row>
        <row r="3419">
          <cell r="A3419">
            <v>6</v>
          </cell>
          <cell r="B3419">
            <v>98.933999999999997</v>
          </cell>
          <cell r="C3419">
            <v>1.2261032992851351</v>
          </cell>
          <cell r="D3419">
            <v>100.16010329928513</v>
          </cell>
          <cell r="E3419">
            <v>0.57999999999999996</v>
          </cell>
          <cell r="F3419">
            <v>0.375</v>
          </cell>
          <cell r="G3419">
            <v>0</v>
          </cell>
          <cell r="H3419">
            <v>99.205103299285128</v>
          </cell>
          <cell r="I3419">
            <v>0</v>
          </cell>
          <cell r="J3419"/>
          <cell r="K3419">
            <v>99.205103299285128</v>
          </cell>
        </row>
        <row r="3420">
          <cell r="A3420">
            <v>5.875</v>
          </cell>
          <cell r="B3420">
            <v>98.454999999999998</v>
          </cell>
          <cell r="C3420">
            <v>1.2582542829647416</v>
          </cell>
          <cell r="D3420">
            <v>99.713254282964741</v>
          </cell>
          <cell r="E3420">
            <v>0.57999999999999996</v>
          </cell>
          <cell r="F3420">
            <v>0.375</v>
          </cell>
          <cell r="G3420">
            <v>0</v>
          </cell>
          <cell r="H3420">
            <v>98.758254282964742</v>
          </cell>
          <cell r="I3420">
            <v>0</v>
          </cell>
          <cell r="J3420"/>
          <cell r="K3420">
            <v>98.758254282964742</v>
          </cell>
        </row>
        <row r="3421">
          <cell r="A3421">
            <v>5.75</v>
          </cell>
          <cell r="B3421">
            <v>97.893000000000001</v>
          </cell>
          <cell r="C3421">
            <v>1.2874604346057832</v>
          </cell>
          <cell r="D3421">
            <v>99.180460434605777</v>
          </cell>
          <cell r="E3421">
            <v>0.57999999999999996</v>
          </cell>
          <cell r="F3421">
            <v>0.375</v>
          </cell>
          <cell r="G3421">
            <v>0</v>
          </cell>
          <cell r="H3421">
            <v>98.225460434605779</v>
          </cell>
          <cell r="I3421">
            <v>0</v>
          </cell>
          <cell r="J3421"/>
          <cell r="K3421">
            <v>98.225460434605779</v>
          </cell>
        </row>
        <row r="3422">
          <cell r="A3422">
            <v>5.625</v>
          </cell>
          <cell r="B3422">
            <v>97.337999999999994</v>
          </cell>
          <cell r="C3422">
            <v>1.3103523159702306</v>
          </cell>
          <cell r="D3422">
            <v>98.648352315970229</v>
          </cell>
          <cell r="E3422">
            <v>0.57999999999999996</v>
          </cell>
          <cell r="F3422">
            <v>0.375</v>
          </cell>
          <cell r="G3422">
            <v>0</v>
          </cell>
          <cell r="H3422">
            <v>97.69335231597023</v>
          </cell>
          <cell r="I3422">
            <v>0</v>
          </cell>
          <cell r="J3422"/>
          <cell r="K3422">
            <v>97.69335231597023</v>
          </cell>
        </row>
        <row r="3423">
          <cell r="A3423">
            <v>5.5</v>
          </cell>
          <cell r="B3423">
            <v>96.736000000000004</v>
          </cell>
          <cell r="C3423">
            <v>1.332099769761613</v>
          </cell>
          <cell r="D3423">
            <v>98.068099769761616</v>
          </cell>
          <cell r="E3423">
            <v>0.57999999999999996</v>
          </cell>
          <cell r="F3423">
            <v>0.375</v>
          </cell>
          <cell r="G3423">
            <v>0</v>
          </cell>
          <cell r="H3423">
            <v>97.113099769761618</v>
          </cell>
          <cell r="I3423">
            <v>0</v>
          </cell>
          <cell r="J3423"/>
          <cell r="K3423">
            <v>97.113099769761618</v>
          </cell>
        </row>
        <row r="3424">
          <cell r="A3424">
            <v>5.375</v>
          </cell>
          <cell r="B3424">
            <v>96.15</v>
          </cell>
          <cell r="C3424">
            <v>1.349396508770641</v>
          </cell>
          <cell r="D3424">
            <v>97.499396508770644</v>
          </cell>
          <cell r="E3424">
            <v>0.57999999999999996</v>
          </cell>
          <cell r="F3424">
            <v>0.375</v>
          </cell>
          <cell r="G3424">
            <v>0</v>
          </cell>
          <cell r="H3424">
            <v>96.544396508770646</v>
          </cell>
          <cell r="I3424">
            <v>0</v>
          </cell>
          <cell r="J3424"/>
          <cell r="K3424">
            <v>96.544396508770646</v>
          </cell>
        </row>
        <row r="3425">
          <cell r="A3425">
            <v>5.25</v>
          </cell>
          <cell r="B3425">
            <v>95.146000000000001</v>
          </cell>
          <cell r="C3425">
            <v>1.3619320322486328</v>
          </cell>
          <cell r="D3425">
            <v>96.507932032248632</v>
          </cell>
          <cell r="E3425">
            <v>0.57999999999999996</v>
          </cell>
          <cell r="F3425">
            <v>0.375</v>
          </cell>
          <cell r="G3425">
            <v>0</v>
          </cell>
          <cell r="H3425">
            <v>95.552932032248634</v>
          </cell>
          <cell r="I3425">
            <v>0</v>
          </cell>
          <cell r="J3425"/>
          <cell r="K3425">
            <v>95.552932032248634</v>
          </cell>
        </row>
        <row r="3426">
          <cell r="A3426">
            <v>5.125</v>
          </cell>
          <cell r="B3426">
            <v>95.129000000000005</v>
          </cell>
          <cell r="C3426">
            <v>1.3719680144753188</v>
          </cell>
          <cell r="D3426">
            <v>96.500968014475319</v>
          </cell>
          <cell r="E3426">
            <v>0.57999999999999996</v>
          </cell>
          <cell r="F3426">
            <v>0.375</v>
          </cell>
          <cell r="G3426">
            <v>0</v>
          </cell>
          <cell r="H3426">
            <v>95.545968014475321</v>
          </cell>
          <cell r="I3426">
            <v>0</v>
          </cell>
          <cell r="J3426"/>
          <cell r="K3426">
            <v>95.545968014475321</v>
          </cell>
        </row>
        <row r="3427">
          <cell r="A3427">
            <v>5</v>
          </cell>
          <cell r="B3427">
            <v>94.415999999999997</v>
          </cell>
          <cell r="C3427">
            <v>1.3849446652924806</v>
          </cell>
          <cell r="D3427">
            <v>95.800944665292477</v>
          </cell>
          <cell r="E3427">
            <v>0.57999999999999996</v>
          </cell>
          <cell r="F3427">
            <v>0.375</v>
          </cell>
          <cell r="G3427">
            <v>0</v>
          </cell>
          <cell r="H3427">
            <v>94.845944665292478</v>
          </cell>
          <cell r="I3427">
            <v>0</v>
          </cell>
          <cell r="J3427"/>
          <cell r="K3427">
            <v>94.845944665292478</v>
          </cell>
        </row>
        <row r="3428">
          <cell r="A3428">
            <v>4.875</v>
          </cell>
          <cell r="B3428">
            <v>93.64</v>
          </cell>
          <cell r="C3428">
            <v>1.3980988298836645</v>
          </cell>
          <cell r="D3428">
            <v>95.038098829883666</v>
          </cell>
          <cell r="E3428">
            <v>0.57999999999999996</v>
          </cell>
          <cell r="F3428">
            <v>0.375</v>
          </cell>
          <cell r="G3428">
            <v>0</v>
          </cell>
          <cell r="H3428">
            <v>94.083098829883667</v>
          </cell>
          <cell r="I3428">
            <v>0</v>
          </cell>
          <cell r="J3428"/>
          <cell r="K3428">
            <v>94.083098829883667</v>
          </cell>
        </row>
        <row r="3431">
          <cell r="A3431">
            <v>7</v>
          </cell>
          <cell r="B3431">
            <v>103.51300000000001</v>
          </cell>
          <cell r="C3431">
            <v>0.60203982005500167</v>
          </cell>
          <cell r="D3431">
            <v>104.115039820055</v>
          </cell>
          <cell r="E3431">
            <v>1.1299999999999999</v>
          </cell>
          <cell r="F3431">
            <v>0</v>
          </cell>
          <cell r="G3431">
            <v>0</v>
          </cell>
          <cell r="H3431">
            <v>102.98503982005501</v>
          </cell>
          <cell r="I3431">
            <v>0</v>
          </cell>
          <cell r="J3431"/>
          <cell r="K3431">
            <v>102.98503982005501</v>
          </cell>
        </row>
        <row r="3432">
          <cell r="A3432">
            <v>6.875</v>
          </cell>
          <cell r="B3432">
            <v>103.26900000000001</v>
          </cell>
          <cell r="C3432">
            <v>0.62534093630826337</v>
          </cell>
          <cell r="D3432">
            <v>103.89434093630827</v>
          </cell>
          <cell r="E3432">
            <v>1.1299999999999999</v>
          </cell>
          <cell r="F3432">
            <v>0</v>
          </cell>
          <cell r="G3432">
            <v>0</v>
          </cell>
          <cell r="H3432">
            <v>102.76434093630827</v>
          </cell>
          <cell r="I3432">
            <v>0</v>
          </cell>
          <cell r="J3432"/>
          <cell r="K3432">
            <v>102.76434093630827</v>
          </cell>
        </row>
        <row r="3433">
          <cell r="A3433">
            <v>6.75</v>
          </cell>
          <cell r="B3433">
            <v>102.996</v>
          </cell>
          <cell r="C3433">
            <v>0.65025908368989305</v>
          </cell>
          <cell r="D3433">
            <v>103.64625908368988</v>
          </cell>
          <cell r="E3433">
            <v>1.1299999999999999</v>
          </cell>
          <cell r="F3433">
            <v>0</v>
          </cell>
          <cell r="G3433">
            <v>0</v>
          </cell>
          <cell r="H3433">
            <v>102.51625908368989</v>
          </cell>
          <cell r="I3433">
            <v>0</v>
          </cell>
          <cell r="J3433"/>
          <cell r="K3433">
            <v>102.51625908368989</v>
          </cell>
        </row>
        <row r="3434">
          <cell r="A3434">
            <v>6.625</v>
          </cell>
          <cell r="B3434">
            <v>102.71599999999999</v>
          </cell>
          <cell r="C3434">
            <v>0.67610484962926121</v>
          </cell>
          <cell r="D3434">
            <v>103.39210484962925</v>
          </cell>
          <cell r="E3434">
            <v>1.1299999999999999</v>
          </cell>
          <cell r="F3434">
            <v>0</v>
          </cell>
          <cell r="G3434">
            <v>0</v>
          </cell>
          <cell r="H3434">
            <v>102.26210484962925</v>
          </cell>
          <cell r="I3434">
            <v>0</v>
          </cell>
          <cell r="J3434"/>
          <cell r="K3434">
            <v>102.26210484962925</v>
          </cell>
        </row>
        <row r="3435">
          <cell r="A3435">
            <v>6.5</v>
          </cell>
          <cell r="B3435">
            <v>102.512</v>
          </cell>
          <cell r="C3435">
            <v>0.70497051076905048</v>
          </cell>
          <cell r="D3435">
            <v>103.21697051076904</v>
          </cell>
          <cell r="E3435">
            <v>1.1299999999999999</v>
          </cell>
          <cell r="F3435">
            <v>0</v>
          </cell>
          <cell r="G3435">
            <v>0</v>
          </cell>
          <cell r="H3435">
            <v>102.08697051076905</v>
          </cell>
          <cell r="I3435">
            <v>0</v>
          </cell>
          <cell r="J3435"/>
          <cell r="K3435">
            <v>102.08697051076905</v>
          </cell>
        </row>
        <row r="3436">
          <cell r="A3436">
            <v>6.375</v>
          </cell>
          <cell r="B3436">
            <v>102.238</v>
          </cell>
          <cell r="C3436">
            <v>0.73854383975763349</v>
          </cell>
          <cell r="D3436">
            <v>102.97654383975764</v>
          </cell>
          <cell r="E3436">
            <v>1.1299999999999999</v>
          </cell>
          <cell r="F3436">
            <v>0</v>
          </cell>
          <cell r="G3436">
            <v>0</v>
          </cell>
          <cell r="H3436">
            <v>101.84654383975764</v>
          </cell>
          <cell r="I3436">
            <v>0</v>
          </cell>
          <cell r="J3436"/>
          <cell r="K3436">
            <v>101.84654383975764</v>
          </cell>
        </row>
        <row r="3437">
          <cell r="A3437">
            <v>6.25</v>
          </cell>
          <cell r="B3437">
            <v>101.91</v>
          </cell>
          <cell r="C3437">
            <v>0.77507419526604571</v>
          </cell>
          <cell r="D3437">
            <v>102.68507419526604</v>
          </cell>
          <cell r="E3437">
            <v>1.1299999999999999</v>
          </cell>
          <cell r="F3437">
            <v>0</v>
          </cell>
          <cell r="G3437">
            <v>0</v>
          </cell>
          <cell r="H3437">
            <v>101.55507419526604</v>
          </cell>
          <cell r="I3437">
            <v>0</v>
          </cell>
          <cell r="J3437"/>
          <cell r="K3437">
            <v>101.55507419526604</v>
          </cell>
        </row>
        <row r="3438">
          <cell r="A3438">
            <v>6.125</v>
          </cell>
          <cell r="B3438">
            <v>101.538</v>
          </cell>
          <cell r="C3438">
            <v>0.81193159693787897</v>
          </cell>
          <cell r="D3438">
            <v>102.34993159693788</v>
          </cell>
          <cell r="E3438">
            <v>1.1299999999999999</v>
          </cell>
          <cell r="F3438">
            <v>0</v>
          </cell>
          <cell r="G3438">
            <v>0</v>
          </cell>
          <cell r="H3438">
            <v>101.21993159693788</v>
          </cell>
          <cell r="I3438">
            <v>0</v>
          </cell>
          <cell r="J3438"/>
          <cell r="K3438">
            <v>101.21993159693788</v>
          </cell>
        </row>
        <row r="3439">
          <cell r="A3439">
            <v>6</v>
          </cell>
          <cell r="B3439">
            <v>101.24</v>
          </cell>
          <cell r="C3439">
            <v>0.84454537091749549</v>
          </cell>
          <cell r="D3439">
            <v>102.0845453709175</v>
          </cell>
          <cell r="E3439">
            <v>1.1299999999999999</v>
          </cell>
          <cell r="F3439">
            <v>0</v>
          </cell>
          <cell r="G3439">
            <v>0</v>
          </cell>
          <cell r="H3439">
            <v>100.9545453709175</v>
          </cell>
          <cell r="I3439">
            <v>0</v>
          </cell>
          <cell r="J3439"/>
          <cell r="K3439">
            <v>100.9545453709175</v>
          </cell>
        </row>
        <row r="3440">
          <cell r="A3440">
            <v>5.875</v>
          </cell>
          <cell r="B3440">
            <v>100.94</v>
          </cell>
          <cell r="C3440">
            <v>0.87241864753888954</v>
          </cell>
          <cell r="D3440">
            <v>101.81241864753889</v>
          </cell>
          <cell r="E3440">
            <v>1.1299999999999999</v>
          </cell>
          <cell r="F3440">
            <v>0</v>
          </cell>
          <cell r="G3440">
            <v>0</v>
          </cell>
          <cell r="H3440">
            <v>100.6824186475389</v>
          </cell>
          <cell r="I3440">
            <v>0</v>
          </cell>
          <cell r="J3440"/>
          <cell r="K3440">
            <v>100.6824186475389</v>
          </cell>
        </row>
        <row r="3441">
          <cell r="A3441">
            <v>5.75</v>
          </cell>
          <cell r="B3441">
            <v>100.515</v>
          </cell>
          <cell r="C3441">
            <v>0.89405740022148339</v>
          </cell>
          <cell r="D3441">
            <v>101.40905740022149</v>
          </cell>
          <cell r="E3441">
            <v>1.1299999999999999</v>
          </cell>
          <cell r="F3441">
            <v>0</v>
          </cell>
          <cell r="G3441">
            <v>0</v>
          </cell>
          <cell r="H3441">
            <v>100.27905740022149</v>
          </cell>
          <cell r="I3441">
            <v>0</v>
          </cell>
          <cell r="J3441"/>
          <cell r="K3441">
            <v>100.27905740022149</v>
          </cell>
        </row>
        <row r="3442">
          <cell r="A3442">
            <v>5.625</v>
          </cell>
          <cell r="B3442">
            <v>100.16</v>
          </cell>
          <cell r="C3442">
            <v>0.91157641302291992</v>
          </cell>
          <cell r="D3442">
            <v>101.07157641302291</v>
          </cell>
          <cell r="E3442">
            <v>1.1299999999999999</v>
          </cell>
          <cell r="F3442">
            <v>0</v>
          </cell>
          <cell r="G3442">
            <v>0</v>
          </cell>
          <cell r="H3442">
            <v>99.941576413022915</v>
          </cell>
          <cell r="I3442">
            <v>0</v>
          </cell>
          <cell r="J3442"/>
          <cell r="K3442">
            <v>99.941576413022915</v>
          </cell>
        </row>
        <row r="3443">
          <cell r="A3443">
            <v>5.5</v>
          </cell>
          <cell r="B3443">
            <v>99.822000000000003</v>
          </cell>
          <cell r="C3443">
            <v>0.92675711880623857</v>
          </cell>
          <cell r="D3443">
            <v>100.74875711880624</v>
          </cell>
          <cell r="E3443">
            <v>1.1299999999999999</v>
          </cell>
          <cell r="F3443">
            <v>0</v>
          </cell>
          <cell r="G3443">
            <v>0</v>
          </cell>
          <cell r="H3443">
            <v>99.618757118806244</v>
          </cell>
          <cell r="I3443">
            <v>0</v>
          </cell>
          <cell r="J3443"/>
          <cell r="K3443">
            <v>99.618757118806244</v>
          </cell>
        </row>
        <row r="3444">
          <cell r="A3444">
            <v>5.375</v>
          </cell>
          <cell r="B3444">
            <v>99.457999999999998</v>
          </cell>
          <cell r="C3444">
            <v>0.94182030861649346</v>
          </cell>
          <cell r="D3444">
            <v>100.3998203086165</v>
          </cell>
          <cell r="E3444">
            <v>1.1299999999999999</v>
          </cell>
          <cell r="F3444">
            <v>0</v>
          </cell>
          <cell r="G3444">
            <v>0</v>
          </cell>
          <cell r="H3444">
            <v>99.269820308616502</v>
          </cell>
          <cell r="I3444">
            <v>0</v>
          </cell>
          <cell r="J3444"/>
          <cell r="K3444">
            <v>99.269820308616502</v>
          </cell>
        </row>
        <row r="3445">
          <cell r="A3445">
            <v>5.25</v>
          </cell>
          <cell r="B3445">
            <v>99.102999999999994</v>
          </cell>
          <cell r="C3445">
            <v>0.95620950695123663</v>
          </cell>
          <cell r="D3445">
            <v>100.05920950695123</v>
          </cell>
          <cell r="E3445">
            <v>1.1299999999999999</v>
          </cell>
          <cell r="F3445">
            <v>0</v>
          </cell>
          <cell r="G3445">
            <v>0</v>
          </cell>
          <cell r="H3445">
            <v>98.929209506951238</v>
          </cell>
          <cell r="I3445">
            <v>0</v>
          </cell>
          <cell r="J3445"/>
          <cell r="K3445">
            <v>98.929209506951238</v>
          </cell>
        </row>
        <row r="3446">
          <cell r="A3446">
            <v>5.125</v>
          </cell>
          <cell r="B3446">
            <v>98.772000000000006</v>
          </cell>
          <cell r="C3446">
            <v>0.96597412571712737</v>
          </cell>
          <cell r="D3446">
            <v>99.73797412571713</v>
          </cell>
          <cell r="E3446">
            <v>1.1299999999999999</v>
          </cell>
          <cell r="F3446">
            <v>0</v>
          </cell>
          <cell r="G3446">
            <v>0</v>
          </cell>
          <cell r="H3446">
            <v>98.607974125717135</v>
          </cell>
          <cell r="I3446">
            <v>0</v>
          </cell>
          <cell r="J3446"/>
          <cell r="K3446">
            <v>98.607974125717135</v>
          </cell>
        </row>
        <row r="3447">
          <cell r="A3447">
            <v>5</v>
          </cell>
          <cell r="B3447">
            <v>98.221999999999994</v>
          </cell>
          <cell r="C3447">
            <v>0.97578115344577854</v>
          </cell>
          <cell r="D3447">
            <v>99.197781153445774</v>
          </cell>
          <cell r="E3447">
            <v>1.1299999999999999</v>
          </cell>
          <cell r="F3447">
            <v>0</v>
          </cell>
          <cell r="G3447">
            <v>0</v>
          </cell>
          <cell r="H3447">
            <v>98.067781153445779</v>
          </cell>
          <cell r="I3447">
            <v>0</v>
          </cell>
          <cell r="J3447"/>
          <cell r="K3447">
            <v>98.067781153445779</v>
          </cell>
        </row>
        <row r="3448">
          <cell r="A3448">
            <v>4.875</v>
          </cell>
          <cell r="B3448">
            <v>97.844999999999999</v>
          </cell>
          <cell r="C3448">
            <v>0.98464002628506886</v>
          </cell>
          <cell r="D3448">
            <v>98.829640026285063</v>
          </cell>
          <cell r="E3448">
            <v>1.1299999999999999</v>
          </cell>
          <cell r="F3448">
            <v>0</v>
          </cell>
          <cell r="G3448">
            <v>0</v>
          </cell>
          <cell r="H3448">
            <v>97.699640026285067</v>
          </cell>
          <cell r="I3448">
            <v>0</v>
          </cell>
          <cell r="J3448"/>
          <cell r="K3448">
            <v>97.699640026285067</v>
          </cell>
        </row>
        <row r="3449">
          <cell r="A3449">
            <v>4.75</v>
          </cell>
          <cell r="B3449">
            <v>97.447999999999993</v>
          </cell>
          <cell r="C3449">
            <v>0.9931836013906743</v>
          </cell>
          <cell r="D3449">
            <v>98.441183601390662</v>
          </cell>
          <cell r="E3449">
            <v>1.1299999999999999</v>
          </cell>
          <cell r="F3449">
            <v>0</v>
          </cell>
          <cell r="G3449">
            <v>0</v>
          </cell>
          <cell r="H3449">
            <v>97.311183601390667</v>
          </cell>
          <cell r="I3449">
            <v>0</v>
          </cell>
          <cell r="J3449"/>
          <cell r="K3449">
            <v>97.311183601390667</v>
          </cell>
        </row>
        <row r="3450">
          <cell r="A3450">
            <v>4.625</v>
          </cell>
          <cell r="B3450">
            <v>96.986000000000004</v>
          </cell>
          <cell r="C3450">
            <v>0.99945483888891884</v>
          </cell>
          <cell r="D3450">
            <v>97.985454838888927</v>
          </cell>
          <cell r="E3450">
            <v>1.1299999999999999</v>
          </cell>
          <cell r="F3450">
            <v>0</v>
          </cell>
          <cell r="G3450">
            <v>0</v>
          </cell>
          <cell r="H3450">
            <v>96.855454838888932</v>
          </cell>
          <cell r="I3450">
            <v>0</v>
          </cell>
          <cell r="J3450"/>
          <cell r="K3450">
            <v>96.855454838888932</v>
          </cell>
        </row>
        <row r="3451">
          <cell r="A3451">
            <v>4.5</v>
          </cell>
          <cell r="B3451">
            <v>96.777000000000001</v>
          </cell>
          <cell r="C3451">
            <v>1.0064408622094436</v>
          </cell>
          <cell r="D3451">
            <v>97.783440862209446</v>
          </cell>
          <cell r="E3451">
            <v>1.1299999999999999</v>
          </cell>
          <cell r="F3451">
            <v>0</v>
          </cell>
          <cell r="G3451">
            <v>0</v>
          </cell>
          <cell r="H3451">
            <v>96.65344086220945</v>
          </cell>
          <cell r="I3451">
            <v>0</v>
          </cell>
          <cell r="J3451"/>
          <cell r="K3451">
            <v>96.65344086220945</v>
          </cell>
        </row>
        <row r="3452">
          <cell r="A3452">
            <v>4.375</v>
          </cell>
          <cell r="B3452">
            <v>96.325000000000003</v>
          </cell>
          <cell r="C3452">
            <v>1.0126944802008624</v>
          </cell>
          <cell r="D3452">
            <v>97.337694480200867</v>
          </cell>
          <cell r="E3452">
            <v>1.1299999999999999</v>
          </cell>
          <cell r="F3452">
            <v>0</v>
          </cell>
          <cell r="G3452">
            <v>0</v>
          </cell>
          <cell r="H3452">
            <v>96.207694480200871</v>
          </cell>
          <cell r="I3452">
            <v>0</v>
          </cell>
          <cell r="J3452"/>
          <cell r="K3452">
            <v>96.207694480200871</v>
          </cell>
        </row>
        <row r="3453">
          <cell r="A3453">
            <v>4.25</v>
          </cell>
          <cell r="B3453">
            <v>95.872</v>
          </cell>
          <cell r="C3453">
            <v>1.0182504869902909</v>
          </cell>
          <cell r="D3453">
            <v>96.890250486990297</v>
          </cell>
          <cell r="E3453">
            <v>1.1299999999999999</v>
          </cell>
          <cell r="F3453">
            <v>0</v>
          </cell>
          <cell r="G3453">
            <v>0</v>
          </cell>
          <cell r="H3453">
            <v>95.760250486990302</v>
          </cell>
          <cell r="I3453">
            <v>0</v>
          </cell>
          <cell r="J3453"/>
          <cell r="K3453">
            <v>95.760250486990302</v>
          </cell>
        </row>
        <row r="3454">
          <cell r="A3454">
            <v>4.125</v>
          </cell>
          <cell r="B3454">
            <v>95.507000000000005</v>
          </cell>
          <cell r="C3454">
            <v>1.0217722423438786</v>
          </cell>
          <cell r="D3454">
            <v>96.528772242343877</v>
          </cell>
          <cell r="E3454">
            <v>1.1299999999999999</v>
          </cell>
          <cell r="F3454">
            <v>0</v>
          </cell>
          <cell r="G3454">
            <v>0</v>
          </cell>
          <cell r="H3454">
            <v>95.398772242343881</v>
          </cell>
          <cell r="I3454">
            <v>0</v>
          </cell>
          <cell r="J3454"/>
          <cell r="K3454">
            <v>95.398772242343881</v>
          </cell>
        </row>
        <row r="3455">
          <cell r="A3455">
            <v>4</v>
          </cell>
          <cell r="B3455">
            <v>96.27</v>
          </cell>
          <cell r="C3455">
            <v>1.0265176804877132</v>
          </cell>
          <cell r="D3455">
            <v>97.29651768048771</v>
          </cell>
          <cell r="E3455">
            <v>1.1299999999999999</v>
          </cell>
          <cell r="F3455">
            <v>0</v>
          </cell>
          <cell r="G3455">
            <v>0</v>
          </cell>
          <cell r="H3455">
            <v>96.166517680487715</v>
          </cell>
          <cell r="I3455">
            <v>0</v>
          </cell>
          <cell r="J3455"/>
          <cell r="K3455">
            <v>96.166517680487715</v>
          </cell>
        </row>
        <row r="3456">
          <cell r="A3456"/>
          <cell r="B3456"/>
          <cell r="C3456"/>
          <cell r="D3456"/>
          <cell r="E3456"/>
          <cell r="F3456"/>
          <cell r="G3456"/>
          <cell r="H3456"/>
          <cell r="I3456"/>
          <cell r="J3456"/>
          <cell r="K3456"/>
        </row>
        <row r="4302">
          <cell r="A4302">
            <v>10.875</v>
          </cell>
          <cell r="B4302" t="e">
            <v>#N/A</v>
          </cell>
          <cell r="C4302"/>
          <cell r="D4302" t="e">
            <v>#N/A</v>
          </cell>
          <cell r="E4302">
            <v>2</v>
          </cell>
          <cell r="F4302">
            <v>0</v>
          </cell>
          <cell r="G4302">
            <v>0</v>
          </cell>
          <cell r="H4302" t="e">
            <v>#N/A</v>
          </cell>
          <cell r="I4302">
            <v>0</v>
          </cell>
          <cell r="J4302"/>
          <cell r="K4302" t="e">
            <v>#N/A</v>
          </cell>
        </row>
        <row r="4303">
          <cell r="A4303">
            <v>10.75</v>
          </cell>
          <cell r="B4303">
            <v>113.389183</v>
          </cell>
          <cell r="C4303"/>
          <cell r="D4303">
            <v>113.389183</v>
          </cell>
          <cell r="E4303">
            <v>2</v>
          </cell>
          <cell r="F4303"/>
          <cell r="G4303">
            <v>0</v>
          </cell>
          <cell r="H4303">
            <v>111.389183</v>
          </cell>
          <cell r="I4303">
            <v>0</v>
          </cell>
          <cell r="J4303"/>
          <cell r="K4303">
            <v>111.389183</v>
          </cell>
        </row>
        <row r="4304">
          <cell r="A4304">
            <v>10.625</v>
          </cell>
          <cell r="B4304">
            <v>113.01641600000001</v>
          </cell>
          <cell r="C4304"/>
          <cell r="D4304">
            <v>113.01641600000001</v>
          </cell>
          <cell r="E4304">
            <v>2</v>
          </cell>
          <cell r="F4304"/>
          <cell r="G4304">
            <v>0</v>
          </cell>
          <cell r="H4304">
            <v>111.01641600000001</v>
          </cell>
          <cell r="I4304">
            <v>0</v>
          </cell>
          <cell r="J4304"/>
          <cell r="K4304">
            <v>111.01641600000001</v>
          </cell>
        </row>
        <row r="4305">
          <cell r="A4305">
            <v>10.5</v>
          </cell>
          <cell r="B4305">
            <v>112.62502600000001</v>
          </cell>
          <cell r="C4305"/>
          <cell r="D4305">
            <v>112.62502600000001</v>
          </cell>
          <cell r="E4305">
            <v>2</v>
          </cell>
          <cell r="F4305"/>
          <cell r="G4305">
            <v>0</v>
          </cell>
          <cell r="H4305">
            <v>110.62502600000001</v>
          </cell>
          <cell r="I4305">
            <v>0</v>
          </cell>
          <cell r="J4305"/>
          <cell r="K4305">
            <v>110.62502600000001</v>
          </cell>
        </row>
        <row r="4306">
          <cell r="A4306">
            <v>10.375</v>
          </cell>
          <cell r="B4306">
            <v>112.226209</v>
          </cell>
          <cell r="C4306"/>
          <cell r="D4306">
            <v>112.226209</v>
          </cell>
          <cell r="E4306">
            <v>2</v>
          </cell>
          <cell r="F4306"/>
          <cell r="G4306">
            <v>0</v>
          </cell>
          <cell r="H4306">
            <v>110.226209</v>
          </cell>
          <cell r="I4306">
            <v>0</v>
          </cell>
          <cell r="J4306"/>
          <cell r="K4306">
            <v>110.226209</v>
          </cell>
        </row>
        <row r="4307">
          <cell r="A4307">
            <v>10.25</v>
          </cell>
          <cell r="B4307">
            <v>111.805662</v>
          </cell>
          <cell r="C4307"/>
          <cell r="D4307">
            <v>111.805662</v>
          </cell>
          <cell r="E4307">
            <v>2</v>
          </cell>
          <cell r="F4307"/>
          <cell r="G4307">
            <v>0</v>
          </cell>
          <cell r="H4307">
            <v>109.805662</v>
          </cell>
          <cell r="I4307">
            <v>0</v>
          </cell>
          <cell r="J4307"/>
          <cell r="K4307">
            <v>109.805662</v>
          </cell>
        </row>
        <row r="4308">
          <cell r="A4308">
            <v>10.125</v>
          </cell>
          <cell r="B4308">
            <v>111.383512</v>
          </cell>
          <cell r="C4308"/>
          <cell r="D4308">
            <v>111.383512</v>
          </cell>
          <cell r="E4308">
            <v>2</v>
          </cell>
          <cell r="F4308"/>
          <cell r="G4308">
            <v>0</v>
          </cell>
          <cell r="H4308">
            <v>109.383512</v>
          </cell>
          <cell r="I4308">
            <v>0</v>
          </cell>
          <cell r="J4308"/>
          <cell r="K4308">
            <v>109.383512</v>
          </cell>
        </row>
        <row r="4309">
          <cell r="A4309">
            <v>10</v>
          </cell>
          <cell r="B4309">
            <v>110.952749</v>
          </cell>
          <cell r="C4309"/>
          <cell r="D4309">
            <v>110.952749</v>
          </cell>
          <cell r="E4309">
            <v>2</v>
          </cell>
          <cell r="F4309"/>
          <cell r="G4309">
            <v>0</v>
          </cell>
          <cell r="H4309">
            <v>108.952749</v>
          </cell>
          <cell r="I4309">
            <v>0</v>
          </cell>
          <cell r="J4309"/>
          <cell r="K4309">
            <v>108.952749</v>
          </cell>
        </row>
        <row r="4310">
          <cell r="A4310">
            <v>9.875</v>
          </cell>
          <cell r="B4310">
            <v>110.513392</v>
          </cell>
          <cell r="C4310"/>
          <cell r="D4310">
            <v>110.513392</v>
          </cell>
          <cell r="E4310">
            <v>2</v>
          </cell>
          <cell r="F4310"/>
          <cell r="G4310">
            <v>0</v>
          </cell>
          <cell r="H4310">
            <v>108.513392</v>
          </cell>
          <cell r="I4310">
            <v>0</v>
          </cell>
          <cell r="J4310"/>
          <cell r="K4310">
            <v>108.513392</v>
          </cell>
        </row>
        <row r="4311">
          <cell r="A4311">
            <v>9.75</v>
          </cell>
          <cell r="B4311">
            <v>110.07608</v>
          </cell>
          <cell r="C4311"/>
          <cell r="D4311">
            <v>110.07608</v>
          </cell>
          <cell r="E4311">
            <v>2</v>
          </cell>
          <cell r="F4311"/>
          <cell r="G4311">
            <v>0</v>
          </cell>
          <cell r="H4311">
            <v>108.07608</v>
          </cell>
          <cell r="I4311">
            <v>0</v>
          </cell>
          <cell r="J4311"/>
          <cell r="K4311">
            <v>108.07608</v>
          </cell>
        </row>
        <row r="4312">
          <cell r="A4312">
            <v>9.625</v>
          </cell>
          <cell r="B4312">
            <v>109.640587</v>
          </cell>
          <cell r="C4312"/>
          <cell r="D4312">
            <v>109.640587</v>
          </cell>
          <cell r="E4312">
            <v>2</v>
          </cell>
          <cell r="F4312"/>
          <cell r="G4312">
            <v>0</v>
          </cell>
          <cell r="H4312">
            <v>107.640587</v>
          </cell>
          <cell r="I4312">
            <v>0</v>
          </cell>
          <cell r="J4312"/>
          <cell r="K4312">
            <v>107.640587</v>
          </cell>
        </row>
        <row r="4313">
          <cell r="A4313">
            <v>9.5</v>
          </cell>
          <cell r="B4313">
            <v>109.197737</v>
          </cell>
          <cell r="C4313"/>
          <cell r="D4313">
            <v>109.197737</v>
          </cell>
          <cell r="E4313">
            <v>2</v>
          </cell>
          <cell r="F4313"/>
          <cell r="G4313">
            <v>0</v>
          </cell>
          <cell r="H4313">
            <v>107.197737</v>
          </cell>
          <cell r="I4313">
            <v>0</v>
          </cell>
          <cell r="J4313"/>
          <cell r="K4313">
            <v>107.197737</v>
          </cell>
        </row>
        <row r="4314">
          <cell r="A4314">
            <v>9.375</v>
          </cell>
          <cell r="B4314">
            <v>108.747828</v>
          </cell>
          <cell r="C4314"/>
          <cell r="D4314">
            <v>108.747828</v>
          </cell>
          <cell r="E4314">
            <v>2</v>
          </cell>
          <cell r="F4314"/>
          <cell r="G4314">
            <v>0</v>
          </cell>
          <cell r="H4314">
            <v>106.747828</v>
          </cell>
          <cell r="I4314">
            <v>0</v>
          </cell>
          <cell r="J4314"/>
          <cell r="K4314">
            <v>106.747828</v>
          </cell>
        </row>
        <row r="4315">
          <cell r="A4315">
            <v>9.25</v>
          </cell>
          <cell r="B4315">
            <v>108.302466</v>
          </cell>
          <cell r="C4315"/>
          <cell r="D4315">
            <v>108.302466</v>
          </cell>
          <cell r="E4315">
            <v>2</v>
          </cell>
          <cell r="F4315"/>
          <cell r="G4315">
            <v>0</v>
          </cell>
          <cell r="H4315">
            <v>106.302466</v>
          </cell>
          <cell r="I4315">
            <v>0</v>
          </cell>
          <cell r="J4315"/>
          <cell r="K4315">
            <v>106.302466</v>
          </cell>
        </row>
        <row r="4316">
          <cell r="A4316">
            <v>9.125</v>
          </cell>
          <cell r="B4316">
            <v>107.850573</v>
          </cell>
          <cell r="C4316"/>
          <cell r="D4316">
            <v>107.850573</v>
          </cell>
          <cell r="E4316">
            <v>2</v>
          </cell>
          <cell r="F4316"/>
          <cell r="G4316">
            <v>0</v>
          </cell>
          <cell r="H4316">
            <v>105.850573</v>
          </cell>
          <cell r="I4316">
            <v>0</v>
          </cell>
          <cell r="J4316"/>
          <cell r="K4316">
            <v>105.850573</v>
          </cell>
        </row>
        <row r="4317">
          <cell r="A4317">
            <v>9</v>
          </cell>
          <cell r="B4317">
            <v>107.404691</v>
          </cell>
          <cell r="C4317"/>
          <cell r="D4317">
            <v>107.404691</v>
          </cell>
          <cell r="E4317">
            <v>2</v>
          </cell>
          <cell r="F4317"/>
          <cell r="G4317">
            <v>0</v>
          </cell>
          <cell r="H4317">
            <v>105.404691</v>
          </cell>
          <cell r="I4317">
            <v>0</v>
          </cell>
          <cell r="J4317"/>
          <cell r="K4317">
            <v>105.404691</v>
          </cell>
        </row>
        <row r="4318">
          <cell r="A4318">
            <v>8.875</v>
          </cell>
          <cell r="B4318">
            <v>106.94954300000001</v>
          </cell>
          <cell r="C4318"/>
          <cell r="D4318">
            <v>106.94954300000001</v>
          </cell>
          <cell r="E4318">
            <v>2</v>
          </cell>
          <cell r="F4318"/>
          <cell r="G4318">
            <v>0</v>
          </cell>
          <cell r="H4318">
            <v>104.94954300000001</v>
          </cell>
          <cell r="I4318">
            <v>0</v>
          </cell>
          <cell r="J4318"/>
          <cell r="K4318">
            <v>104.94954300000001</v>
          </cell>
        </row>
        <row r="4319">
          <cell r="A4319">
            <v>8.75</v>
          </cell>
          <cell r="B4319">
            <v>106.465118</v>
          </cell>
          <cell r="C4319"/>
          <cell r="D4319">
            <v>106.465118</v>
          </cell>
          <cell r="E4319">
            <v>2</v>
          </cell>
          <cell r="F4319"/>
          <cell r="G4319">
            <v>0</v>
          </cell>
          <cell r="H4319">
            <v>104.465118</v>
          </cell>
          <cell r="I4319">
            <v>0</v>
          </cell>
          <cell r="J4319"/>
          <cell r="K4319">
            <v>104.465118</v>
          </cell>
        </row>
        <row r="4320">
          <cell r="A4320">
            <v>8.625</v>
          </cell>
          <cell r="B4320">
            <v>105.975477</v>
          </cell>
          <cell r="C4320"/>
          <cell r="D4320">
            <v>105.975477</v>
          </cell>
          <cell r="E4320">
            <v>2</v>
          </cell>
          <cell r="F4320"/>
          <cell r="G4320">
            <v>0</v>
          </cell>
          <cell r="H4320">
            <v>103.975477</v>
          </cell>
          <cell r="I4320">
            <v>0</v>
          </cell>
          <cell r="J4320"/>
          <cell r="K4320">
            <v>103.975477</v>
          </cell>
        </row>
        <row r="4321">
          <cell r="A4321">
            <v>8.5</v>
          </cell>
          <cell r="B4321">
            <v>105.48672999999999</v>
          </cell>
          <cell r="C4321"/>
          <cell r="D4321">
            <v>105.48672999999999</v>
          </cell>
          <cell r="E4321">
            <v>2</v>
          </cell>
          <cell r="F4321"/>
          <cell r="G4321">
            <v>0</v>
          </cell>
          <cell r="H4321">
            <v>103.48672999999999</v>
          </cell>
          <cell r="I4321">
            <v>0</v>
          </cell>
          <cell r="J4321"/>
          <cell r="K4321">
            <v>103.48672999999999</v>
          </cell>
        </row>
        <row r="4322">
          <cell r="A4322">
            <v>8.375</v>
          </cell>
          <cell r="B4322">
            <v>104.988193</v>
          </cell>
          <cell r="C4322"/>
          <cell r="D4322">
            <v>104.988193</v>
          </cell>
          <cell r="E4322">
            <v>2</v>
          </cell>
          <cell r="F4322"/>
          <cell r="G4322">
            <v>0</v>
          </cell>
          <cell r="H4322">
            <v>102.988193</v>
          </cell>
          <cell r="I4322">
            <v>0</v>
          </cell>
          <cell r="J4322"/>
          <cell r="K4322">
            <v>102.988193</v>
          </cell>
        </row>
        <row r="4323">
          <cell r="A4323">
            <v>8.25</v>
          </cell>
          <cell r="B4323">
            <v>104.4905</v>
          </cell>
          <cell r="C4323"/>
          <cell r="D4323">
            <v>104.4905</v>
          </cell>
          <cell r="E4323">
            <v>2</v>
          </cell>
          <cell r="F4323"/>
          <cell r="G4323">
            <v>0</v>
          </cell>
          <cell r="H4323">
            <v>102.4905</v>
          </cell>
          <cell r="I4323">
            <v>0</v>
          </cell>
          <cell r="J4323"/>
          <cell r="K4323">
            <v>102.4905</v>
          </cell>
        </row>
        <row r="4324">
          <cell r="A4324">
            <v>8.125</v>
          </cell>
          <cell r="B4324">
            <v>103.983175</v>
          </cell>
          <cell r="C4324"/>
          <cell r="D4324">
            <v>103.983175</v>
          </cell>
          <cell r="E4324">
            <v>2</v>
          </cell>
          <cell r="F4324"/>
          <cell r="G4324">
            <v>0</v>
          </cell>
          <cell r="H4324">
            <v>101.983175</v>
          </cell>
          <cell r="I4324">
            <v>0</v>
          </cell>
          <cell r="J4324"/>
          <cell r="K4324">
            <v>101.983175</v>
          </cell>
        </row>
        <row r="4325">
          <cell r="A4325">
            <v>8</v>
          </cell>
          <cell r="B4325">
            <v>103.487166</v>
          </cell>
          <cell r="C4325"/>
          <cell r="D4325">
            <v>103.487166</v>
          </cell>
          <cell r="E4325">
            <v>2</v>
          </cell>
          <cell r="F4325"/>
          <cell r="G4325">
            <v>0</v>
          </cell>
          <cell r="H4325">
            <v>101.487166</v>
          </cell>
          <cell r="I4325">
            <v>0</v>
          </cell>
          <cell r="J4325"/>
          <cell r="K4325">
            <v>101.487166</v>
          </cell>
        </row>
        <row r="4326">
          <cell r="A4326">
            <v>7.875</v>
          </cell>
          <cell r="B4326">
            <v>103.029894</v>
          </cell>
          <cell r="C4326"/>
          <cell r="D4326">
            <v>103.029894</v>
          </cell>
          <cell r="E4326">
            <v>2</v>
          </cell>
          <cell r="F4326"/>
          <cell r="G4326">
            <v>0</v>
          </cell>
          <cell r="H4326">
            <v>101.029894</v>
          </cell>
          <cell r="I4326">
            <v>0</v>
          </cell>
          <cell r="J4326"/>
          <cell r="K4326">
            <v>101.029894</v>
          </cell>
        </row>
        <row r="4327">
          <cell r="A4327">
            <v>7.75</v>
          </cell>
          <cell r="B4327">
            <v>102.53689799999999</v>
          </cell>
          <cell r="C4327"/>
          <cell r="D4327">
            <v>102.53689799999999</v>
          </cell>
          <cell r="E4327">
            <v>2</v>
          </cell>
          <cell r="F4327"/>
          <cell r="G4327">
            <v>0</v>
          </cell>
          <cell r="H4327">
            <v>100.53689799999999</v>
          </cell>
          <cell r="I4327">
            <v>0</v>
          </cell>
          <cell r="J4327"/>
          <cell r="K4327">
            <v>100.53689799999999</v>
          </cell>
        </row>
        <row r="4328">
          <cell r="A4328">
            <v>7.625</v>
          </cell>
          <cell r="B4328">
            <v>102.034567</v>
          </cell>
          <cell r="C4328"/>
          <cell r="D4328">
            <v>102.034567</v>
          </cell>
          <cell r="E4328">
            <v>2</v>
          </cell>
          <cell r="F4328"/>
          <cell r="G4328">
            <v>0</v>
          </cell>
          <cell r="H4328">
            <v>100.034567</v>
          </cell>
          <cell r="I4328">
            <v>0</v>
          </cell>
          <cell r="J4328"/>
          <cell r="K4328">
            <v>100.034567</v>
          </cell>
        </row>
        <row r="4329">
          <cell r="A4329">
            <v>7.5</v>
          </cell>
          <cell r="B4329">
            <v>101.53775400000001</v>
          </cell>
          <cell r="C4329"/>
          <cell r="D4329">
            <v>101.53775400000001</v>
          </cell>
          <cell r="E4329">
            <v>2</v>
          </cell>
          <cell r="F4329"/>
          <cell r="G4329">
            <v>0</v>
          </cell>
          <cell r="H4329">
            <v>99.537754000000007</v>
          </cell>
          <cell r="I4329">
            <v>0</v>
          </cell>
          <cell r="J4329"/>
          <cell r="K4329">
            <v>99.537754000000007</v>
          </cell>
        </row>
        <row r="4330">
          <cell r="A4330">
            <v>7.375</v>
          </cell>
          <cell r="B4330">
            <v>101.038363</v>
          </cell>
          <cell r="C4330"/>
          <cell r="D4330">
            <v>101.038363</v>
          </cell>
          <cell r="E4330">
            <v>2</v>
          </cell>
          <cell r="F4330"/>
          <cell r="G4330">
            <v>0</v>
          </cell>
          <cell r="H4330">
            <v>99.038363000000004</v>
          </cell>
          <cell r="I4330">
            <v>0</v>
          </cell>
          <cell r="J4330"/>
          <cell r="K4330">
            <v>99.038363000000004</v>
          </cell>
        </row>
        <row r="4331">
          <cell r="A4331">
            <v>7.25</v>
          </cell>
          <cell r="B4331">
            <v>100.547738</v>
          </cell>
          <cell r="C4331"/>
          <cell r="D4331">
            <v>100.547738</v>
          </cell>
          <cell r="E4331">
            <v>2</v>
          </cell>
          <cell r="F4331"/>
          <cell r="G4331">
            <v>0</v>
          </cell>
          <cell r="H4331">
            <v>98.547737999999995</v>
          </cell>
          <cell r="I4331">
            <v>0</v>
          </cell>
          <cell r="J4331"/>
          <cell r="K4331">
            <v>98.547737999999995</v>
          </cell>
        </row>
        <row r="4332">
          <cell r="A4332">
            <v>7.125</v>
          </cell>
          <cell r="B4332">
            <v>100.056398</v>
          </cell>
          <cell r="C4332"/>
          <cell r="D4332">
            <v>100.056398</v>
          </cell>
          <cell r="E4332">
            <v>2</v>
          </cell>
          <cell r="F4332"/>
          <cell r="G4332">
            <v>0</v>
          </cell>
          <cell r="H4332">
            <v>98.056398000000002</v>
          </cell>
          <cell r="I4332">
            <v>0</v>
          </cell>
          <cell r="J4332"/>
          <cell r="K4332">
            <v>98.056398000000002</v>
          </cell>
        </row>
        <row r="4333">
          <cell r="A4333">
            <v>7</v>
          </cell>
          <cell r="B4333">
            <v>99.574335000000005</v>
          </cell>
          <cell r="C4333"/>
          <cell r="D4333">
            <v>99.574335000000005</v>
          </cell>
          <cell r="E4333">
            <v>2</v>
          </cell>
          <cell r="F4333"/>
          <cell r="G4333">
            <v>0</v>
          </cell>
          <cell r="H4333">
            <v>97.574335000000005</v>
          </cell>
          <cell r="I4333">
            <v>0</v>
          </cell>
          <cell r="J4333"/>
          <cell r="K4333">
            <v>97.574335000000005</v>
          </cell>
        </row>
        <row r="4334">
          <cell r="A4334">
            <v>6.875</v>
          </cell>
          <cell r="B4334">
            <v>99.101333999999994</v>
          </cell>
          <cell r="C4334"/>
          <cell r="D4334">
            <v>99.101333999999994</v>
          </cell>
          <cell r="E4334">
            <v>2</v>
          </cell>
          <cell r="F4334"/>
          <cell r="G4334">
            <v>0</v>
          </cell>
          <cell r="H4334">
            <v>97.101333999999994</v>
          </cell>
          <cell r="I4334">
            <v>0</v>
          </cell>
          <cell r="J4334"/>
          <cell r="K4334">
            <v>97.101333999999994</v>
          </cell>
        </row>
        <row r="4335">
          <cell r="A4335">
            <v>6.75</v>
          </cell>
          <cell r="B4335">
            <v>98.637181999999996</v>
          </cell>
          <cell r="C4335"/>
          <cell r="D4335">
            <v>98.637181999999996</v>
          </cell>
          <cell r="E4335">
            <v>2</v>
          </cell>
          <cell r="F4335"/>
          <cell r="G4335">
            <v>0</v>
          </cell>
          <cell r="H4335">
            <v>96.637181999999996</v>
          </cell>
          <cell r="I4335">
            <v>0</v>
          </cell>
          <cell r="J4335"/>
          <cell r="K4335">
            <v>96.637181999999996</v>
          </cell>
        </row>
        <row r="4336">
          <cell r="A4336">
            <v>6.625</v>
          </cell>
          <cell r="B4336">
            <v>98.191666999999995</v>
          </cell>
          <cell r="C4336"/>
          <cell r="D4336">
            <v>98.191666999999995</v>
          </cell>
          <cell r="E4336">
            <v>2</v>
          </cell>
          <cell r="F4336"/>
          <cell r="G4336">
            <v>0</v>
          </cell>
          <cell r="H4336">
            <v>96.191666999999995</v>
          </cell>
          <cell r="I4336">
            <v>0</v>
          </cell>
          <cell r="J4336"/>
          <cell r="K4336">
            <v>96.191666999999995</v>
          </cell>
        </row>
        <row r="4337">
          <cell r="A4337">
            <v>6.5</v>
          </cell>
          <cell r="B4337">
            <v>97.701600499999998</v>
          </cell>
          <cell r="C4337"/>
          <cell r="D4337">
            <v>97.701600499999998</v>
          </cell>
          <cell r="E4337">
            <v>2</v>
          </cell>
          <cell r="F4337"/>
          <cell r="G4337">
            <v>0</v>
          </cell>
          <cell r="H4337">
            <v>95.701600499999998</v>
          </cell>
          <cell r="I4337">
            <v>0</v>
          </cell>
          <cell r="J4337"/>
          <cell r="K4337">
            <v>95.701600499999998</v>
          </cell>
        </row>
        <row r="4521">
          <cell r="A4521">
            <v>11.375</v>
          </cell>
          <cell r="B4521">
            <v>105</v>
          </cell>
          <cell r="C4521">
            <v>-0.375</v>
          </cell>
          <cell r="D4521">
            <v>105</v>
          </cell>
          <cell r="E4521"/>
          <cell r="F4521"/>
          <cell r="G4521">
            <v>-0.83999999999999986</v>
          </cell>
          <cell r="H4521">
            <v>104.16</v>
          </cell>
          <cell r="I4521">
            <v>0</v>
          </cell>
          <cell r="J4521"/>
          <cell r="K4521">
            <v>104.16</v>
          </cell>
        </row>
        <row r="4522">
          <cell r="A4522">
            <v>11.25</v>
          </cell>
          <cell r="B4522">
            <v>104.875</v>
          </cell>
          <cell r="C4522"/>
          <cell r="D4522">
            <v>104.875</v>
          </cell>
          <cell r="E4522"/>
          <cell r="F4522"/>
          <cell r="G4522">
            <v>-0.83999999999999986</v>
          </cell>
          <cell r="H4522">
            <v>104.035</v>
          </cell>
          <cell r="I4522">
            <v>0</v>
          </cell>
          <cell r="J4522"/>
          <cell r="K4522">
            <v>104.035</v>
          </cell>
        </row>
        <row r="4523">
          <cell r="A4523">
            <v>11.125</v>
          </cell>
          <cell r="B4523">
            <v>104.75</v>
          </cell>
          <cell r="C4523"/>
          <cell r="D4523">
            <v>104.75</v>
          </cell>
          <cell r="E4523"/>
          <cell r="F4523"/>
          <cell r="G4523">
            <v>-0.83999999999999986</v>
          </cell>
          <cell r="H4523">
            <v>103.91</v>
          </cell>
          <cell r="I4523">
            <v>0</v>
          </cell>
          <cell r="J4523"/>
          <cell r="K4523">
            <v>103.91</v>
          </cell>
        </row>
        <row r="4524">
          <cell r="A4524">
            <v>11</v>
          </cell>
          <cell r="B4524">
            <v>104.625</v>
          </cell>
          <cell r="C4524"/>
          <cell r="D4524">
            <v>104.625</v>
          </cell>
          <cell r="E4524"/>
          <cell r="F4524"/>
          <cell r="G4524">
            <v>-0.83999999999999986</v>
          </cell>
          <cell r="H4524">
            <v>103.785</v>
          </cell>
          <cell r="I4524">
            <v>0</v>
          </cell>
          <cell r="J4524"/>
          <cell r="K4524">
            <v>103.785</v>
          </cell>
        </row>
        <row r="4525">
          <cell r="A4525">
            <v>10.875</v>
          </cell>
          <cell r="B4525">
            <v>104.5</v>
          </cell>
          <cell r="C4525"/>
          <cell r="D4525">
            <v>104.5</v>
          </cell>
          <cell r="E4525"/>
          <cell r="F4525"/>
          <cell r="G4525">
            <v>-0.83999999999999986</v>
          </cell>
          <cell r="H4525">
            <v>103.66</v>
          </cell>
          <cell r="I4525">
            <v>0</v>
          </cell>
          <cell r="J4525"/>
          <cell r="K4525">
            <v>103.66</v>
          </cell>
        </row>
        <row r="4526">
          <cell r="A4526">
            <v>10.75</v>
          </cell>
          <cell r="B4526">
            <v>104.375</v>
          </cell>
          <cell r="C4526"/>
          <cell r="D4526">
            <v>104.375</v>
          </cell>
          <cell r="E4526"/>
          <cell r="F4526"/>
          <cell r="G4526">
            <v>-0.83999999999999986</v>
          </cell>
          <cell r="H4526">
            <v>103.535</v>
          </cell>
          <cell r="I4526">
            <v>0</v>
          </cell>
          <cell r="J4526"/>
          <cell r="K4526">
            <v>103.535</v>
          </cell>
        </row>
        <row r="4527">
          <cell r="A4527">
            <v>10.625</v>
          </cell>
          <cell r="B4527">
            <v>104.25</v>
          </cell>
          <cell r="C4527"/>
          <cell r="D4527">
            <v>104.25</v>
          </cell>
          <cell r="E4527"/>
          <cell r="F4527"/>
          <cell r="G4527">
            <v>-0.83999999999999986</v>
          </cell>
          <cell r="H4527">
            <v>103.41</v>
          </cell>
          <cell r="I4527">
            <v>0</v>
          </cell>
          <cell r="J4527"/>
          <cell r="K4527">
            <v>103.41</v>
          </cell>
        </row>
        <row r="4528">
          <cell r="A4528">
            <v>10.5</v>
          </cell>
          <cell r="B4528">
            <v>104.125</v>
          </cell>
          <cell r="C4528"/>
          <cell r="D4528">
            <v>104.125</v>
          </cell>
          <cell r="E4528"/>
          <cell r="F4528"/>
          <cell r="G4528">
            <v>-0.83999999999999986</v>
          </cell>
          <cell r="H4528">
            <v>103.285</v>
          </cell>
          <cell r="I4528">
            <v>0</v>
          </cell>
          <cell r="J4528"/>
          <cell r="K4528">
            <v>103.285</v>
          </cell>
        </row>
        <row r="4529">
          <cell r="A4529">
            <v>10.375</v>
          </cell>
          <cell r="B4529">
            <v>104</v>
          </cell>
          <cell r="C4529"/>
          <cell r="D4529">
            <v>104</v>
          </cell>
          <cell r="E4529"/>
          <cell r="F4529"/>
          <cell r="G4529">
            <v>-0.83999999999999986</v>
          </cell>
          <cell r="H4529">
            <v>103.16</v>
          </cell>
          <cell r="I4529">
            <v>0</v>
          </cell>
          <cell r="J4529"/>
          <cell r="K4529">
            <v>103.16</v>
          </cell>
        </row>
        <row r="4530">
          <cell r="A4530">
            <v>10.25</v>
          </cell>
          <cell r="B4530">
            <v>103.875</v>
          </cell>
          <cell r="C4530"/>
          <cell r="D4530">
            <v>103.875</v>
          </cell>
          <cell r="E4530"/>
          <cell r="F4530"/>
          <cell r="G4530">
            <v>-0.83999999999999986</v>
          </cell>
          <cell r="H4530">
            <v>103.035</v>
          </cell>
          <cell r="I4530">
            <v>0</v>
          </cell>
          <cell r="J4530"/>
          <cell r="K4530">
            <v>103.035</v>
          </cell>
        </row>
        <row r="4531">
          <cell r="A4531">
            <v>10.125</v>
          </cell>
          <cell r="B4531">
            <v>103.75</v>
          </cell>
          <cell r="C4531"/>
          <cell r="D4531">
            <v>103.75</v>
          </cell>
          <cell r="E4531"/>
          <cell r="F4531"/>
          <cell r="G4531">
            <v>-0.83999999999999986</v>
          </cell>
          <cell r="H4531">
            <v>102.91</v>
          </cell>
          <cell r="I4531">
            <v>0</v>
          </cell>
          <cell r="J4531"/>
          <cell r="K4531">
            <v>102.91</v>
          </cell>
        </row>
        <row r="4532">
          <cell r="A4532">
            <v>10</v>
          </cell>
          <cell r="B4532">
            <v>103.5</v>
          </cell>
          <cell r="C4532"/>
          <cell r="D4532">
            <v>103.5</v>
          </cell>
          <cell r="E4532"/>
          <cell r="F4532"/>
          <cell r="G4532">
            <v>-0.83999999999999986</v>
          </cell>
          <cell r="H4532">
            <v>102.66</v>
          </cell>
          <cell r="I4532">
            <v>0</v>
          </cell>
          <cell r="J4532"/>
          <cell r="K4532">
            <v>102.66</v>
          </cell>
        </row>
        <row r="4533">
          <cell r="A4533">
            <v>9.875</v>
          </cell>
          <cell r="B4533">
            <v>103.25</v>
          </cell>
          <cell r="C4533"/>
          <cell r="D4533">
            <v>103.25</v>
          </cell>
          <cell r="E4533"/>
          <cell r="F4533"/>
          <cell r="G4533">
            <v>-0.83999999999999986</v>
          </cell>
          <cell r="H4533">
            <v>102.41</v>
          </cell>
          <cell r="I4533">
            <v>0</v>
          </cell>
          <cell r="J4533"/>
          <cell r="K4533">
            <v>102.41</v>
          </cell>
        </row>
        <row r="4534">
          <cell r="A4534">
            <v>9.75</v>
          </cell>
          <cell r="B4534">
            <v>103</v>
          </cell>
          <cell r="C4534"/>
          <cell r="D4534">
            <v>103</v>
          </cell>
          <cell r="E4534"/>
          <cell r="F4534"/>
          <cell r="G4534">
            <v>-0.83999999999999986</v>
          </cell>
          <cell r="H4534">
            <v>102.16</v>
          </cell>
          <cell r="I4534">
            <v>0</v>
          </cell>
          <cell r="J4534"/>
          <cell r="K4534">
            <v>102.16</v>
          </cell>
        </row>
        <row r="4535">
          <cell r="A4535">
            <v>9.625</v>
          </cell>
          <cell r="B4535">
            <v>102.75</v>
          </cell>
          <cell r="C4535"/>
          <cell r="D4535">
            <v>102.75</v>
          </cell>
          <cell r="E4535"/>
          <cell r="F4535"/>
          <cell r="G4535">
            <v>-0.83999999999999986</v>
          </cell>
          <cell r="H4535">
            <v>101.91</v>
          </cell>
          <cell r="I4535">
            <v>0</v>
          </cell>
          <cell r="J4535"/>
          <cell r="K4535">
            <v>101.91</v>
          </cell>
        </row>
        <row r="4536">
          <cell r="A4536">
            <v>9.5</v>
          </cell>
          <cell r="B4536">
            <v>102.5</v>
          </cell>
          <cell r="C4536"/>
          <cell r="D4536">
            <v>102.5</v>
          </cell>
          <cell r="E4536"/>
          <cell r="F4536"/>
          <cell r="G4536">
            <v>-0.83999999999999986</v>
          </cell>
          <cell r="H4536">
            <v>101.66</v>
          </cell>
          <cell r="I4536">
            <v>0</v>
          </cell>
          <cell r="J4536"/>
          <cell r="K4536">
            <v>101.66</v>
          </cell>
        </row>
        <row r="4537">
          <cell r="A4537">
            <v>9.375</v>
          </cell>
          <cell r="B4537">
            <v>102.25</v>
          </cell>
          <cell r="C4537"/>
          <cell r="D4537">
            <v>102.25</v>
          </cell>
          <cell r="E4537"/>
          <cell r="F4537"/>
          <cell r="G4537">
            <v>-0.83999999999999986</v>
          </cell>
          <cell r="H4537">
            <v>101.41</v>
          </cell>
          <cell r="I4537">
            <v>0</v>
          </cell>
          <cell r="J4537"/>
          <cell r="K4537">
            <v>101.41</v>
          </cell>
        </row>
        <row r="4538">
          <cell r="A4538">
            <v>9.25</v>
          </cell>
          <cell r="B4538">
            <v>102</v>
          </cell>
          <cell r="C4538"/>
          <cell r="D4538">
            <v>102</v>
          </cell>
          <cell r="E4538"/>
          <cell r="F4538"/>
          <cell r="G4538">
            <v>-0.83999999999999986</v>
          </cell>
          <cell r="H4538">
            <v>101.16</v>
          </cell>
          <cell r="I4538">
            <v>0</v>
          </cell>
          <cell r="J4538"/>
          <cell r="K4538">
            <v>101.16</v>
          </cell>
        </row>
        <row r="4539">
          <cell r="A4539">
            <v>9.125</v>
          </cell>
          <cell r="B4539">
            <v>101.75</v>
          </cell>
          <cell r="C4539"/>
          <cell r="D4539">
            <v>101.75</v>
          </cell>
          <cell r="E4539"/>
          <cell r="F4539"/>
          <cell r="G4539">
            <v>-0.83999999999999986</v>
          </cell>
          <cell r="H4539">
            <v>100.91</v>
          </cell>
          <cell r="I4539">
            <v>0</v>
          </cell>
          <cell r="J4539"/>
          <cell r="K4539">
            <v>100.91</v>
          </cell>
        </row>
        <row r="4540">
          <cell r="A4540">
            <v>9</v>
          </cell>
          <cell r="B4540">
            <v>101.5</v>
          </cell>
          <cell r="C4540"/>
          <cell r="D4540">
            <v>101.5</v>
          </cell>
          <cell r="E4540"/>
          <cell r="F4540"/>
          <cell r="G4540">
            <v>-0.83999999999999986</v>
          </cell>
          <cell r="H4540">
            <v>100.66</v>
          </cell>
          <cell r="I4540">
            <v>0</v>
          </cell>
          <cell r="J4540"/>
          <cell r="K4540">
            <v>100.66</v>
          </cell>
        </row>
        <row r="4541">
          <cell r="A4541">
            <v>8.875</v>
          </cell>
          <cell r="B4541">
            <v>101.25</v>
          </cell>
          <cell r="C4541"/>
          <cell r="D4541">
            <v>101.25</v>
          </cell>
          <cell r="E4541"/>
          <cell r="F4541"/>
          <cell r="G4541">
            <v>-0.83999999999999986</v>
          </cell>
          <cell r="H4541">
            <v>100.41</v>
          </cell>
          <cell r="I4541">
            <v>0</v>
          </cell>
          <cell r="J4541"/>
          <cell r="K4541">
            <v>100.41</v>
          </cell>
        </row>
        <row r="4542">
          <cell r="A4542">
            <v>8.75</v>
          </cell>
          <cell r="B4542">
            <v>101</v>
          </cell>
          <cell r="C4542"/>
          <cell r="D4542">
            <v>101</v>
          </cell>
          <cell r="E4542"/>
          <cell r="F4542"/>
          <cell r="G4542">
            <v>-0.83999999999999986</v>
          </cell>
          <cell r="H4542">
            <v>100.16</v>
          </cell>
          <cell r="I4542">
            <v>0</v>
          </cell>
          <cell r="J4542"/>
          <cell r="K4542">
            <v>100.16</v>
          </cell>
        </row>
        <row r="4543">
          <cell r="A4543">
            <v>8.625</v>
          </cell>
          <cell r="B4543">
            <v>100.75</v>
          </cell>
          <cell r="C4543"/>
          <cell r="D4543">
            <v>100.75</v>
          </cell>
          <cell r="E4543"/>
          <cell r="F4543"/>
          <cell r="G4543">
            <v>-0.83999999999999986</v>
          </cell>
          <cell r="H4543">
            <v>99.91</v>
          </cell>
          <cell r="I4543">
            <v>0</v>
          </cell>
          <cell r="J4543"/>
          <cell r="K4543">
            <v>99.91</v>
          </cell>
        </row>
        <row r="4544">
          <cell r="A4544">
            <v>8.5</v>
          </cell>
          <cell r="B4544">
            <v>100.375</v>
          </cell>
          <cell r="C4544"/>
          <cell r="D4544">
            <v>100.375</v>
          </cell>
          <cell r="E4544"/>
          <cell r="F4544"/>
          <cell r="G4544">
            <v>-0.83999999999999986</v>
          </cell>
          <cell r="H4544">
            <v>99.534999999999997</v>
          </cell>
          <cell r="I4544">
            <v>0</v>
          </cell>
          <cell r="J4544"/>
          <cell r="K4544">
            <v>99.534999999999997</v>
          </cell>
        </row>
        <row r="4545">
          <cell r="A4545">
            <v>8.375</v>
          </cell>
          <cell r="B4545">
            <v>100</v>
          </cell>
          <cell r="C4545"/>
          <cell r="D4545">
            <v>100</v>
          </cell>
          <cell r="E4545"/>
          <cell r="F4545"/>
          <cell r="G4545">
            <v>-0.83999999999999986</v>
          </cell>
          <cell r="H4545">
            <v>99.16</v>
          </cell>
          <cell r="I4545">
            <v>0</v>
          </cell>
          <cell r="J4545"/>
          <cell r="K4545">
            <v>99.16</v>
          </cell>
        </row>
        <row r="4546">
          <cell r="A4546">
            <v>8.25</v>
          </cell>
          <cell r="B4546">
            <v>99.625</v>
          </cell>
          <cell r="C4546"/>
          <cell r="D4546">
            <v>99.625</v>
          </cell>
          <cell r="E4546"/>
          <cell r="F4546"/>
          <cell r="G4546">
            <v>-0.83999999999999986</v>
          </cell>
          <cell r="H4546">
            <v>98.784999999999997</v>
          </cell>
          <cell r="I4546">
            <v>0</v>
          </cell>
          <cell r="J4546"/>
          <cell r="K4546">
            <v>98.784999999999997</v>
          </cell>
        </row>
        <row r="4547">
          <cell r="A4547">
            <v>8.125</v>
          </cell>
          <cell r="B4547">
            <v>99.25</v>
          </cell>
          <cell r="C4547"/>
          <cell r="D4547">
            <v>99.25</v>
          </cell>
          <cell r="E4547"/>
          <cell r="F4547"/>
          <cell r="G4547">
            <v>-0.83999999999999986</v>
          </cell>
          <cell r="H4547">
            <v>98.41</v>
          </cell>
          <cell r="I4547">
            <v>0</v>
          </cell>
          <cell r="J4547"/>
          <cell r="K4547">
            <v>98.41</v>
          </cell>
        </row>
        <row r="4548">
          <cell r="A4548">
            <v>8</v>
          </cell>
          <cell r="B4548">
            <v>98.875</v>
          </cell>
          <cell r="C4548"/>
          <cell r="D4548">
            <v>98.875</v>
          </cell>
          <cell r="E4548"/>
          <cell r="F4548"/>
          <cell r="G4548">
            <v>-0.83999999999999986</v>
          </cell>
          <cell r="H4548">
            <v>98.034999999999997</v>
          </cell>
          <cell r="I4548">
            <v>0</v>
          </cell>
          <cell r="J4548"/>
          <cell r="K4548">
            <v>98.034999999999997</v>
          </cell>
        </row>
        <row r="4549">
          <cell r="A4549">
            <v>7.875</v>
          </cell>
          <cell r="B4549">
            <v>98.375</v>
          </cell>
          <cell r="C4549"/>
          <cell r="D4549">
            <v>98.375</v>
          </cell>
          <cell r="E4549"/>
          <cell r="F4549"/>
          <cell r="G4549">
            <v>-0.83999999999999986</v>
          </cell>
          <cell r="H4549">
            <v>97.534999999999997</v>
          </cell>
          <cell r="I4549">
            <v>0</v>
          </cell>
          <cell r="J4549"/>
          <cell r="K4549">
            <v>97.534999999999997</v>
          </cell>
        </row>
        <row r="4550">
          <cell r="A4550">
            <v>7.75</v>
          </cell>
          <cell r="B4550">
            <v>97.875</v>
          </cell>
          <cell r="C4550"/>
          <cell r="D4550">
            <v>97.875</v>
          </cell>
          <cell r="E4550"/>
          <cell r="F4550"/>
          <cell r="G4550">
            <v>-0.83999999999999986</v>
          </cell>
          <cell r="H4550">
            <v>97.034999999999997</v>
          </cell>
          <cell r="I4550">
            <v>0</v>
          </cell>
          <cell r="J4550"/>
          <cell r="K4550">
            <v>97.034999999999997</v>
          </cell>
        </row>
        <row r="4551">
          <cell r="A4551">
            <v>7.625</v>
          </cell>
          <cell r="B4551">
            <v>97.25</v>
          </cell>
          <cell r="C4551"/>
          <cell r="D4551">
            <v>97.25</v>
          </cell>
          <cell r="E4551"/>
          <cell r="F4551"/>
          <cell r="G4551">
            <v>-0.83999999999999986</v>
          </cell>
          <cell r="H4551">
            <v>96.41</v>
          </cell>
          <cell r="I4551">
            <v>0</v>
          </cell>
          <cell r="J4551"/>
          <cell r="K4551">
            <v>96.41</v>
          </cell>
        </row>
        <row r="4552">
          <cell r="A4552">
            <v>7.5</v>
          </cell>
          <cell r="B4552">
            <v>96.625</v>
          </cell>
          <cell r="C4552"/>
          <cell r="D4552">
            <v>96.625</v>
          </cell>
          <cell r="E4552"/>
          <cell r="F4552"/>
          <cell r="G4552">
            <v>-0.83999999999999986</v>
          </cell>
          <cell r="H4552">
            <v>95.784999999999997</v>
          </cell>
          <cell r="I4552">
            <v>0</v>
          </cell>
          <cell r="J4552"/>
          <cell r="K4552">
            <v>95.784999999999997</v>
          </cell>
        </row>
        <row r="4553">
          <cell r="A4553">
            <v>7.375</v>
          </cell>
          <cell r="B4553">
            <v>96</v>
          </cell>
          <cell r="C4553"/>
          <cell r="D4553">
            <v>96</v>
          </cell>
          <cell r="E4553"/>
          <cell r="F4553"/>
          <cell r="G4553">
            <v>-0.83999999999999986</v>
          </cell>
          <cell r="H4553">
            <v>95.16</v>
          </cell>
          <cell r="I4553">
            <v>0</v>
          </cell>
          <cell r="J4553"/>
          <cell r="K4553">
            <v>95.16</v>
          </cell>
        </row>
        <row r="4558">
          <cell r="C4558">
            <v>1.25</v>
          </cell>
          <cell r="D4558">
            <v>98.375</v>
          </cell>
          <cell r="E4558"/>
          <cell r="F4558">
            <v>-0.1</v>
          </cell>
          <cell r="G4558">
            <v>6.75</v>
          </cell>
          <cell r="H4558">
            <v>98.275000000000006</v>
          </cell>
        </row>
        <row r="4559">
          <cell r="C4559">
            <v>1.375</v>
          </cell>
          <cell r="D4559">
            <v>98.875</v>
          </cell>
          <cell r="E4559"/>
          <cell r="F4559">
            <v>-0.1</v>
          </cell>
          <cell r="G4559"/>
          <cell r="H4559">
            <v>98.775000000000006</v>
          </cell>
        </row>
        <row r="4560">
          <cell r="C4560">
            <v>1.5</v>
          </cell>
          <cell r="D4560">
            <v>99.375</v>
          </cell>
          <cell r="E4560"/>
          <cell r="F4560">
            <v>-0.1</v>
          </cell>
          <cell r="G4560" t="str">
            <v>RATE CHANGE</v>
          </cell>
          <cell r="H4560">
            <v>99.275000000000006</v>
          </cell>
        </row>
        <row r="4561">
          <cell r="C4561">
            <v>1.625</v>
          </cell>
          <cell r="D4561">
            <v>99.875</v>
          </cell>
          <cell r="E4561"/>
          <cell r="F4561">
            <v>-0.1</v>
          </cell>
          <cell r="G4561">
            <v>-0.5</v>
          </cell>
          <cell r="H4561">
            <v>99.775000000000006</v>
          </cell>
        </row>
        <row r="4562">
          <cell r="C4562">
            <v>1.75</v>
          </cell>
          <cell r="D4562">
            <v>100.25</v>
          </cell>
          <cell r="E4562"/>
          <cell r="F4562">
            <v>-0.1</v>
          </cell>
          <cell r="G4562"/>
          <cell r="H4562">
            <v>100.15</v>
          </cell>
        </row>
        <row r="4563">
          <cell r="C4563">
            <v>1.875</v>
          </cell>
          <cell r="D4563">
            <v>100.625</v>
          </cell>
          <cell r="E4563"/>
          <cell r="F4563">
            <v>-0.1</v>
          </cell>
          <cell r="G4563"/>
          <cell r="H4563">
            <v>100.52500000000001</v>
          </cell>
        </row>
        <row r="4564">
          <cell r="C4564">
            <v>2</v>
          </cell>
          <cell r="D4564">
            <v>101</v>
          </cell>
          <cell r="E4564"/>
          <cell r="F4564">
            <v>-0.1</v>
          </cell>
          <cell r="G4564"/>
          <cell r="H4564">
            <v>100.9</v>
          </cell>
        </row>
        <row r="4565">
          <cell r="C4565">
            <v>2.125</v>
          </cell>
          <cell r="D4565">
            <v>101.375</v>
          </cell>
          <cell r="E4565"/>
          <cell r="F4565">
            <v>-0.1</v>
          </cell>
          <cell r="G4565"/>
          <cell r="H4565">
            <v>101.27500000000001</v>
          </cell>
        </row>
        <row r="4566">
          <cell r="C4566">
            <v>2.25</v>
          </cell>
          <cell r="D4566">
            <v>101.75</v>
          </cell>
          <cell r="E4566"/>
          <cell r="F4566">
            <v>-0.1</v>
          </cell>
          <cell r="G4566"/>
          <cell r="H4566">
            <v>101.65</v>
          </cell>
        </row>
        <row r="4567">
          <cell r="C4567">
            <v>2.375</v>
          </cell>
          <cell r="D4567">
            <v>102.125</v>
          </cell>
          <cell r="E4567"/>
          <cell r="F4567">
            <v>-0.1</v>
          </cell>
          <cell r="G4567"/>
          <cell r="H4567">
            <v>102.02500000000001</v>
          </cell>
        </row>
        <row r="4568">
          <cell r="C4568">
            <v>2.5</v>
          </cell>
          <cell r="D4568">
            <v>102.5</v>
          </cell>
          <cell r="E4568"/>
          <cell r="F4568">
            <v>-0.1</v>
          </cell>
          <cell r="G4568"/>
          <cell r="H4568">
            <v>102.4</v>
          </cell>
        </row>
        <row r="4569">
          <cell r="C4569">
            <v>2.625</v>
          </cell>
          <cell r="D4569">
            <v>102.813</v>
          </cell>
          <cell r="E4569"/>
          <cell r="F4569">
            <v>-0.1</v>
          </cell>
          <cell r="G4569"/>
          <cell r="H4569">
            <v>102.71300000000001</v>
          </cell>
        </row>
        <row r="4570">
          <cell r="C4570">
            <v>2.75</v>
          </cell>
          <cell r="D4570">
            <v>103.125</v>
          </cell>
          <cell r="E4570"/>
          <cell r="F4570">
            <v>-0.1</v>
          </cell>
          <cell r="G4570"/>
          <cell r="H4570">
            <v>103.02500000000001</v>
          </cell>
        </row>
        <row r="4571">
          <cell r="C4571">
            <v>2.875</v>
          </cell>
          <cell r="D4571">
            <v>103.438</v>
          </cell>
          <cell r="E4571"/>
          <cell r="F4571">
            <v>-0.1</v>
          </cell>
          <cell r="G4571"/>
          <cell r="H4571">
            <v>103.33800000000001</v>
          </cell>
        </row>
        <row r="4572">
          <cell r="C4572">
            <v>3</v>
          </cell>
          <cell r="D4572">
            <v>103.75</v>
          </cell>
          <cell r="E4572"/>
          <cell r="F4572">
            <v>-0.1</v>
          </cell>
          <cell r="G4572"/>
          <cell r="H4572">
            <v>103.65</v>
          </cell>
        </row>
        <row r="4573">
          <cell r="C4573">
            <v>3.125</v>
          </cell>
          <cell r="D4573">
            <v>104.063</v>
          </cell>
          <cell r="E4573"/>
          <cell r="F4573">
            <v>-0.1</v>
          </cell>
          <cell r="G4573"/>
          <cell r="H4573">
            <v>103.96300000000001</v>
          </cell>
        </row>
        <row r="4574">
          <cell r="C4574">
            <v>3.25</v>
          </cell>
          <cell r="D4574">
            <v>104.375</v>
          </cell>
          <cell r="E4574"/>
          <cell r="F4574">
            <v>-0.1</v>
          </cell>
          <cell r="G4574"/>
          <cell r="H4574">
            <v>104.27500000000001</v>
          </cell>
        </row>
        <row r="4575">
          <cell r="C4575">
            <v>3.375</v>
          </cell>
          <cell r="D4575">
            <v>104.625</v>
          </cell>
          <cell r="E4575"/>
          <cell r="F4575">
            <v>-0.1</v>
          </cell>
          <cell r="G4575"/>
          <cell r="H4575">
            <v>104.52500000000001</v>
          </cell>
        </row>
        <row r="4576">
          <cell r="C4576">
            <v>3.5</v>
          </cell>
          <cell r="D4576">
            <v>104.875</v>
          </cell>
          <cell r="E4576"/>
          <cell r="F4576">
            <v>-0.1</v>
          </cell>
          <cell r="G4576"/>
          <cell r="H4576">
            <v>104.77500000000001</v>
          </cell>
        </row>
        <row r="4577">
          <cell r="C4577">
            <v>3.625</v>
          </cell>
          <cell r="D4577">
            <v>105.125</v>
          </cell>
          <cell r="E4577"/>
          <cell r="F4577">
            <v>-0.1</v>
          </cell>
          <cell r="G4577"/>
          <cell r="H4577">
            <v>105.02500000000001</v>
          </cell>
        </row>
        <row r="4578">
          <cell r="C4578">
            <v>3.75</v>
          </cell>
          <cell r="D4578">
            <v>105.375</v>
          </cell>
          <cell r="E4578"/>
          <cell r="F4578">
            <v>-0.1</v>
          </cell>
          <cell r="G4578"/>
          <cell r="H4578">
            <v>105.27500000000001</v>
          </cell>
        </row>
        <row r="4579">
          <cell r="C4579">
            <v>3.875</v>
          </cell>
          <cell r="D4579">
            <v>105.625</v>
          </cell>
          <cell r="E4579"/>
          <cell r="F4579">
            <v>-0.1</v>
          </cell>
          <cell r="G4579"/>
          <cell r="H4579">
            <v>105.52500000000001</v>
          </cell>
        </row>
        <row r="4580">
          <cell r="C4580">
            <v>4</v>
          </cell>
          <cell r="D4580">
            <v>105.875</v>
          </cell>
          <cell r="E4580"/>
          <cell r="F4580">
            <v>-0.1</v>
          </cell>
          <cell r="G4580"/>
          <cell r="H4580">
            <v>105.77500000000001</v>
          </cell>
        </row>
        <row r="4581">
          <cell r="C4581">
            <v>4.125</v>
          </cell>
          <cell r="D4581">
            <v>106.125</v>
          </cell>
          <cell r="E4581"/>
          <cell r="F4581">
            <v>-0.1</v>
          </cell>
          <cell r="G4581"/>
          <cell r="H4581">
            <v>106.02500000000001</v>
          </cell>
        </row>
        <row r="4582">
          <cell r="C4582">
            <v>4.25</v>
          </cell>
          <cell r="D4582">
            <v>106.375</v>
          </cell>
          <cell r="E4582"/>
          <cell r="F4582">
            <v>-0.1</v>
          </cell>
          <cell r="G4582"/>
          <cell r="H4582">
            <v>106.27500000000001</v>
          </cell>
        </row>
        <row r="4583">
          <cell r="C4583">
            <v>4.375</v>
          </cell>
          <cell r="D4583">
            <v>106.625</v>
          </cell>
          <cell r="E4583"/>
          <cell r="F4583">
            <v>-0.1</v>
          </cell>
          <cell r="G4583"/>
          <cell r="H4583">
            <v>106.52500000000001</v>
          </cell>
        </row>
        <row r="4584">
          <cell r="C4584">
            <v>4.5</v>
          </cell>
          <cell r="D4584">
            <v>106.875</v>
          </cell>
          <cell r="E4584"/>
          <cell r="F4584">
            <v>-0.1</v>
          </cell>
          <cell r="G4584"/>
          <cell r="H4584">
            <v>106.77500000000001</v>
          </cell>
        </row>
        <row r="4585">
          <cell r="C4585">
            <v>4.625</v>
          </cell>
          <cell r="D4585">
            <v>107.125</v>
          </cell>
          <cell r="E4585"/>
          <cell r="F4585">
            <v>-0.1</v>
          </cell>
          <cell r="G4585"/>
          <cell r="H4585">
            <v>107.02500000000001</v>
          </cell>
        </row>
        <row r="4586">
          <cell r="C4586">
            <v>4.75</v>
          </cell>
          <cell r="D4586">
            <v>107.375</v>
          </cell>
          <cell r="E4586"/>
          <cell r="F4586">
            <v>-0.1</v>
          </cell>
          <cell r="G4586"/>
          <cell r="H4586">
            <v>107.27500000000001</v>
          </cell>
        </row>
        <row r="4587">
          <cell r="C4587">
            <v>4.875</v>
          </cell>
          <cell r="D4587">
            <v>107.625</v>
          </cell>
          <cell r="E4587"/>
          <cell r="F4587">
            <v>-0.1</v>
          </cell>
          <cell r="G4587"/>
          <cell r="H4587">
            <v>107.52500000000001</v>
          </cell>
        </row>
        <row r="4588">
          <cell r="C4588">
            <v>5</v>
          </cell>
          <cell r="D4588">
            <v>107.875</v>
          </cell>
          <cell r="E4588"/>
          <cell r="F4588">
            <v>-0.1</v>
          </cell>
          <cell r="G4588"/>
          <cell r="H4588">
            <v>107.77500000000001</v>
          </cell>
        </row>
        <row r="4589">
          <cell r="C4589">
            <v>5.125</v>
          </cell>
          <cell r="D4589">
            <v>108.125</v>
          </cell>
          <cell r="E4589"/>
          <cell r="F4589">
            <v>-0.1</v>
          </cell>
          <cell r="G4589"/>
          <cell r="H4589">
            <v>108.02500000000001</v>
          </cell>
        </row>
        <row r="4590">
          <cell r="C4590">
            <v>5.25</v>
          </cell>
          <cell r="D4590">
            <v>108.375</v>
          </cell>
          <cell r="E4590"/>
          <cell r="F4590">
            <v>-0.1</v>
          </cell>
          <cell r="G4590"/>
          <cell r="H4590">
            <v>108.27500000000001</v>
          </cell>
        </row>
        <row r="4591">
          <cell r="C4591"/>
          <cell r="D4591"/>
          <cell r="E4591"/>
          <cell r="F4591"/>
          <cell r="G4591"/>
          <cell r="H4591"/>
        </row>
        <row r="4592">
          <cell r="C4592"/>
          <cell r="D4592"/>
          <cell r="E4592"/>
          <cell r="F4592"/>
          <cell r="G4592"/>
          <cell r="H4592"/>
        </row>
        <row r="4593">
          <cell r="C4593"/>
          <cell r="D4593"/>
          <cell r="E4593"/>
          <cell r="F4593"/>
          <cell r="G4593"/>
          <cell r="H4593"/>
        </row>
        <row r="4594">
          <cell r="C4594"/>
          <cell r="D4594"/>
          <cell r="E4594"/>
          <cell r="F4594"/>
          <cell r="G4594"/>
          <cell r="H4594"/>
        </row>
        <row r="4686">
          <cell r="C4686">
            <v>2.375</v>
          </cell>
        </row>
        <row r="4687">
          <cell r="C4687">
            <v>2.5</v>
          </cell>
        </row>
        <row r="4688">
          <cell r="C4688">
            <v>2.625</v>
          </cell>
        </row>
        <row r="4689">
          <cell r="C4689">
            <v>2.75</v>
          </cell>
        </row>
        <row r="4690">
          <cell r="C4690">
            <v>2.875</v>
          </cell>
        </row>
        <row r="4691">
          <cell r="C4691">
            <v>3</v>
          </cell>
        </row>
        <row r="4692">
          <cell r="C4692">
            <v>3.125</v>
          </cell>
        </row>
        <row r="4693">
          <cell r="C4693">
            <v>3.25</v>
          </cell>
        </row>
        <row r="4694">
          <cell r="C4694">
            <v>3.375</v>
          </cell>
        </row>
        <row r="4695">
          <cell r="C4695">
            <v>3.5</v>
          </cell>
        </row>
        <row r="4696">
          <cell r="C4696">
            <v>3.625</v>
          </cell>
        </row>
        <row r="4697">
          <cell r="C4697">
            <v>3.75</v>
          </cell>
        </row>
        <row r="4698">
          <cell r="C4698">
            <v>3.875</v>
          </cell>
        </row>
        <row r="4699">
          <cell r="C4699">
            <v>4</v>
          </cell>
        </row>
        <row r="4700">
          <cell r="C4700">
            <v>4.125</v>
          </cell>
        </row>
        <row r="4701">
          <cell r="C4701">
            <v>4.25</v>
          </cell>
        </row>
        <row r="4702">
          <cell r="C4702">
            <v>4.375</v>
          </cell>
        </row>
        <row r="4703">
          <cell r="C4703">
            <v>4.5</v>
          </cell>
        </row>
        <row r="4704">
          <cell r="C4704">
            <v>4.625</v>
          </cell>
        </row>
        <row r="4705">
          <cell r="C4705">
            <v>4.75</v>
          </cell>
        </row>
        <row r="4706">
          <cell r="C4706">
            <v>4.875</v>
          </cell>
        </row>
        <row r="4707">
          <cell r="C4707">
            <v>5</v>
          </cell>
        </row>
        <row r="4708">
          <cell r="C4708">
            <v>5.125</v>
          </cell>
        </row>
        <row r="4709">
          <cell r="C4709">
            <v>5.25</v>
          </cell>
        </row>
        <row r="4710">
          <cell r="C4710">
            <v>5.375</v>
          </cell>
        </row>
        <row r="4711">
          <cell r="C4711">
            <v>5.5</v>
          </cell>
        </row>
        <row r="4712">
          <cell r="C4712">
            <v>5.625</v>
          </cell>
        </row>
        <row r="4713">
          <cell r="C4713">
            <v>5.75</v>
          </cell>
        </row>
        <row r="4714">
          <cell r="C4714">
            <v>5.875</v>
          </cell>
        </row>
        <row r="4715">
          <cell r="C4715">
            <v>6</v>
          </cell>
        </row>
        <row r="4716">
          <cell r="C4716">
            <v>6.125</v>
          </cell>
        </row>
        <row r="4717">
          <cell r="C4717">
            <v>6.25</v>
          </cell>
        </row>
        <row r="4718">
          <cell r="C4718">
            <v>6.375</v>
          </cell>
        </row>
        <row r="4726">
          <cell r="A4726">
            <v>8.125</v>
          </cell>
          <cell r="B4726" t="e">
            <v>#N/A</v>
          </cell>
          <cell r="C4726"/>
          <cell r="D4726" t="e">
            <v>#N/A</v>
          </cell>
          <cell r="E4726">
            <v>0.5</v>
          </cell>
          <cell r="F4726"/>
          <cell r="G4726">
            <v>0</v>
          </cell>
          <cell r="H4726" t="e">
            <v>#N/A</v>
          </cell>
          <cell r="I4726">
            <v>0</v>
          </cell>
          <cell r="J4726"/>
          <cell r="K4726" t="e">
            <v>#N/A</v>
          </cell>
        </row>
        <row r="4727">
          <cell r="A4727">
            <v>8</v>
          </cell>
          <cell r="B4727">
            <v>102.87309999999999</v>
          </cell>
          <cell r="C4727"/>
          <cell r="D4727">
            <v>102.87309999999999</v>
          </cell>
          <cell r="E4727">
            <v>0.5</v>
          </cell>
          <cell r="F4727"/>
          <cell r="G4727">
            <v>0</v>
          </cell>
          <cell r="H4727">
            <v>102.37309999999999</v>
          </cell>
          <cell r="I4727">
            <v>0</v>
          </cell>
          <cell r="J4727"/>
          <cell r="K4727">
            <v>102.37309999999999</v>
          </cell>
        </row>
        <row r="4728">
          <cell r="A4728">
            <v>7.875</v>
          </cell>
          <cell r="B4728">
            <v>102.70480000000001</v>
          </cell>
          <cell r="C4728"/>
          <cell r="D4728">
            <v>102.70480000000001</v>
          </cell>
          <cell r="E4728">
            <v>0.5</v>
          </cell>
          <cell r="F4728"/>
          <cell r="G4728">
            <v>0</v>
          </cell>
          <cell r="H4728">
            <v>102.20480000000001</v>
          </cell>
          <cell r="I4728">
            <v>0</v>
          </cell>
          <cell r="J4728"/>
          <cell r="K4728">
            <v>102.20480000000001</v>
          </cell>
        </row>
        <row r="4729">
          <cell r="A4729">
            <v>7.75</v>
          </cell>
          <cell r="B4729">
            <v>102.5247</v>
          </cell>
          <cell r="C4729"/>
          <cell r="D4729">
            <v>102.5247</v>
          </cell>
          <cell r="E4729">
            <v>0.5</v>
          </cell>
          <cell r="F4729"/>
          <cell r="G4729">
            <v>0</v>
          </cell>
          <cell r="H4729">
            <v>102.0247</v>
          </cell>
          <cell r="I4729">
            <v>0</v>
          </cell>
          <cell r="J4729"/>
          <cell r="K4729">
            <v>102.0247</v>
          </cell>
        </row>
        <row r="4730">
          <cell r="A4730">
            <v>7.625</v>
          </cell>
          <cell r="B4730">
            <v>102.333</v>
          </cell>
          <cell r="C4730"/>
          <cell r="D4730">
            <v>102.333</v>
          </cell>
          <cell r="E4730">
            <v>0.5</v>
          </cell>
          <cell r="F4730"/>
          <cell r="G4730">
            <v>0</v>
          </cell>
          <cell r="H4730">
            <v>101.833</v>
          </cell>
          <cell r="I4730">
            <v>0</v>
          </cell>
          <cell r="J4730"/>
          <cell r="K4730">
            <v>101.833</v>
          </cell>
        </row>
        <row r="4731">
          <cell r="A4731">
            <v>7.5</v>
          </cell>
          <cell r="B4731">
            <v>102.1298</v>
          </cell>
          <cell r="C4731"/>
          <cell r="D4731">
            <v>102.1298</v>
          </cell>
          <cell r="E4731">
            <v>0.5</v>
          </cell>
          <cell r="F4731"/>
          <cell r="G4731">
            <v>0</v>
          </cell>
          <cell r="H4731">
            <v>101.6298</v>
          </cell>
          <cell r="I4731">
            <v>0</v>
          </cell>
          <cell r="J4731"/>
          <cell r="K4731">
            <v>101.6298</v>
          </cell>
        </row>
        <row r="4732">
          <cell r="A4732">
            <v>7.375</v>
          </cell>
          <cell r="B4732">
            <v>101.91540000000001</v>
          </cell>
          <cell r="C4732"/>
          <cell r="D4732">
            <v>101.91540000000001</v>
          </cell>
          <cell r="E4732">
            <v>0.5</v>
          </cell>
          <cell r="F4732"/>
          <cell r="G4732">
            <v>0</v>
          </cell>
          <cell r="H4732">
            <v>101.41540000000001</v>
          </cell>
          <cell r="I4732">
            <v>0</v>
          </cell>
          <cell r="J4732"/>
          <cell r="K4732">
            <v>101.41540000000001</v>
          </cell>
        </row>
        <row r="4733">
          <cell r="A4733">
            <v>7.25</v>
          </cell>
          <cell r="B4733">
            <v>101.6896</v>
          </cell>
          <cell r="C4733"/>
          <cell r="D4733">
            <v>101.6896</v>
          </cell>
          <cell r="E4733">
            <v>0.5</v>
          </cell>
          <cell r="F4733"/>
          <cell r="G4733">
            <v>0</v>
          </cell>
          <cell r="H4733">
            <v>101.1896</v>
          </cell>
          <cell r="I4733">
            <v>0</v>
          </cell>
          <cell r="J4733"/>
          <cell r="K4733">
            <v>101.1896</v>
          </cell>
        </row>
        <row r="4734">
          <cell r="A4734">
            <v>7.125</v>
          </cell>
          <cell r="B4734">
            <v>101.45189999999999</v>
          </cell>
          <cell r="C4734"/>
          <cell r="D4734">
            <v>101.45189999999999</v>
          </cell>
          <cell r="E4734">
            <v>0.5</v>
          </cell>
          <cell r="F4734"/>
          <cell r="G4734">
            <v>0</v>
          </cell>
          <cell r="H4734">
            <v>100.95189999999999</v>
          </cell>
          <cell r="I4734">
            <v>0</v>
          </cell>
          <cell r="J4734"/>
          <cell r="K4734">
            <v>100.95189999999999</v>
          </cell>
        </row>
        <row r="4735">
          <cell r="A4735">
            <v>7</v>
          </cell>
          <cell r="B4735">
            <v>101.20229999999999</v>
          </cell>
          <cell r="C4735"/>
          <cell r="D4735">
            <v>101.20229999999999</v>
          </cell>
          <cell r="E4735">
            <v>0.5</v>
          </cell>
          <cell r="F4735"/>
          <cell r="G4735">
            <v>0</v>
          </cell>
          <cell r="H4735">
            <v>100.70229999999999</v>
          </cell>
          <cell r="I4735">
            <v>0</v>
          </cell>
          <cell r="J4735"/>
          <cell r="K4735">
            <v>100.70229999999999</v>
          </cell>
        </row>
        <row r="4736">
          <cell r="A4736">
            <v>6.875</v>
          </cell>
          <cell r="B4736">
            <v>100.943</v>
          </cell>
          <cell r="C4736"/>
          <cell r="D4736">
            <v>100.943</v>
          </cell>
          <cell r="E4736">
            <v>0.5</v>
          </cell>
          <cell r="F4736"/>
          <cell r="G4736">
            <v>0</v>
          </cell>
          <cell r="H4736">
            <v>100.443</v>
          </cell>
          <cell r="I4736">
            <v>0</v>
          </cell>
          <cell r="J4736"/>
          <cell r="K4736">
            <v>100.443</v>
          </cell>
        </row>
        <row r="4737">
          <cell r="A4737">
            <v>6.75</v>
          </cell>
          <cell r="B4737">
            <v>100.9588</v>
          </cell>
          <cell r="C4737"/>
          <cell r="D4737">
            <v>100.9588</v>
          </cell>
          <cell r="E4737">
            <v>0.5</v>
          </cell>
          <cell r="F4737"/>
          <cell r="G4737">
            <v>0</v>
          </cell>
          <cell r="H4737">
            <v>100.4588</v>
          </cell>
          <cell r="I4737">
            <v>0</v>
          </cell>
          <cell r="J4737"/>
          <cell r="K4737">
            <v>100.4588</v>
          </cell>
        </row>
        <row r="4738">
          <cell r="A4738">
            <v>6.625</v>
          </cell>
          <cell r="B4738">
            <v>100.6896</v>
          </cell>
          <cell r="C4738"/>
          <cell r="D4738">
            <v>100.6896</v>
          </cell>
          <cell r="E4738">
            <v>0.5</v>
          </cell>
          <cell r="F4738"/>
          <cell r="G4738">
            <v>0</v>
          </cell>
          <cell r="H4738">
            <v>100.1896</v>
          </cell>
          <cell r="I4738">
            <v>0</v>
          </cell>
          <cell r="J4738"/>
          <cell r="K4738">
            <v>100.1896</v>
          </cell>
        </row>
        <row r="4739">
          <cell r="A4739">
            <v>6.5</v>
          </cell>
          <cell r="B4739">
            <v>100.4051</v>
          </cell>
          <cell r="C4739"/>
          <cell r="D4739">
            <v>100.4051</v>
          </cell>
          <cell r="E4739">
            <v>0.5</v>
          </cell>
          <cell r="F4739"/>
          <cell r="G4739">
            <v>0</v>
          </cell>
          <cell r="H4739">
            <v>99.905100000000004</v>
          </cell>
          <cell r="I4739">
            <v>0</v>
          </cell>
          <cell r="J4739"/>
          <cell r="K4739">
            <v>99.905100000000004</v>
          </cell>
        </row>
        <row r="4740">
          <cell r="A4740">
            <v>6.375</v>
          </cell>
          <cell r="B4740">
            <v>100.0945</v>
          </cell>
          <cell r="C4740"/>
          <cell r="D4740">
            <v>100.0945</v>
          </cell>
          <cell r="E4740">
            <v>0.5</v>
          </cell>
          <cell r="F4740"/>
          <cell r="G4740">
            <v>0</v>
          </cell>
          <cell r="H4740">
            <v>99.594499999999996</v>
          </cell>
          <cell r="I4740">
            <v>0</v>
          </cell>
          <cell r="J4740"/>
          <cell r="K4740">
            <v>99.594499999999996</v>
          </cell>
        </row>
        <row r="4741">
          <cell r="A4741">
            <v>6.25</v>
          </cell>
          <cell r="B4741">
            <v>99.731200000000001</v>
          </cell>
          <cell r="C4741"/>
          <cell r="D4741">
            <v>99.731200000000001</v>
          </cell>
          <cell r="E4741">
            <v>0.5</v>
          </cell>
          <cell r="F4741"/>
          <cell r="G4741">
            <v>0</v>
          </cell>
          <cell r="H4741">
            <v>99.231200000000001</v>
          </cell>
          <cell r="I4741">
            <v>0</v>
          </cell>
          <cell r="J4741"/>
          <cell r="K4741">
            <v>99.231200000000001</v>
          </cell>
        </row>
        <row r="4742">
          <cell r="A4742">
            <v>6.125</v>
          </cell>
          <cell r="B4742">
            <v>99.317700000000002</v>
          </cell>
          <cell r="C4742"/>
          <cell r="D4742">
            <v>99.317700000000002</v>
          </cell>
          <cell r="E4742">
            <v>0.5</v>
          </cell>
          <cell r="F4742"/>
          <cell r="G4742">
            <v>0</v>
          </cell>
          <cell r="H4742">
            <v>98.817700000000002</v>
          </cell>
          <cell r="I4742">
            <v>0</v>
          </cell>
          <cell r="J4742"/>
          <cell r="K4742">
            <v>98.817700000000002</v>
          </cell>
        </row>
        <row r="4743">
          <cell r="A4743">
            <v>6</v>
          </cell>
          <cell r="B4743">
            <v>98.857799999999997</v>
          </cell>
          <cell r="C4743"/>
          <cell r="D4743">
            <v>98.857799999999997</v>
          </cell>
          <cell r="E4743">
            <v>0.5</v>
          </cell>
          <cell r="F4743"/>
          <cell r="G4743">
            <v>0</v>
          </cell>
          <cell r="H4743">
            <v>98.357799999999997</v>
          </cell>
          <cell r="I4743">
            <v>0</v>
          </cell>
          <cell r="J4743"/>
          <cell r="K4743">
            <v>98.357799999999997</v>
          </cell>
        </row>
        <row r="4744">
          <cell r="A4744">
            <v>5.875</v>
          </cell>
          <cell r="B4744">
            <v>98.354799999999997</v>
          </cell>
          <cell r="C4744"/>
          <cell r="D4744">
            <v>98.354799999999997</v>
          </cell>
          <cell r="E4744">
            <v>0.5</v>
          </cell>
          <cell r="F4744"/>
          <cell r="G4744">
            <v>0</v>
          </cell>
          <cell r="H4744">
            <v>97.854799999999997</v>
          </cell>
          <cell r="I4744">
            <v>0</v>
          </cell>
          <cell r="J4744"/>
          <cell r="K4744">
            <v>97.854799999999997</v>
          </cell>
        </row>
        <row r="4745">
          <cell r="A4745">
            <v>5.75</v>
          </cell>
          <cell r="B4745">
            <v>97.811499999999995</v>
          </cell>
          <cell r="C4745"/>
          <cell r="D4745">
            <v>97.811499999999995</v>
          </cell>
          <cell r="E4745">
            <v>0.5</v>
          </cell>
          <cell r="F4745"/>
          <cell r="G4745">
            <v>0</v>
          </cell>
          <cell r="H4745">
            <v>97.311499999999995</v>
          </cell>
          <cell r="I4745">
            <v>0</v>
          </cell>
          <cell r="J4745"/>
          <cell r="K4745">
            <v>97.311499999999995</v>
          </cell>
        </row>
        <row r="4746">
          <cell r="A4746">
            <v>5.625</v>
          </cell>
          <cell r="B4746">
            <v>97.229500000000002</v>
          </cell>
          <cell r="C4746"/>
          <cell r="D4746">
            <v>97.229500000000002</v>
          </cell>
          <cell r="E4746">
            <v>0.5</v>
          </cell>
          <cell r="F4746"/>
          <cell r="G4746">
            <v>0</v>
          </cell>
          <cell r="H4746">
            <v>96.729500000000002</v>
          </cell>
          <cell r="I4746">
            <v>0</v>
          </cell>
          <cell r="J4746"/>
          <cell r="K4746">
            <v>96.729500000000002</v>
          </cell>
        </row>
        <row r="4747">
          <cell r="A4747">
            <v>5.5</v>
          </cell>
          <cell r="B4747">
            <v>96.609399999999994</v>
          </cell>
          <cell r="C4747"/>
          <cell r="D4747">
            <v>96.609399999999994</v>
          </cell>
          <cell r="E4747">
            <v>0.5</v>
          </cell>
          <cell r="F4747"/>
          <cell r="G4747">
            <v>0</v>
          </cell>
          <cell r="H4747">
            <v>96.109399999999994</v>
          </cell>
          <cell r="I4747">
            <v>0</v>
          </cell>
          <cell r="J4747"/>
          <cell r="K4747">
            <v>96.109399999999994</v>
          </cell>
        </row>
        <row r="4748">
          <cell r="A4748">
            <v>5.375</v>
          </cell>
          <cell r="B4748">
            <v>95.951499999999996</v>
          </cell>
          <cell r="C4748"/>
          <cell r="D4748">
            <v>95.951499999999996</v>
          </cell>
          <cell r="E4748">
            <v>0.5</v>
          </cell>
          <cell r="F4748"/>
          <cell r="G4748">
            <v>0</v>
          </cell>
          <cell r="H4748">
            <v>95.451499999999996</v>
          </cell>
          <cell r="I4748">
            <v>0</v>
          </cell>
          <cell r="J4748"/>
          <cell r="K4748">
            <v>95.451499999999996</v>
          </cell>
        </row>
        <row r="4749">
          <cell r="A4749">
            <v>5.25</v>
          </cell>
          <cell r="B4749">
            <v>95.255799999999994</v>
          </cell>
          <cell r="C4749"/>
          <cell r="D4749">
            <v>95.255799999999994</v>
          </cell>
          <cell r="E4749">
            <v>0.5</v>
          </cell>
          <cell r="F4749"/>
          <cell r="G4749">
            <v>0</v>
          </cell>
          <cell r="H4749">
            <v>94.755799999999994</v>
          </cell>
          <cell r="I4749">
            <v>0</v>
          </cell>
          <cell r="J4749"/>
          <cell r="K4749">
            <v>94.755799999999994</v>
          </cell>
        </row>
        <row r="4750">
          <cell r="A4750">
            <v>5.125</v>
          </cell>
          <cell r="B4750">
            <v>94.522099999999995</v>
          </cell>
          <cell r="C4750"/>
          <cell r="D4750">
            <v>94.522099999999995</v>
          </cell>
          <cell r="E4750">
            <v>0.5</v>
          </cell>
          <cell r="F4750"/>
          <cell r="G4750">
            <v>0</v>
          </cell>
          <cell r="H4750">
            <v>94.022099999999995</v>
          </cell>
          <cell r="I4750">
            <v>0</v>
          </cell>
          <cell r="J4750"/>
          <cell r="K4750">
            <v>94.022099999999995</v>
          </cell>
        </row>
        <row r="4751">
          <cell r="A4751">
            <v>5</v>
          </cell>
          <cell r="B4751">
            <v>93.750600000000006</v>
          </cell>
          <cell r="C4751"/>
          <cell r="D4751">
            <v>93.750600000000006</v>
          </cell>
          <cell r="E4751">
            <v>0.5</v>
          </cell>
          <cell r="F4751"/>
          <cell r="G4751">
            <v>0</v>
          </cell>
          <cell r="H4751">
            <v>93.250600000000006</v>
          </cell>
          <cell r="I4751">
            <v>0</v>
          </cell>
          <cell r="J4751"/>
          <cell r="K4751">
            <v>93.250600000000006</v>
          </cell>
        </row>
        <row r="4752">
          <cell r="A4752">
            <v>4.875</v>
          </cell>
          <cell r="B4752">
            <v>92.971100000000007</v>
          </cell>
          <cell r="C4752"/>
          <cell r="D4752">
            <v>92.971100000000007</v>
          </cell>
          <cell r="E4752">
            <v>0.5</v>
          </cell>
          <cell r="F4752"/>
          <cell r="G4752">
            <v>0</v>
          </cell>
          <cell r="H4752">
            <v>92.471100000000007</v>
          </cell>
          <cell r="I4752">
            <v>0</v>
          </cell>
          <cell r="J4752"/>
          <cell r="K4752">
            <v>92.471100000000007</v>
          </cell>
        </row>
        <row r="4755">
          <cell r="A4755">
            <v>7.5</v>
          </cell>
          <cell r="B4755">
            <v>100.5822</v>
          </cell>
          <cell r="C4755"/>
          <cell r="D4755">
            <v>100.5822</v>
          </cell>
          <cell r="E4755">
            <v>0.5</v>
          </cell>
          <cell r="F4755"/>
          <cell r="G4755">
            <v>0</v>
          </cell>
          <cell r="H4755">
            <v>100.0822</v>
          </cell>
          <cell r="I4755">
            <v>0</v>
          </cell>
          <cell r="J4755"/>
          <cell r="K4755">
            <v>100.0822</v>
          </cell>
        </row>
        <row r="4756">
          <cell r="A4756">
            <v>7.375</v>
          </cell>
          <cell r="B4756">
            <v>100.4509</v>
          </cell>
          <cell r="C4756"/>
          <cell r="D4756">
            <v>100.4509</v>
          </cell>
          <cell r="E4756">
            <v>0.5</v>
          </cell>
          <cell r="F4756"/>
          <cell r="G4756">
            <v>0</v>
          </cell>
          <cell r="H4756">
            <v>99.950900000000004</v>
          </cell>
          <cell r="I4756">
            <v>0</v>
          </cell>
          <cell r="J4756"/>
          <cell r="K4756">
            <v>99.950900000000004</v>
          </cell>
        </row>
        <row r="4757">
          <cell r="A4757">
            <v>7.25</v>
          </cell>
          <cell r="B4757">
            <v>100.3313</v>
          </cell>
          <cell r="C4757"/>
          <cell r="D4757">
            <v>100.3313</v>
          </cell>
          <cell r="E4757">
            <v>0.5</v>
          </cell>
          <cell r="F4757"/>
          <cell r="G4757">
            <v>0</v>
          </cell>
          <cell r="H4757">
            <v>99.831299999999999</v>
          </cell>
          <cell r="I4757">
            <v>0</v>
          </cell>
          <cell r="J4757"/>
          <cell r="K4757">
            <v>99.831299999999999</v>
          </cell>
        </row>
        <row r="4758">
          <cell r="A4758">
            <v>7.125</v>
          </cell>
          <cell r="B4758">
            <v>100.16889999999999</v>
          </cell>
          <cell r="C4758"/>
          <cell r="D4758">
            <v>100.16889999999999</v>
          </cell>
          <cell r="E4758">
            <v>0.5</v>
          </cell>
          <cell r="F4758"/>
          <cell r="G4758">
            <v>0</v>
          </cell>
          <cell r="H4758">
            <v>99.668899999999994</v>
          </cell>
          <cell r="I4758">
            <v>0</v>
          </cell>
          <cell r="J4758"/>
          <cell r="K4758">
            <v>99.668899999999994</v>
          </cell>
        </row>
        <row r="4759">
          <cell r="A4759">
            <v>7</v>
          </cell>
          <cell r="B4759">
            <v>99.978499999999997</v>
          </cell>
          <cell r="C4759"/>
          <cell r="D4759">
            <v>99.978499999999997</v>
          </cell>
          <cell r="E4759">
            <v>0.5</v>
          </cell>
          <cell r="F4759"/>
          <cell r="G4759">
            <v>0</v>
          </cell>
          <cell r="H4759">
            <v>99.478499999999997</v>
          </cell>
          <cell r="I4759">
            <v>0</v>
          </cell>
          <cell r="J4759"/>
          <cell r="K4759">
            <v>99.478499999999997</v>
          </cell>
        </row>
        <row r="4760">
          <cell r="A4760">
            <v>6.875</v>
          </cell>
          <cell r="B4760">
            <v>99.771500000000003</v>
          </cell>
          <cell r="C4760"/>
          <cell r="D4760">
            <v>99.771500000000003</v>
          </cell>
          <cell r="E4760">
            <v>0.5</v>
          </cell>
          <cell r="F4760"/>
          <cell r="G4760">
            <v>0</v>
          </cell>
          <cell r="H4760">
            <v>99.271500000000003</v>
          </cell>
          <cell r="I4760">
            <v>0</v>
          </cell>
          <cell r="J4760"/>
          <cell r="K4760">
            <v>99.271500000000003</v>
          </cell>
        </row>
        <row r="4761">
          <cell r="A4761">
            <v>6.75</v>
          </cell>
          <cell r="B4761">
            <v>99.815200000000004</v>
          </cell>
          <cell r="C4761"/>
          <cell r="D4761">
            <v>99.815200000000004</v>
          </cell>
          <cell r="E4761">
            <v>0.5</v>
          </cell>
          <cell r="F4761"/>
          <cell r="G4761">
            <v>0</v>
          </cell>
          <cell r="H4761">
            <v>99.315200000000004</v>
          </cell>
          <cell r="I4761">
            <v>0</v>
          </cell>
          <cell r="J4761"/>
          <cell r="K4761">
            <v>99.315200000000004</v>
          </cell>
        </row>
        <row r="4762">
          <cell r="A4762">
            <v>6.625</v>
          </cell>
          <cell r="B4762">
            <v>99.571700000000007</v>
          </cell>
          <cell r="C4762"/>
          <cell r="D4762">
            <v>99.571700000000007</v>
          </cell>
          <cell r="E4762">
            <v>0.5</v>
          </cell>
          <cell r="F4762"/>
          <cell r="G4762">
            <v>0</v>
          </cell>
          <cell r="H4762">
            <v>99.071700000000007</v>
          </cell>
          <cell r="I4762">
            <v>0</v>
          </cell>
          <cell r="J4762"/>
          <cell r="K4762">
            <v>99.071700000000007</v>
          </cell>
        </row>
        <row r="4763">
          <cell r="A4763">
            <v>6.5</v>
          </cell>
          <cell r="B4763">
            <v>99.361599999999996</v>
          </cell>
          <cell r="C4763"/>
          <cell r="D4763">
            <v>99.361599999999996</v>
          </cell>
          <cell r="E4763">
            <v>0.5</v>
          </cell>
          <cell r="F4763"/>
          <cell r="G4763">
            <v>0</v>
          </cell>
          <cell r="H4763">
            <v>98.861599999999996</v>
          </cell>
          <cell r="I4763">
            <v>0</v>
          </cell>
          <cell r="J4763"/>
          <cell r="K4763">
            <v>98.861599999999996</v>
          </cell>
        </row>
        <row r="4764">
          <cell r="A4764">
            <v>6.375</v>
          </cell>
          <cell r="B4764">
            <v>99.108599999999996</v>
          </cell>
          <cell r="C4764"/>
          <cell r="D4764">
            <v>99.108599999999996</v>
          </cell>
          <cell r="E4764">
            <v>0.5</v>
          </cell>
          <cell r="F4764"/>
          <cell r="G4764">
            <v>0</v>
          </cell>
          <cell r="H4764">
            <v>98.608599999999996</v>
          </cell>
          <cell r="I4764">
            <v>0</v>
          </cell>
          <cell r="J4764"/>
          <cell r="K4764">
            <v>98.608599999999996</v>
          </cell>
        </row>
        <row r="4765">
          <cell r="A4765">
            <v>6.25</v>
          </cell>
          <cell r="B4765">
            <v>98.827699999999993</v>
          </cell>
          <cell r="C4765"/>
          <cell r="D4765">
            <v>98.827699999999993</v>
          </cell>
          <cell r="E4765">
            <v>0.5</v>
          </cell>
          <cell r="F4765"/>
          <cell r="G4765">
            <v>0</v>
          </cell>
          <cell r="H4765">
            <v>98.327699999999993</v>
          </cell>
          <cell r="I4765">
            <v>0</v>
          </cell>
          <cell r="J4765"/>
          <cell r="K4765">
            <v>98.327699999999993</v>
          </cell>
        </row>
        <row r="4766">
          <cell r="A4766">
            <v>6.125</v>
          </cell>
          <cell r="B4766">
            <v>98.524299999999997</v>
          </cell>
          <cell r="C4766"/>
          <cell r="D4766">
            <v>98.524299999999997</v>
          </cell>
          <cell r="E4766">
            <v>0.5</v>
          </cell>
          <cell r="F4766"/>
          <cell r="G4766">
            <v>0</v>
          </cell>
          <cell r="H4766">
            <v>98.024299999999997</v>
          </cell>
          <cell r="I4766">
            <v>0</v>
          </cell>
          <cell r="J4766"/>
          <cell r="K4766">
            <v>98.024299999999997</v>
          </cell>
        </row>
        <row r="4767">
          <cell r="A4767">
            <v>6</v>
          </cell>
          <cell r="B4767">
            <v>98.142600000000002</v>
          </cell>
          <cell r="C4767"/>
          <cell r="D4767">
            <v>98.142600000000002</v>
          </cell>
          <cell r="E4767">
            <v>0.5</v>
          </cell>
          <cell r="F4767"/>
          <cell r="G4767">
            <v>0</v>
          </cell>
          <cell r="H4767">
            <v>97.642600000000002</v>
          </cell>
          <cell r="I4767">
            <v>0</v>
          </cell>
          <cell r="J4767"/>
          <cell r="K4767">
            <v>97.642600000000002</v>
          </cell>
        </row>
        <row r="4768">
          <cell r="A4768">
            <v>5.875</v>
          </cell>
          <cell r="B4768">
            <v>97.762600000000006</v>
          </cell>
          <cell r="C4768"/>
          <cell r="D4768">
            <v>97.762600000000006</v>
          </cell>
          <cell r="E4768">
            <v>0.5</v>
          </cell>
          <cell r="F4768"/>
          <cell r="G4768">
            <v>0</v>
          </cell>
          <cell r="H4768">
            <v>97.262600000000006</v>
          </cell>
          <cell r="I4768">
            <v>0</v>
          </cell>
          <cell r="J4768"/>
          <cell r="K4768">
            <v>97.262600000000006</v>
          </cell>
        </row>
        <row r="4769">
          <cell r="A4769">
            <v>5.75</v>
          </cell>
          <cell r="B4769">
            <v>97.331999999999994</v>
          </cell>
          <cell r="C4769"/>
          <cell r="D4769">
            <v>97.331999999999994</v>
          </cell>
          <cell r="E4769">
            <v>0.5</v>
          </cell>
          <cell r="F4769"/>
          <cell r="G4769">
            <v>0</v>
          </cell>
          <cell r="H4769">
            <v>96.831999999999994</v>
          </cell>
          <cell r="I4769">
            <v>0</v>
          </cell>
          <cell r="J4769"/>
          <cell r="K4769">
            <v>96.831999999999994</v>
          </cell>
        </row>
        <row r="4770">
          <cell r="A4770">
            <v>5.625</v>
          </cell>
          <cell r="B4770">
            <v>96.806799999999996</v>
          </cell>
          <cell r="C4770"/>
          <cell r="D4770">
            <v>96.806799999999996</v>
          </cell>
          <cell r="E4770">
            <v>0.5</v>
          </cell>
          <cell r="F4770"/>
          <cell r="G4770">
            <v>0</v>
          </cell>
          <cell r="H4770">
            <v>96.306799999999996</v>
          </cell>
          <cell r="I4770">
            <v>0</v>
          </cell>
          <cell r="J4770"/>
          <cell r="K4770">
            <v>96.306799999999996</v>
          </cell>
        </row>
        <row r="4771">
          <cell r="A4771">
            <v>5.5</v>
          </cell>
          <cell r="B4771">
            <v>96.29</v>
          </cell>
          <cell r="C4771"/>
          <cell r="D4771">
            <v>96.29</v>
          </cell>
          <cell r="E4771">
            <v>0.5</v>
          </cell>
          <cell r="F4771"/>
          <cell r="G4771">
            <v>0</v>
          </cell>
          <cell r="H4771">
            <v>95.79</v>
          </cell>
          <cell r="I4771">
            <v>0</v>
          </cell>
          <cell r="J4771"/>
          <cell r="K4771">
            <v>95.79</v>
          </cell>
        </row>
        <row r="4772">
          <cell r="A4772">
            <v>5.375</v>
          </cell>
          <cell r="B4772">
            <v>95.770099999999999</v>
          </cell>
          <cell r="C4772"/>
          <cell r="D4772">
            <v>95.770099999999999</v>
          </cell>
          <cell r="E4772">
            <v>0.5</v>
          </cell>
          <cell r="F4772"/>
          <cell r="G4772">
            <v>0</v>
          </cell>
          <cell r="H4772">
            <v>95.270099999999999</v>
          </cell>
          <cell r="I4772">
            <v>0</v>
          </cell>
          <cell r="J4772"/>
          <cell r="K4772">
            <v>95.270099999999999</v>
          </cell>
        </row>
        <row r="4773">
          <cell r="A4773">
            <v>5.25</v>
          </cell>
          <cell r="B4773">
            <v>95.201099999999997</v>
          </cell>
          <cell r="C4773"/>
          <cell r="D4773">
            <v>95.201099999999997</v>
          </cell>
          <cell r="E4773">
            <v>0.5</v>
          </cell>
          <cell r="F4773"/>
          <cell r="G4773">
            <v>0</v>
          </cell>
          <cell r="H4773">
            <v>94.701099999999997</v>
          </cell>
          <cell r="I4773">
            <v>0</v>
          </cell>
          <cell r="J4773"/>
          <cell r="K4773">
            <v>94.701099999999997</v>
          </cell>
        </row>
        <row r="4774">
          <cell r="A4774">
            <v>5.125</v>
          </cell>
          <cell r="B4774">
            <v>94.602199999999996</v>
          </cell>
          <cell r="C4774"/>
          <cell r="D4774">
            <v>94.602199999999996</v>
          </cell>
          <cell r="E4774">
            <v>0.5</v>
          </cell>
          <cell r="F4774"/>
          <cell r="G4774">
            <v>0</v>
          </cell>
          <cell r="H4774">
            <v>94.102199999999996</v>
          </cell>
          <cell r="I4774">
            <v>0</v>
          </cell>
          <cell r="J4774"/>
          <cell r="K4774">
            <v>94.102199999999996</v>
          </cell>
        </row>
        <row r="4775">
          <cell r="A4775">
            <v>5</v>
          </cell>
          <cell r="B4775">
            <v>93.955799999999996</v>
          </cell>
          <cell r="C4775"/>
          <cell r="D4775">
            <v>93.955799999999996</v>
          </cell>
          <cell r="E4775">
            <v>0.5</v>
          </cell>
          <cell r="F4775"/>
          <cell r="G4775">
            <v>0</v>
          </cell>
          <cell r="H4775">
            <v>93.455799999999996</v>
          </cell>
          <cell r="I4775">
            <v>0</v>
          </cell>
          <cell r="J4775"/>
          <cell r="K4775">
            <v>93.455799999999996</v>
          </cell>
        </row>
        <row r="4776">
          <cell r="A4776">
            <v>4.875</v>
          </cell>
          <cell r="B4776" t="e">
            <v>#N/A</v>
          </cell>
          <cell r="C4776"/>
          <cell r="D4776" t="e">
            <v>#N/A</v>
          </cell>
          <cell r="E4776">
            <v>0.5</v>
          </cell>
          <cell r="F4776"/>
          <cell r="G4776">
            <v>0</v>
          </cell>
          <cell r="H4776" t="e">
            <v>#N/A</v>
          </cell>
          <cell r="I4776">
            <v>0</v>
          </cell>
          <cell r="J4776"/>
          <cell r="K4776" t="e">
            <v>#N/A</v>
          </cell>
        </row>
        <row r="4777">
          <cell r="A4777">
            <v>4.75</v>
          </cell>
          <cell r="B4777" t="e">
            <v>#N/A</v>
          </cell>
          <cell r="C4777"/>
          <cell r="D4777" t="e">
            <v>#N/A</v>
          </cell>
          <cell r="E4777">
            <v>0.5</v>
          </cell>
          <cell r="F4777"/>
          <cell r="G4777">
            <v>0</v>
          </cell>
          <cell r="H4777" t="e">
            <v>#N/A</v>
          </cell>
          <cell r="I4777">
            <v>0</v>
          </cell>
          <cell r="J4777"/>
          <cell r="K4777" t="e">
            <v>#N/A</v>
          </cell>
        </row>
        <row r="4778">
          <cell r="A4778">
            <v>4.625</v>
          </cell>
          <cell r="B4778" t="e">
            <v>#N/A</v>
          </cell>
          <cell r="C4778"/>
          <cell r="D4778" t="e">
            <v>#N/A</v>
          </cell>
          <cell r="E4778">
            <v>0.5</v>
          </cell>
          <cell r="F4778"/>
          <cell r="G4778">
            <v>0</v>
          </cell>
          <cell r="H4778" t="e">
            <v>#N/A</v>
          </cell>
          <cell r="I4778">
            <v>0</v>
          </cell>
          <cell r="J4778"/>
          <cell r="K4778" t="e">
            <v>#N/A</v>
          </cell>
        </row>
        <row r="4779">
          <cell r="A4779">
            <v>4.5</v>
          </cell>
          <cell r="B4779" t="e">
            <v>#N/A</v>
          </cell>
          <cell r="C4779"/>
          <cell r="D4779" t="e">
            <v>#N/A</v>
          </cell>
          <cell r="E4779">
            <v>0.5</v>
          </cell>
          <cell r="F4779"/>
          <cell r="G4779">
            <v>0</v>
          </cell>
          <cell r="H4779" t="e">
            <v>#N/A</v>
          </cell>
          <cell r="I4779">
            <v>0</v>
          </cell>
          <cell r="J4779"/>
          <cell r="K4779" t="e">
            <v>#N/A</v>
          </cell>
        </row>
        <row r="4780">
          <cell r="A4780">
            <v>4.375</v>
          </cell>
          <cell r="B4780" t="e">
            <v>#N/A</v>
          </cell>
          <cell r="C4780"/>
          <cell r="D4780" t="e">
            <v>#N/A</v>
          </cell>
          <cell r="E4780">
            <v>0.5</v>
          </cell>
          <cell r="F4780"/>
          <cell r="G4780">
            <v>0</v>
          </cell>
          <cell r="H4780" t="e">
            <v>#N/A</v>
          </cell>
          <cell r="I4780">
            <v>0</v>
          </cell>
          <cell r="J4780"/>
          <cell r="K4780" t="e">
            <v>#N/A</v>
          </cell>
        </row>
        <row r="4781">
          <cell r="A4781">
            <v>4.25</v>
          </cell>
          <cell r="B4781" t="e">
            <v>#N/A</v>
          </cell>
          <cell r="C4781"/>
          <cell r="D4781" t="e">
            <v>#N/A</v>
          </cell>
          <cell r="E4781">
            <v>0.5</v>
          </cell>
          <cell r="F4781"/>
          <cell r="G4781">
            <v>0</v>
          </cell>
          <cell r="H4781" t="e">
            <v>#N/A</v>
          </cell>
          <cell r="I4781">
            <v>0</v>
          </cell>
          <cell r="J4781"/>
          <cell r="K4781" t="e">
            <v>#N/A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NMA"/>
      <sheetName val="FHLMC"/>
      <sheetName val="FT_LLPAS"/>
      <sheetName val="LLPAS"/>
      <sheetName val="HR &amp; HP"/>
      <sheetName val="CES"/>
      <sheetName val="HELOC"/>
      <sheetName val="AAA_AAI_AAQ_AAO"/>
      <sheetName val="AIA_AIP"/>
      <sheetName val="JUMBO"/>
      <sheetName val="GOV"/>
    </sheetNames>
    <sheetDataSet>
      <sheetData sheetId="0">
        <row r="4">
          <cell r="P4">
            <v>45980</v>
          </cell>
        </row>
        <row r="5">
          <cell r="P5">
            <v>45995</v>
          </cell>
        </row>
        <row r="6">
          <cell r="P6">
            <v>46010</v>
          </cell>
        </row>
        <row r="7">
          <cell r="L7">
            <v>45950</v>
          </cell>
          <cell r="M7" t="str">
            <v>8:00 AM PST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>
          <a:gsLst>
            <a:gs pos="35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rgbClr val="A62235">
              <a:alpha val="72000"/>
            </a:srgbClr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mwestwholesal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westcorrespondent.com/Licensed-States" TargetMode="External"/><Relationship Id="rId1" Type="http://schemas.openxmlformats.org/officeDocument/2006/relationships/hyperlink" Target="http://www.amwestwholesale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amwestcorrespondent.com/Licensed-States" TargetMode="External"/><Relationship Id="rId1" Type="http://schemas.openxmlformats.org/officeDocument/2006/relationships/hyperlink" Target="http://www.amwestwholesale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amwestwholesale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mwestfunding.com/docs/Matrix%20Guideline/AmWest%20Full%20Doc%20Closed-End%20Second%20Program%20-%20MATRIX%20-%20GUIDELINES%20-%20April%203,%202024.pdf" TargetMode="External"/><Relationship Id="rId2" Type="http://schemas.openxmlformats.org/officeDocument/2006/relationships/hyperlink" Target="http://www.amwestwholesale.com/" TargetMode="External"/><Relationship Id="rId1" Type="http://schemas.openxmlformats.org/officeDocument/2006/relationships/hyperlink" Target="mailto:Lockdesk@amwestfunding.com" TargetMode="Externa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mwestfunding.com/docs/Matrix%20Guideline/AmWest%20%20Asset%20Qualifier%20Program%20-%20MATRIX-GUIDELINES%20-%20September%209,%202024.pdf" TargetMode="External"/><Relationship Id="rId2" Type="http://schemas.openxmlformats.org/officeDocument/2006/relationships/hyperlink" Target="https://amwestfunding.com/docs/Matrix%20Guideline/AmWest%20%20BK%20Statement%20Advantage%20Program%20-%20MATRIX-GUIDELINES%20-%20April%201,%202024.pdf" TargetMode="External"/><Relationship Id="rId1" Type="http://schemas.openxmlformats.org/officeDocument/2006/relationships/hyperlink" Target="http://www.amwestwholesale.com/" TargetMode="Externa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8.xml"/><Relationship Id="rId3" Type="http://schemas.openxmlformats.org/officeDocument/2006/relationships/hyperlink" Target="http://www.amwestwholesale.com/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mailto:Lockdesk@amwestfunding.com" TargetMode="External"/><Relationship Id="rId1" Type="http://schemas.openxmlformats.org/officeDocument/2006/relationships/hyperlink" Target="https://amwestfunding.com/docs/Matrix%20Guideline/AmWest%20Investor%20Advantage%20-%20MATRIX%20GUIDELINES%20-%20March%2024,%202023.pdf" TargetMode="External"/><Relationship Id="rId6" Type="http://schemas.openxmlformats.org/officeDocument/2006/relationships/hyperlink" Target="https://pipeline.amwestwholesale.com/Content/Documents/Prepay%20Matrix-2023-9-06.pdf" TargetMode="External"/><Relationship Id="rId5" Type="http://schemas.openxmlformats.org/officeDocument/2006/relationships/hyperlink" Target="https://pipeline.amwestwholesale.com/Content/Documents/Prepay%20Matrix-2023-9-06.pdf" TargetMode="External"/><Relationship Id="rId4" Type="http://schemas.openxmlformats.org/officeDocument/2006/relationships/hyperlink" Target="https://amwestfunding.com/docs/Matrix%20Guideline/Advantage%20Investor%20Plus%20-%20MATRIX%20GUIDELINES%20%20-%20%20April%201,%202024.pdf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amwestfunding.com/docs/Matrix%20Guideline/AmWest%20Jumbo%20Premier%20-%20MATRIX%20-%20GUIDELINES%20-%20November%2017,%202022.pdf" TargetMode="External"/><Relationship Id="rId2" Type="http://schemas.openxmlformats.org/officeDocument/2006/relationships/hyperlink" Target="http://www.amwestwholesale.com/" TargetMode="External"/><Relationship Id="rId1" Type="http://schemas.openxmlformats.org/officeDocument/2006/relationships/hyperlink" Target="mailto:Lockdesk@amwestfunding.com" TargetMode="External"/><Relationship Id="rId6" Type="http://schemas.openxmlformats.org/officeDocument/2006/relationships/drawing" Target="../drawings/drawing9.xm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amwestfunding.com/docs/Matrix%20Guideline/AmWest%20Jumbo%20Premier%20-%20MATRIX%20-%20GUIDELINES%20-%20November%2017,%202023.pdf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.bin"/><Relationship Id="rId3" Type="http://schemas.openxmlformats.org/officeDocument/2006/relationships/hyperlink" Target="https://entp.hud.gov/idapp/html/hicostlook.cfm" TargetMode="External"/><Relationship Id="rId7" Type="http://schemas.openxmlformats.org/officeDocument/2006/relationships/hyperlink" Target="https://entp.hud.gov/idapp/html/hicostlook.cfm" TargetMode="External"/><Relationship Id="rId2" Type="http://schemas.openxmlformats.org/officeDocument/2006/relationships/hyperlink" Target="mailto:Lockdesk@amwestfunding.com" TargetMode="External"/><Relationship Id="rId1" Type="http://schemas.openxmlformats.org/officeDocument/2006/relationships/hyperlink" Target="http://www.amwestwholesale.com/" TargetMode="External"/><Relationship Id="rId6" Type="http://schemas.openxmlformats.org/officeDocument/2006/relationships/hyperlink" Target="https://www.va.gov/housing-assistance/home-loans/loan-limits/" TargetMode="External"/><Relationship Id="rId5" Type="http://schemas.openxmlformats.org/officeDocument/2006/relationships/hyperlink" Target="https://www.va.gov/housing-assistance/home-loans/loan-limits/" TargetMode="External"/><Relationship Id="rId4" Type="http://schemas.openxmlformats.org/officeDocument/2006/relationships/hyperlink" Target="https://eligibility.sc.egov.usda.gov/eligibility/welcomeAction.do" TargetMode="External"/><Relationship Id="rId9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amwestfunding.com/docs/Matrix%20Guideline/AmWest%20%20Asset%20Qualifier%20Program%20-%20MATRIX-GUIDELINES%20-%20September%209,%202024.pdf" TargetMode="External"/><Relationship Id="rId2" Type="http://schemas.openxmlformats.org/officeDocument/2006/relationships/hyperlink" Target="https://amwestfunding.com/docs/Matrix%20Guideline/AmWest%20%20BK%20Statement%20Advantage%20Program%20-%20MATRIX-GUIDELINES%20-%20April%201,%202024.pdf" TargetMode="External"/><Relationship Id="rId1" Type="http://schemas.openxmlformats.org/officeDocument/2006/relationships/hyperlink" Target="http://www.amwestwholesale.com/" TargetMode="External"/><Relationship Id="rId5" Type="http://schemas.openxmlformats.org/officeDocument/2006/relationships/drawing" Target="../drawings/drawing11.xml"/><Relationship Id="rId4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2.xml"/><Relationship Id="rId3" Type="http://schemas.openxmlformats.org/officeDocument/2006/relationships/hyperlink" Target="http://www.amwestwholesale.com/" TargetMode="External"/><Relationship Id="rId7" Type="http://schemas.openxmlformats.org/officeDocument/2006/relationships/printerSettings" Target="../printerSettings/printerSettings11.bin"/><Relationship Id="rId2" Type="http://schemas.openxmlformats.org/officeDocument/2006/relationships/hyperlink" Target="mailto:Lockdesk@amwestfunding.com" TargetMode="External"/><Relationship Id="rId1" Type="http://schemas.openxmlformats.org/officeDocument/2006/relationships/hyperlink" Target="https://amwestfunding.com/docs/Matrix%20Guideline/AmWest%20Investor%20Advantage%20-%20MATRIX%20GUIDELINES%20-%20March%2024,%202023.pdf" TargetMode="External"/><Relationship Id="rId6" Type="http://schemas.openxmlformats.org/officeDocument/2006/relationships/hyperlink" Target="https://pipeline.amwestwholesale.com/Content/Documents/Prepay%20Matrix-2023-9-06.pdf" TargetMode="External"/><Relationship Id="rId5" Type="http://schemas.openxmlformats.org/officeDocument/2006/relationships/hyperlink" Target="https://pipeline.amwestwholesale.com/Content/Documents/Prepay%20Matrix-2023-9-06.pdf" TargetMode="External"/><Relationship Id="rId4" Type="http://schemas.openxmlformats.org/officeDocument/2006/relationships/hyperlink" Target="https://amwestfunding.com/docs/Matrix%20Guideline/Advantage%20Investor%20Plus%20-%20MATRIX%20GUIDELINES%20%20-%20%20April%201,%20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2E6-E15E-4131-969E-B8C8A41EC0D9}">
  <sheetPr codeName="Sheet1"/>
  <dimension ref="A1:DE162"/>
  <sheetViews>
    <sheetView tabSelected="1" zoomScale="60" zoomScaleNormal="60" workbookViewId="0">
      <selection activeCell="I6" sqref="I6"/>
    </sheetView>
  </sheetViews>
  <sheetFormatPr defaultColWidth="8.85546875" defaultRowHeight="15" x14ac:dyDescent="0.25"/>
  <cols>
    <col min="1" max="1" width="7.5703125" customWidth="1"/>
    <col min="2" max="17" width="15.28515625" customWidth="1"/>
    <col min="18" max="18" width="19.5703125" customWidth="1"/>
    <col min="19" max="36" width="15.28515625" customWidth="1"/>
    <col min="37" max="38" width="12.42578125" customWidth="1"/>
  </cols>
  <sheetData>
    <row r="1" spans="1:37" ht="18" customHeight="1" x14ac:dyDescent="0.25">
      <c r="B1" s="1024"/>
      <c r="C1" s="1025"/>
      <c r="D1" s="1025"/>
      <c r="E1" s="1025"/>
      <c r="F1" s="1025"/>
      <c r="G1" s="1025"/>
      <c r="H1" s="1025"/>
      <c r="I1" s="1025"/>
      <c r="J1" s="1025"/>
      <c r="K1" s="1025"/>
      <c r="L1" s="1025"/>
      <c r="M1" s="1025"/>
      <c r="N1" s="1025"/>
      <c r="O1" s="1025"/>
      <c r="P1" s="1025"/>
      <c r="Q1" s="1025"/>
      <c r="R1" s="1025"/>
      <c r="S1" s="1025"/>
      <c r="T1" s="1025"/>
      <c r="U1" s="1025"/>
      <c r="V1" s="1025"/>
      <c r="W1" s="1025"/>
      <c r="X1" s="1025"/>
      <c r="Y1" s="1025"/>
      <c r="Z1" s="1025"/>
      <c r="AG1" s="1025"/>
      <c r="AH1" s="1025"/>
      <c r="AI1" s="1025"/>
      <c r="AJ1" s="1026" t="s">
        <v>719</v>
      </c>
    </row>
    <row r="2" spans="1:37" ht="18.75" x14ac:dyDescent="0.3">
      <c r="B2" s="1269" t="s">
        <v>0</v>
      </c>
      <c r="C2" s="1270"/>
      <c r="D2" s="1270"/>
      <c r="E2" s="1271"/>
      <c r="F2" s="1025"/>
      <c r="G2" s="1025"/>
      <c r="H2" s="1025"/>
      <c r="I2" s="1025"/>
      <c r="J2" s="1025"/>
      <c r="K2" s="1025"/>
      <c r="L2" s="1025"/>
      <c r="M2" s="1025"/>
      <c r="N2" s="1025"/>
      <c r="O2" s="1025"/>
      <c r="P2" s="1025"/>
      <c r="Q2" s="1025"/>
      <c r="R2" s="1025"/>
      <c r="S2" s="1025"/>
      <c r="T2" s="1027" t="s">
        <v>683</v>
      </c>
      <c r="U2" s="1027">
        <v>-0.125</v>
      </c>
      <c r="V2" s="1025"/>
      <c r="W2" s="1025"/>
      <c r="X2" s="1025"/>
      <c r="Y2" s="1025"/>
      <c r="Z2" s="1025"/>
      <c r="AG2" s="1269"/>
      <c r="AH2" s="1270"/>
      <c r="AI2" s="1270"/>
      <c r="AJ2" s="1271"/>
    </row>
    <row r="3" spans="1:37" ht="17.25" customHeight="1" x14ac:dyDescent="0.25">
      <c r="A3" s="1028"/>
      <c r="B3" s="1272" t="s">
        <v>1</v>
      </c>
      <c r="C3" s="1273"/>
      <c r="D3" s="1273"/>
      <c r="E3" s="1274"/>
      <c r="F3" s="1025"/>
      <c r="G3" s="1025"/>
      <c r="H3" s="1029"/>
      <c r="I3" s="1029"/>
      <c r="J3" s="1029"/>
      <c r="K3" s="1029"/>
      <c r="L3" s="1029"/>
      <c r="M3" s="1029"/>
      <c r="N3" s="1029"/>
      <c r="O3" s="1029"/>
      <c r="P3" s="1029"/>
      <c r="Q3" s="1029"/>
      <c r="R3" s="1029"/>
      <c r="S3" s="1029"/>
      <c r="T3" s="1029"/>
      <c r="U3" s="1029"/>
      <c r="V3" s="1029"/>
      <c r="W3" s="1029"/>
      <c r="X3" s="1029"/>
      <c r="Y3" s="1029"/>
      <c r="Z3" s="1025"/>
      <c r="AG3" s="309"/>
      <c r="AH3" s="167"/>
      <c r="AI3" s="167"/>
      <c r="AJ3" s="310"/>
    </row>
    <row r="4" spans="1:37" ht="15" customHeight="1" x14ac:dyDescent="0.25">
      <c r="A4" s="1028"/>
      <c r="B4" s="1272" t="s">
        <v>2</v>
      </c>
      <c r="C4" s="1273"/>
      <c r="D4" s="1273"/>
      <c r="E4" s="1274"/>
      <c r="F4" s="1025"/>
      <c r="G4" s="1025"/>
      <c r="H4" s="1029"/>
      <c r="I4" s="1029"/>
      <c r="J4" s="1029"/>
      <c r="K4" s="1029"/>
      <c r="L4" s="1029"/>
      <c r="M4" s="1029"/>
      <c r="N4" s="1029"/>
      <c r="O4" s="1029"/>
      <c r="P4" s="1029"/>
      <c r="Q4" s="1029"/>
      <c r="R4" s="1029"/>
      <c r="S4" s="1029"/>
      <c r="T4" s="1029"/>
      <c r="U4" s="1029"/>
      <c r="V4" s="1029"/>
      <c r="W4" s="1029"/>
      <c r="X4" s="1029"/>
      <c r="Y4" s="1029"/>
      <c r="Z4" s="1025"/>
      <c r="AG4" s="309"/>
      <c r="AH4" s="167"/>
      <c r="AI4" s="167"/>
      <c r="AJ4" s="310"/>
    </row>
    <row r="5" spans="1:37" ht="16.5" x14ac:dyDescent="0.25">
      <c r="A5" s="1028"/>
      <c r="B5" s="1272" t="s">
        <v>3</v>
      </c>
      <c r="C5" s="1273"/>
      <c r="D5" s="1273"/>
      <c r="E5" s="1274"/>
      <c r="F5" s="650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G5" s="309"/>
      <c r="AH5" s="167"/>
      <c r="AI5" s="167"/>
      <c r="AJ5" s="310"/>
    </row>
    <row r="6" spans="1:37" ht="16.5" x14ac:dyDescent="0.25">
      <c r="A6" s="1028"/>
      <c r="B6" s="1266" t="s">
        <v>4</v>
      </c>
      <c r="C6" s="1267"/>
      <c r="D6" s="1267"/>
      <c r="E6" s="1268"/>
      <c r="F6" s="1030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G6" s="311"/>
      <c r="AH6" s="135"/>
      <c r="AI6" s="135"/>
      <c r="AJ6" s="312"/>
    </row>
    <row r="7" spans="1:37" ht="21.75" x14ac:dyDescent="0.3">
      <c r="B7" s="1031"/>
      <c r="C7" s="1025"/>
      <c r="D7" s="1025"/>
      <c r="E7" s="1025"/>
      <c r="F7" s="17"/>
      <c r="G7" s="17"/>
      <c r="J7" s="117"/>
      <c r="K7" s="27"/>
      <c r="L7" s="117" t="s">
        <v>5</v>
      </c>
      <c r="O7" s="1255" t="s">
        <v>6</v>
      </c>
      <c r="P7" s="1255"/>
      <c r="Q7" s="1255"/>
      <c r="R7" s="315">
        <f ca="1">TODAY()</f>
        <v>46101</v>
      </c>
      <c r="S7" s="315"/>
      <c r="T7" s="315"/>
      <c r="U7" s="315"/>
      <c r="V7" s="315"/>
      <c r="W7" s="1174"/>
      <c r="X7" s="315"/>
      <c r="Y7" s="315"/>
      <c r="AA7" s="1025"/>
      <c r="AB7" s="1025"/>
      <c r="AC7" s="1025"/>
      <c r="AD7" s="1025"/>
      <c r="AE7" s="1025"/>
    </row>
    <row r="8" spans="1:37" ht="14.25" customHeight="1" thickBot="1" x14ac:dyDescent="0.45">
      <c r="B8" s="1032"/>
      <c r="C8" s="1032"/>
      <c r="D8" s="1032"/>
      <c r="E8" s="1032"/>
      <c r="F8" s="1032"/>
      <c r="G8" s="1032"/>
      <c r="H8" s="1032"/>
      <c r="I8" s="1032"/>
      <c r="J8" s="1032"/>
      <c r="K8" s="1032"/>
      <c r="L8" s="1032"/>
      <c r="M8" s="1032"/>
      <c r="N8" s="1032"/>
      <c r="O8" s="1032"/>
      <c r="P8" s="1032"/>
      <c r="Q8" s="1032"/>
      <c r="R8" s="1032"/>
      <c r="S8" s="1032"/>
      <c r="T8" s="1032"/>
      <c r="U8" s="1032"/>
      <c r="V8" s="1032"/>
      <c r="W8" s="1032"/>
      <c r="X8" s="1032"/>
      <c r="Y8" s="1032"/>
      <c r="Z8" s="1032"/>
      <c r="AA8" s="1032"/>
      <c r="AB8" s="1032"/>
      <c r="AC8" s="1032"/>
      <c r="AD8" s="1032"/>
      <c r="AE8" s="1032"/>
    </row>
    <row r="9" spans="1:37" ht="30.75" customHeight="1" thickTop="1" thickBot="1" x14ac:dyDescent="0.3">
      <c r="B9" s="1242" t="s">
        <v>684</v>
      </c>
      <c r="C9" s="1243"/>
      <c r="D9" s="1243"/>
      <c r="E9" s="1243"/>
      <c r="F9" s="1243"/>
      <c r="G9" s="1243"/>
      <c r="H9" s="1243"/>
      <c r="I9" s="1243"/>
      <c r="J9" s="1243"/>
      <c r="K9" s="1243"/>
      <c r="L9" s="1243"/>
      <c r="M9" s="1243"/>
      <c r="N9" s="1243"/>
      <c r="O9" s="1243"/>
      <c r="P9" s="1243"/>
      <c r="Q9" s="1243"/>
      <c r="R9" s="1243"/>
      <c r="S9" s="1243"/>
      <c r="T9" s="1243"/>
      <c r="U9" s="1243"/>
      <c r="V9" s="1243"/>
      <c r="W9" s="1243"/>
      <c r="X9" s="1243"/>
      <c r="Y9" s="1243"/>
      <c r="Z9" s="1243"/>
      <c r="AA9" s="1243"/>
      <c r="AB9" s="1243"/>
      <c r="AC9" s="1243"/>
      <c r="AD9" s="1243"/>
      <c r="AE9" s="1243"/>
      <c r="AF9" s="1243"/>
      <c r="AG9" s="1243"/>
      <c r="AH9" s="1243"/>
      <c r="AI9" s="1243"/>
      <c r="AJ9" s="1243"/>
      <c r="AK9" s="1244"/>
    </row>
    <row r="10" spans="1:37" ht="21" customHeight="1" thickTop="1" thickBot="1" x14ac:dyDescent="0.35">
      <c r="B10" s="1256" t="s">
        <v>12</v>
      </c>
      <c r="C10" s="1257"/>
      <c r="D10" s="1257"/>
      <c r="E10" s="1257"/>
      <c r="F10" s="1257"/>
      <c r="G10" s="1257"/>
      <c r="H10" s="1258"/>
      <c r="I10" s="1258"/>
      <c r="J10" s="1258"/>
      <c r="K10" s="1258"/>
      <c r="L10" s="1258"/>
      <c r="M10" s="1258"/>
      <c r="N10" s="1258"/>
      <c r="O10" s="1258"/>
      <c r="P10" s="1258"/>
      <c r="Q10" s="1258"/>
      <c r="R10" s="1258"/>
      <c r="S10" s="1258"/>
      <c r="T10" s="1258"/>
      <c r="U10" s="1258"/>
      <c r="V10" s="1258"/>
      <c r="W10" s="1258"/>
      <c r="X10" s="1258"/>
      <c r="Y10" s="1259"/>
      <c r="Z10" s="1260" t="s">
        <v>685</v>
      </c>
      <c r="AA10" s="1260"/>
      <c r="AB10" s="1260"/>
      <c r="AC10" s="1260"/>
      <c r="AD10" s="1260"/>
      <c r="AE10" s="1260"/>
      <c r="AF10" s="1260"/>
      <c r="AG10" s="1260"/>
      <c r="AH10" s="1260"/>
      <c r="AI10" s="1260"/>
      <c r="AJ10" s="1260"/>
      <c r="AK10" s="1261"/>
    </row>
    <row r="11" spans="1:37" ht="18" customHeight="1" thickTop="1" x14ac:dyDescent="0.25">
      <c r="B11" s="1262" t="s">
        <v>686</v>
      </c>
      <c r="C11" s="1263"/>
      <c r="D11" s="1264"/>
      <c r="E11" s="1262" t="s">
        <v>687</v>
      </c>
      <c r="F11" s="1263"/>
      <c r="G11" s="1264"/>
      <c r="H11" s="1236" t="s">
        <v>688</v>
      </c>
      <c r="I11" s="1236"/>
      <c r="J11" s="1265"/>
      <c r="K11" s="1235" t="s">
        <v>689</v>
      </c>
      <c r="L11" s="1236"/>
      <c r="M11" s="1237"/>
      <c r="N11" s="1235" t="s">
        <v>690</v>
      </c>
      <c r="O11" s="1236"/>
      <c r="P11" s="1237"/>
      <c r="Q11" s="1235" t="s">
        <v>691</v>
      </c>
      <c r="R11" s="1236"/>
      <c r="S11" s="1237"/>
      <c r="T11" s="1235" t="s">
        <v>692</v>
      </c>
      <c r="U11" s="1236"/>
      <c r="V11" s="1237"/>
      <c r="W11" s="1235" t="s">
        <v>693</v>
      </c>
      <c r="X11" s="1236"/>
      <c r="Y11" s="1237"/>
      <c r="Z11" s="1235" t="s">
        <v>694</v>
      </c>
      <c r="AA11" s="1236"/>
      <c r="AB11" s="1237"/>
      <c r="AC11" s="1235" t="s">
        <v>695</v>
      </c>
      <c r="AD11" s="1236"/>
      <c r="AE11" s="1237"/>
      <c r="AF11" s="1235" t="s">
        <v>696</v>
      </c>
      <c r="AG11" s="1236"/>
      <c r="AH11" s="1237"/>
      <c r="AI11" s="1235" t="s">
        <v>697</v>
      </c>
      <c r="AJ11" s="1236"/>
      <c r="AK11" s="1237"/>
    </row>
    <row r="12" spans="1:37" s="1033" customFormat="1" ht="18.75" customHeight="1" x14ac:dyDescent="0.3">
      <c r="B12" s="1137" t="s">
        <v>14</v>
      </c>
      <c r="C12" s="1136" t="s">
        <v>15</v>
      </c>
      <c r="D12" s="1138" t="s">
        <v>257</v>
      </c>
      <c r="E12" s="1137" t="s">
        <v>14</v>
      </c>
      <c r="F12" s="1136" t="s">
        <v>15</v>
      </c>
      <c r="G12" s="1138" t="s">
        <v>257</v>
      </c>
      <c r="H12" s="1136" t="s">
        <v>14</v>
      </c>
      <c r="I12" s="686" t="s">
        <v>15</v>
      </c>
      <c r="J12" s="1035" t="s">
        <v>257</v>
      </c>
      <c r="K12" s="1034" t="s">
        <v>14</v>
      </c>
      <c r="L12" s="686" t="s">
        <v>15</v>
      </c>
      <c r="M12" s="1035" t="s">
        <v>257</v>
      </c>
      <c r="N12" s="1034" t="s">
        <v>14</v>
      </c>
      <c r="O12" s="686" t="s">
        <v>15</v>
      </c>
      <c r="P12" s="1035" t="s">
        <v>257</v>
      </c>
      <c r="Q12" s="1034" t="s">
        <v>14</v>
      </c>
      <c r="R12" s="686" t="s">
        <v>15</v>
      </c>
      <c r="S12" s="1035" t="s">
        <v>257</v>
      </c>
      <c r="T12" s="1034" t="s">
        <v>14</v>
      </c>
      <c r="U12" s="686" t="s">
        <v>15</v>
      </c>
      <c r="V12" s="1035" t="s">
        <v>257</v>
      </c>
      <c r="W12" s="1034" t="s">
        <v>14</v>
      </c>
      <c r="X12" s="686" t="s">
        <v>15</v>
      </c>
      <c r="Y12" s="1035" t="s">
        <v>257</v>
      </c>
      <c r="Z12" s="1034" t="s">
        <v>14</v>
      </c>
      <c r="AA12" s="686" t="s">
        <v>15</v>
      </c>
      <c r="AB12" s="1035" t="s">
        <v>257</v>
      </c>
      <c r="AC12" s="1034" t="s">
        <v>14</v>
      </c>
      <c r="AD12" s="686" t="s">
        <v>15</v>
      </c>
      <c r="AE12" s="1035" t="s">
        <v>257</v>
      </c>
      <c r="AF12" s="1034" t="s">
        <v>14</v>
      </c>
      <c r="AG12" s="686" t="s">
        <v>15</v>
      </c>
      <c r="AH12" s="1035" t="s">
        <v>257</v>
      </c>
      <c r="AI12" s="1034" t="s">
        <v>14</v>
      </c>
      <c r="AJ12" s="686" t="s">
        <v>15</v>
      </c>
      <c r="AK12" s="1035" t="s">
        <v>257</v>
      </c>
    </row>
    <row r="13" spans="1:37" ht="16.5" x14ac:dyDescent="0.25">
      <c r="B13" s="104">
        <f>LARGE('[1]Pricing '!$A$2506:$A$2531,1)</f>
        <v>7.75</v>
      </c>
      <c r="C13" s="93">
        <f>100-VLOOKUP(B13,'[1]Pricing '!$A$2506:$K$2531,11,FALSE)</f>
        <v>-5.2391265345003717</v>
      </c>
      <c r="D13" s="94">
        <f>C13-$U$2</f>
        <v>-5.1141265345003717</v>
      </c>
      <c r="E13" s="1148">
        <f>LARGE('[1]Pricing '!$A$2677:$A$2702,1)</f>
        <v>7.625</v>
      </c>
      <c r="F13" s="93">
        <f>100-VLOOKUP(E13,'[1]Pricing '!$A$2677:$K$2702,11,FALSE)</f>
        <v>-5.2757203116761247</v>
      </c>
      <c r="G13" s="94">
        <f>F13-$U$2</f>
        <v>-5.1507203116761247</v>
      </c>
      <c r="H13" s="93">
        <f>LARGE('[1]Pricing '!$A$2648:$A$2673,1)</f>
        <v>7.625</v>
      </c>
      <c r="I13" s="902">
        <f>100-VLOOKUP(H13,'[1]Pricing '!$A$2648:$K$2673,11,FALSE)</f>
        <v>-4.5407203116761394</v>
      </c>
      <c r="J13" s="1036">
        <f>I13-$U$2</f>
        <v>-4.4157203116761394</v>
      </c>
      <c r="K13" s="1022">
        <f>LARGE('[1]Pricing '!$A$2733:$A$2758,1)</f>
        <v>7.75</v>
      </c>
      <c r="L13" s="93">
        <f>100-VLOOKUP(K13,'[1]Pricing '!$A$2733:$K$2758,11,FALSE)</f>
        <v>-4.9841265345003762</v>
      </c>
      <c r="M13" s="1036">
        <f>L13-$U$2</f>
        <v>-4.8591265345003762</v>
      </c>
      <c r="N13" s="1022">
        <f>LARGE('[1]Pricing '!$A$2534:$A$2558,1)</f>
        <v>7.25</v>
      </c>
      <c r="O13" s="93">
        <f>100-VLOOKUP(N13,'[1]Pricing '!$A$2534:$K$2558,11,FALSE)</f>
        <v>-4.0152602955252661</v>
      </c>
      <c r="P13" s="1036">
        <f>O13-$U$2</f>
        <v>-3.8902602955252661</v>
      </c>
      <c r="Q13" s="1022">
        <f>LARGE('[1]Pricing '!$A$2761:$A$2785,1)</f>
        <v>7</v>
      </c>
      <c r="R13" s="93">
        <f>100-VLOOKUP(Q13,'[1]Pricing '!$A$2761:$K$2785,11,FALSE)</f>
        <v>-4.2350398200550075</v>
      </c>
      <c r="S13" s="1036">
        <f>R13-$U$2</f>
        <v>-4.1100398200550075</v>
      </c>
      <c r="T13" s="1037">
        <f>LARGE('[1]Pricing '!$A$3052:$A$3077,1)</f>
        <v>7.25</v>
      </c>
      <c r="U13" s="93">
        <f>100-VLOOKUP(T13,'[1]Pricing '!$A$3052:$K$3077,11,FALSE)</f>
        <v>-4.0712602955252635</v>
      </c>
      <c r="V13" s="1036">
        <f>U13-$U$2</f>
        <v>-3.9462602955252635</v>
      </c>
      <c r="W13" s="1022">
        <f>LARGE('[1]Pricing '!$A$2788:$A$2812,1)</f>
        <v>7.375</v>
      </c>
      <c r="X13" s="181">
        <f>100-VLOOKUP(W13,'[1]Pricing '!$A$2788:$K$2812,11,FALSE)</f>
        <v>-4.2670012503590158</v>
      </c>
      <c r="Y13" s="1038">
        <f>X13-$U$2</f>
        <v>-4.1420012503590158</v>
      </c>
      <c r="Z13" s="1022">
        <f>LARGE('[1]Pricing '!$A$2561:$A$2586,1)</f>
        <v>7.75</v>
      </c>
      <c r="AA13" s="93">
        <f>100-VLOOKUP(Z13,'[1]Pricing '!$A$2561:$K$2586,11,FALSE)</f>
        <v>-3.2067092152258709</v>
      </c>
      <c r="AB13" s="1036">
        <f>AA13-$U$2</f>
        <v>-3.0817092152258709</v>
      </c>
      <c r="AC13" s="1022">
        <f>LARGE('[1]Pricing '!$A$2815:$A$2840,1)</f>
        <v>7.75</v>
      </c>
      <c r="AD13" s="93">
        <f>100-VLOOKUP(AC13,'[1]Pricing '!$A$2815:$K$2840,11,FALSE)</f>
        <v>-3.2067092152258709</v>
      </c>
      <c r="AE13" s="1036">
        <f>AD13-$U$2</f>
        <v>-3.0817092152258709</v>
      </c>
      <c r="AF13" s="1022">
        <f>LARGE('[1]Pricing '!$A$2589:$A$2614,1)</f>
        <v>7.5</v>
      </c>
      <c r="AG13" s="93">
        <f>100-VLOOKUP(AF13,'[1]Pricing '!$A$2589:$K$2614,11,FALSE)</f>
        <v>-3.8437477808946028</v>
      </c>
      <c r="AH13" s="1036">
        <f>AG13-$U$2</f>
        <v>-3.7187477808946028</v>
      </c>
      <c r="AI13" s="1022">
        <f>LARGE('[1]Pricing '!$A$2871:$A$2896,1)</f>
        <v>7.25</v>
      </c>
      <c r="AJ13" s="93">
        <f>100-VLOOKUP(AI13,'[1]Pricing '!$A$2871:$K$2896,11,FALSE)</f>
        <v>-3.3422654739642041</v>
      </c>
      <c r="AK13" s="1036">
        <f>AJ13-$U$2</f>
        <v>-3.2172654739642041</v>
      </c>
    </row>
    <row r="14" spans="1:37" ht="15" customHeight="1" x14ac:dyDescent="0.25">
      <c r="B14" s="111" cm="1">
        <f t="array" ref="B14">INDEX($A$162:$DE$162,0,MATCH(B13,$A$162:$DE$162,0)-1)</f>
        <v>7.625</v>
      </c>
      <c r="C14" s="93">
        <f>100-VLOOKUP(B14,'[1]Pricing '!$A$2506:$K$2531,11,FALSE)</f>
        <v>-5.2757203116761247</v>
      </c>
      <c r="D14" s="94">
        <f t="shared" ref="D14:D37" si="0">C14-$U$2</f>
        <v>-5.1507203116761247</v>
      </c>
      <c r="E14" s="111" cm="1">
        <f t="array" ref="E14">INDEX($A$162:$DE$162,0,MATCH(E13,$A$162:$DE$162,0)-1)</f>
        <v>7.5</v>
      </c>
      <c r="F14" s="93">
        <f>100-VLOOKUP(E14,'[1]Pricing '!$A$2677:$K$2702,11,FALSE)</f>
        <v>-5.0672060180409915</v>
      </c>
      <c r="G14" s="94">
        <f t="shared" ref="G14:G37" si="1">F14-$U$2</f>
        <v>-4.9422060180409915</v>
      </c>
      <c r="H14" s="107">
        <f>H13-0.125</f>
        <v>7.5</v>
      </c>
      <c r="I14" s="93">
        <f>100-VLOOKUP(H14,'[1]Pricing '!$A$2648:$K$2673,11,FALSE)</f>
        <v>-4.1492060180409993</v>
      </c>
      <c r="J14" s="1036">
        <f t="shared" ref="J14:J37" si="2">I14-$U$2</f>
        <v>-4.0242060180409993</v>
      </c>
      <c r="K14" s="1037">
        <f>K13-0.125</f>
        <v>7.625</v>
      </c>
      <c r="L14" s="93">
        <f>100-VLOOKUP(K14,'[1]Pricing '!$A$2733:$K$2758,11,FALSE)</f>
        <v>-4.5407203116761394</v>
      </c>
      <c r="M14" s="1036">
        <f t="shared" ref="M14:M37" si="3">L14-$U$2</f>
        <v>-4.4157203116761394</v>
      </c>
      <c r="N14" s="1037">
        <f>N13-0.125</f>
        <v>7.125</v>
      </c>
      <c r="O14" s="93">
        <f>100-VLOOKUP(N14,'[1]Pricing '!$A$2534:$K$2558,11,FALSE)</f>
        <v>-3.7596218913364226</v>
      </c>
      <c r="P14" s="1036">
        <f t="shared" ref="P14:P37" si="4">O14-$U$2</f>
        <v>-3.6346218913364226</v>
      </c>
      <c r="Q14" s="1037">
        <f>Q13-0.125</f>
        <v>6.875</v>
      </c>
      <c r="R14" s="93">
        <f>100-VLOOKUP(Q14,'[1]Pricing '!$A$2761:$K$2785,11,FALSE)</f>
        <v>-4.0143409363082725</v>
      </c>
      <c r="S14" s="1036">
        <f t="shared" ref="S14:S37" si="5">R14-$U$2</f>
        <v>-3.8893409363082725</v>
      </c>
      <c r="T14" s="1037">
        <f>T13-0.125</f>
        <v>7.125</v>
      </c>
      <c r="U14" s="93">
        <f>100-VLOOKUP(T14,'[1]Pricing '!$A$3052:$K$3077,11,FALSE)</f>
        <v>-3.8466218913364116</v>
      </c>
      <c r="V14" s="1036">
        <f t="shared" ref="V14:V37" si="6">U14-$U$2</f>
        <v>-3.7216218913364116</v>
      </c>
      <c r="W14" s="1022">
        <f>W13-0.125</f>
        <v>7.25</v>
      </c>
      <c r="X14" s="181">
        <f>100-VLOOKUP(W14,'[1]Pricing '!$A$2788:$K$2812,11,FALSE)</f>
        <v>-4.0712602955252635</v>
      </c>
      <c r="Y14" s="1038">
        <f t="shared" ref="Y14:Y37" si="7">X14-$U$2</f>
        <v>-3.9462602955252635</v>
      </c>
      <c r="Z14" s="1037">
        <f>Z13-0.125</f>
        <v>7.625</v>
      </c>
      <c r="AA14" s="93">
        <f>100-VLOOKUP(Z14,'[1]Pricing '!$A$2561:$K$2586,11,FALSE)</f>
        <v>-3.6488845578142275</v>
      </c>
      <c r="AB14" s="1036">
        <f t="shared" ref="AB14:AB37" si="8">AA14-$U$2</f>
        <v>-3.5238845578142275</v>
      </c>
      <c r="AC14" s="1037">
        <f>AC13-0.125</f>
        <v>7.625</v>
      </c>
      <c r="AD14" s="93">
        <f>100-VLOOKUP(AC14,'[1]Pricing '!$A$2815:$K$2840,11,FALSE)</f>
        <v>-3.6488845578142275</v>
      </c>
      <c r="AE14" s="1036">
        <f t="shared" ref="AE14:AE37" si="9">AD14-$U$2</f>
        <v>-3.5238845578142275</v>
      </c>
      <c r="AF14" s="1037">
        <f>AF13-0.125</f>
        <v>7.375</v>
      </c>
      <c r="AG14" s="93">
        <f>100-VLOOKUP(AF14,'[1]Pricing '!$A$2589:$K$2614,11,FALSE)</f>
        <v>-3.6628836386347103</v>
      </c>
      <c r="AH14" s="1036">
        <f t="shared" ref="AH14:AH37" si="10">AG14-$U$2</f>
        <v>-3.5378836386347103</v>
      </c>
      <c r="AI14" s="1037">
        <f>AI13-0.125</f>
        <v>7.125</v>
      </c>
      <c r="AJ14" s="93">
        <f>100-VLOOKUP(AI14,'[1]Pricing '!$A$2871:$K$2896,11,FALSE)</f>
        <v>-3.6428149086500383</v>
      </c>
      <c r="AK14" s="1036">
        <f t="shared" ref="AK14:AK37" si="11">AJ14-$U$2</f>
        <v>-3.5178149086500383</v>
      </c>
    </row>
    <row r="15" spans="1:37" ht="15" customHeight="1" x14ac:dyDescent="0.25">
      <c r="B15" s="111" cm="1">
        <f t="array" ref="B15">INDEX($A$162:$DE$162,0,MATCH(B14,$A$162:$DE$162,0)-1)</f>
        <v>7.5</v>
      </c>
      <c r="C15" s="93">
        <f>100-VLOOKUP(B15,'[1]Pricing '!$A$2506:$K$2531,11,FALSE)</f>
        <v>-5.0672060180409915</v>
      </c>
      <c r="D15" s="94">
        <f t="shared" si="0"/>
        <v>-4.9422060180409915</v>
      </c>
      <c r="E15" s="111" cm="1">
        <f t="array" ref="E15">INDEX($A$162:$DE$162,0,MATCH(E14,$A$162:$DE$162,0)-1)</f>
        <v>7.375</v>
      </c>
      <c r="F15" s="93">
        <f>100-VLOOKUP(E15,'[1]Pricing '!$A$2677:$K$2702,11,FALSE)</f>
        <v>-4.7977793530222499</v>
      </c>
      <c r="G15" s="94">
        <f t="shared" si="1"/>
        <v>-4.6727793530222499</v>
      </c>
      <c r="H15" s="107">
        <f t="shared" ref="H15:H37" si="12">H14-0.125</f>
        <v>7.375</v>
      </c>
      <c r="I15" s="93">
        <f>100-VLOOKUP(H15,'[1]Pricing '!$A$2648:$K$2673,11,FALSE)</f>
        <v>-3.8957793530222631</v>
      </c>
      <c r="J15" s="1036">
        <f t="shared" si="2"/>
        <v>-3.7707793530222631</v>
      </c>
      <c r="K15" s="1037">
        <f t="shared" ref="K15:K37" si="13">K14-0.125</f>
        <v>7.5</v>
      </c>
      <c r="L15" s="93">
        <f>100-VLOOKUP(K15,'[1]Pricing '!$A$2733:$K$2758,11,FALSE)</f>
        <v>-4.1492060180409993</v>
      </c>
      <c r="M15" s="1036">
        <f t="shared" si="3"/>
        <v>-4.0242060180409993</v>
      </c>
      <c r="N15" s="1037">
        <f t="shared" ref="N15:N37" si="14">N14-0.125</f>
        <v>7</v>
      </c>
      <c r="O15" s="93">
        <f>100-VLOOKUP(N15,'[1]Pricing '!$A$2534:$K$2558,11,FALSE)</f>
        <v>-4.1100398200550075</v>
      </c>
      <c r="P15" s="1036">
        <f t="shared" si="4"/>
        <v>-3.9850398200550075</v>
      </c>
      <c r="Q15" s="1037">
        <f t="shared" ref="Q15:Q28" si="15">Q14-0.125</f>
        <v>6.75</v>
      </c>
      <c r="R15" s="93">
        <f>100-VLOOKUP(Q15,'[1]Pricing '!$A$2761:$K$2785,11,FALSE)</f>
        <v>-3.7662590836898886</v>
      </c>
      <c r="S15" s="1036">
        <f t="shared" si="5"/>
        <v>-3.6412590836898886</v>
      </c>
      <c r="T15" s="1037">
        <f t="shared" ref="T15:T37" si="16">T14-0.125</f>
        <v>7</v>
      </c>
      <c r="U15" s="93">
        <f>100-VLOOKUP(T15,'[1]Pricing '!$A$3052:$K$3077,11,FALSE)</f>
        <v>-4.189039820055001</v>
      </c>
      <c r="V15" s="1036">
        <f t="shared" si="6"/>
        <v>-4.064039820055001</v>
      </c>
      <c r="W15" s="1022">
        <f t="shared" ref="W15:W37" si="17">W14-0.125</f>
        <v>7.125</v>
      </c>
      <c r="X15" s="181">
        <f>100-VLOOKUP(W15,'[1]Pricing '!$A$2788:$K$2812,11,FALSE)</f>
        <v>-3.8466218913364116</v>
      </c>
      <c r="Y15" s="1038">
        <f t="shared" si="7"/>
        <v>-3.7216218913364116</v>
      </c>
      <c r="Z15" s="1037">
        <f t="shared" ref="Z15:Z37" si="18">Z14-0.125</f>
        <v>7.5</v>
      </c>
      <c r="AA15" s="93">
        <f>100-VLOOKUP(Z15,'[1]Pricing '!$A$2561:$K$2586,11,FALSE)</f>
        <v>-3.4762903711710464</v>
      </c>
      <c r="AB15" s="1036">
        <f t="shared" si="8"/>
        <v>-3.3512903711710464</v>
      </c>
      <c r="AC15" s="1037">
        <f t="shared" ref="AC15:AC37" si="19">AC14-0.125</f>
        <v>7.5</v>
      </c>
      <c r="AD15" s="93">
        <f>100-VLOOKUP(AC15,'[1]Pricing '!$A$2815:$K$2840,11,FALSE)</f>
        <v>-3.4762903711710464</v>
      </c>
      <c r="AE15" s="1036">
        <f t="shared" si="9"/>
        <v>-3.3512903711710464</v>
      </c>
      <c r="AF15" s="1037">
        <f t="shared" ref="AF15:AF37" si="20">AF14-0.125</f>
        <v>7.25</v>
      </c>
      <c r="AG15" s="93">
        <f>100-VLOOKUP(AF15,'[1]Pricing '!$A$2589:$K$2614,11,FALSE)</f>
        <v>-3.4672654739642041</v>
      </c>
      <c r="AH15" s="1036">
        <f t="shared" si="10"/>
        <v>-3.3422654739642041</v>
      </c>
      <c r="AI15" s="1037">
        <f t="shared" ref="AI15:AI37" si="21">AI14-0.125</f>
        <v>7</v>
      </c>
      <c r="AJ15" s="93">
        <f>100-VLOOKUP(AI15,'[1]Pricing '!$A$2871:$K$2896,11,FALSE)</f>
        <v>-3.4413755671589712</v>
      </c>
      <c r="AK15" s="1036">
        <f t="shared" si="11"/>
        <v>-3.3163755671589712</v>
      </c>
    </row>
    <row r="16" spans="1:37" ht="15" customHeight="1" x14ac:dyDescent="0.25">
      <c r="B16" s="111" cm="1">
        <f t="array" ref="B16">INDEX($A$162:$DE$162,0,MATCH(B15,$A$162:$DE$162,0)-1)</f>
        <v>7.375</v>
      </c>
      <c r="C16" s="93">
        <f>100-VLOOKUP(B16,'[1]Pricing '!$A$2506:$K$2531,11,FALSE)</f>
        <v>-4.7977793530222499</v>
      </c>
      <c r="D16" s="94">
        <f t="shared" si="0"/>
        <v>-4.6727793530222499</v>
      </c>
      <c r="E16" s="111" cm="1">
        <f t="array" ref="E16">INDEX($A$162:$DE$162,0,MATCH(E15,$A$162:$DE$162,0)-1)</f>
        <v>7.25</v>
      </c>
      <c r="F16" s="93">
        <f>100-VLOOKUP(E16,'[1]Pricing '!$A$2677:$K$2702,11,FALSE)</f>
        <v>-4.3192232180739296</v>
      </c>
      <c r="G16" s="94">
        <f t="shared" si="1"/>
        <v>-4.1942232180739296</v>
      </c>
      <c r="H16" s="107">
        <f t="shared" si="12"/>
        <v>7.25</v>
      </c>
      <c r="I16" s="93">
        <f>100-VLOOKUP(H16,'[1]Pricing '!$A$2648:$K$2673,11,FALSE)</f>
        <v>-3.6172232180739314</v>
      </c>
      <c r="J16" s="1036">
        <f t="shared" si="2"/>
        <v>-3.4922232180739314</v>
      </c>
      <c r="K16" s="1037">
        <f t="shared" si="13"/>
        <v>7.375</v>
      </c>
      <c r="L16" s="93">
        <f>100-VLOOKUP(K16,'[1]Pricing '!$A$2733:$K$2758,11,FALSE)</f>
        <v>-3.8957793530222631</v>
      </c>
      <c r="M16" s="1036">
        <f t="shared" si="3"/>
        <v>-3.7707793530222631</v>
      </c>
      <c r="N16" s="1037">
        <f t="shared" si="14"/>
        <v>6.875</v>
      </c>
      <c r="O16" s="93">
        <f>100-VLOOKUP(N16,'[1]Pricing '!$A$2534:$K$2558,11,FALSE)</f>
        <v>-3.8893409363082725</v>
      </c>
      <c r="P16" s="1036">
        <f t="shared" si="4"/>
        <v>-3.7643409363082725</v>
      </c>
      <c r="Q16" s="1037">
        <f t="shared" si="15"/>
        <v>6.625</v>
      </c>
      <c r="R16" s="93">
        <f>100-VLOOKUP(Q16,'[1]Pricing '!$A$2761:$K$2785,11,FALSE)</f>
        <v>-3.5121048496292531</v>
      </c>
      <c r="S16" s="1036">
        <f t="shared" si="5"/>
        <v>-3.3871048496292531</v>
      </c>
      <c r="T16" s="1037">
        <f t="shared" si="16"/>
        <v>6.875</v>
      </c>
      <c r="U16" s="93">
        <f>100-VLOOKUP(T16,'[1]Pricing '!$A$3052:$K$3077,11,FALSE)</f>
        <v>-3.9713409363082661</v>
      </c>
      <c r="V16" s="1036">
        <f t="shared" si="6"/>
        <v>-3.8463409363082661</v>
      </c>
      <c r="W16" s="1022">
        <f t="shared" si="17"/>
        <v>7</v>
      </c>
      <c r="X16" s="181">
        <f>100-VLOOKUP(W16,'[1]Pricing '!$A$2788:$K$2812,11,FALSE)</f>
        <v>-4.189039820055001</v>
      </c>
      <c r="Y16" s="1038">
        <f t="shared" si="7"/>
        <v>-4.064039820055001</v>
      </c>
      <c r="Z16" s="1037">
        <f t="shared" si="18"/>
        <v>7.375</v>
      </c>
      <c r="AA16" s="93">
        <f>100-VLOOKUP(Z16,'[1]Pricing '!$A$2561:$K$2586,11,FALSE)</f>
        <v>-3.1187664203948344</v>
      </c>
      <c r="AB16" s="1036">
        <f t="shared" si="8"/>
        <v>-2.9937664203948344</v>
      </c>
      <c r="AC16" s="1037">
        <f t="shared" si="19"/>
        <v>7.375</v>
      </c>
      <c r="AD16" s="93">
        <f>100-VLOOKUP(AC16,'[1]Pricing '!$A$2815:$K$2840,11,FALSE)</f>
        <v>-3.1187664203948344</v>
      </c>
      <c r="AE16" s="1036">
        <f t="shared" si="9"/>
        <v>-2.9937664203948344</v>
      </c>
      <c r="AF16" s="1037">
        <f t="shared" si="20"/>
        <v>7.125</v>
      </c>
      <c r="AG16" s="93">
        <f>100-VLOOKUP(AF16,'[1]Pricing '!$A$2589:$K$2614,11,FALSE)</f>
        <v>-3.7678149086500383</v>
      </c>
      <c r="AH16" s="1036">
        <f t="shared" si="10"/>
        <v>-3.6428149086500383</v>
      </c>
      <c r="AI16" s="1037">
        <f t="shared" si="21"/>
        <v>6.875</v>
      </c>
      <c r="AJ16" s="93">
        <f>100-VLOOKUP(AI16,'[1]Pricing '!$A$2871:$K$2896,11,FALSE)</f>
        <v>-2.8556408476187016</v>
      </c>
      <c r="AK16" s="1036">
        <f t="shared" si="11"/>
        <v>-2.7306408476187016</v>
      </c>
    </row>
    <row r="17" spans="1:37" ht="15" customHeight="1" x14ac:dyDescent="0.25">
      <c r="B17" s="111" cm="1">
        <f t="array" ref="B17">INDEX($A$162:$DE$162,0,MATCH(B16,$A$162:$DE$162,0)-1)</f>
        <v>7.25</v>
      </c>
      <c r="C17" s="93">
        <f>100-VLOOKUP(B17,'[1]Pricing '!$A$2506:$K$2531,11,FALSE)</f>
        <v>-4.3192232180739296</v>
      </c>
      <c r="D17" s="94">
        <f t="shared" si="0"/>
        <v>-4.1942232180739296</v>
      </c>
      <c r="E17" s="111" cm="1">
        <f t="array" ref="E17">INDEX($A$162:$DE$162,0,MATCH(E16,$A$162:$DE$162,0)-1)</f>
        <v>7.125</v>
      </c>
      <c r="F17" s="93">
        <f>100-VLOOKUP(E17,'[1]Pricing '!$A$2677:$K$2702,11,FALSE)</f>
        <v>-4.1056342986537686</v>
      </c>
      <c r="G17" s="94">
        <f t="shared" si="1"/>
        <v>-3.9806342986537686</v>
      </c>
      <c r="H17" s="107">
        <f t="shared" si="12"/>
        <v>7.125</v>
      </c>
      <c r="I17" s="93">
        <f>100-VLOOKUP(H17,'[1]Pricing '!$A$2648:$K$2673,11,FALSE)</f>
        <v>-3.1156342986537737</v>
      </c>
      <c r="J17" s="1036">
        <f t="shared" si="2"/>
        <v>-2.9906342986537737</v>
      </c>
      <c r="K17" s="1037">
        <f t="shared" si="13"/>
        <v>7.25</v>
      </c>
      <c r="L17" s="93">
        <f>100-VLOOKUP(K17,'[1]Pricing '!$A$2733:$K$2758,11,FALSE)</f>
        <v>-3.6172232180739314</v>
      </c>
      <c r="M17" s="1036">
        <f t="shared" si="3"/>
        <v>-3.4922232180739314</v>
      </c>
      <c r="N17" s="1037">
        <f t="shared" si="14"/>
        <v>6.75</v>
      </c>
      <c r="O17" s="93">
        <f>100-VLOOKUP(N17,'[1]Pricing '!$A$2534:$K$2558,11,FALSE)</f>
        <v>-3.6412590836898886</v>
      </c>
      <c r="P17" s="1036">
        <f t="shared" si="4"/>
        <v>-3.5162590836898886</v>
      </c>
      <c r="Q17" s="1037">
        <f t="shared" si="15"/>
        <v>6.5</v>
      </c>
      <c r="R17" s="93">
        <f>100-VLOOKUP(Q17,'[1]Pricing '!$A$2761:$K$2785,11,FALSE)</f>
        <v>-3.3369705107690493</v>
      </c>
      <c r="S17" s="1036">
        <f t="shared" si="5"/>
        <v>-3.2119705107690493</v>
      </c>
      <c r="T17" s="1037">
        <f t="shared" si="16"/>
        <v>6.75</v>
      </c>
      <c r="U17" s="93">
        <f>100-VLOOKUP(T17,'[1]Pricing '!$A$3052:$K$3077,11,FALSE)</f>
        <v>-3.7272590836898871</v>
      </c>
      <c r="V17" s="1036">
        <f t="shared" si="6"/>
        <v>-3.6022590836898871</v>
      </c>
      <c r="W17" s="1022">
        <f t="shared" si="17"/>
        <v>6.875</v>
      </c>
      <c r="X17" s="181">
        <f>100-VLOOKUP(W17,'[1]Pricing '!$A$2788:$K$2812,11,FALSE)</f>
        <v>-3.9713409363082661</v>
      </c>
      <c r="Y17" s="1038">
        <f t="shared" si="7"/>
        <v>-3.8463409363082661</v>
      </c>
      <c r="Z17" s="1037">
        <f t="shared" si="18"/>
        <v>7.25</v>
      </c>
      <c r="AA17" s="93">
        <f>100-VLOOKUP(Z17,'[1]Pricing '!$A$2561:$K$2586,11,FALSE)</f>
        <v>-2.6460252056708242</v>
      </c>
      <c r="AB17" s="1036">
        <f t="shared" si="8"/>
        <v>-2.5210252056708242</v>
      </c>
      <c r="AC17" s="1037">
        <f t="shared" si="19"/>
        <v>7.25</v>
      </c>
      <c r="AD17" s="93">
        <f>100-VLOOKUP(AC17,'[1]Pricing '!$A$2815:$K$2840,11,FALSE)</f>
        <v>-2.6460252056708242</v>
      </c>
      <c r="AE17" s="1036">
        <f t="shared" si="9"/>
        <v>-2.5210252056708242</v>
      </c>
      <c r="AF17" s="1037">
        <f t="shared" si="20"/>
        <v>7</v>
      </c>
      <c r="AG17" s="93">
        <f>100-VLOOKUP(AF17,'[1]Pricing '!$A$2589:$K$2614,11,FALSE)</f>
        <v>-3.5663755671589712</v>
      </c>
      <c r="AH17" s="1036">
        <f t="shared" si="10"/>
        <v>-3.4413755671589712</v>
      </c>
      <c r="AI17" s="1037">
        <f t="shared" si="21"/>
        <v>6.75</v>
      </c>
      <c r="AJ17" s="93">
        <f>100-VLOOKUP(AI17,'[1]Pricing '!$A$2871:$K$2896,11,FALSE)</f>
        <v>-2.4802069048250672</v>
      </c>
      <c r="AK17" s="1036">
        <f t="shared" si="11"/>
        <v>-2.3552069048250672</v>
      </c>
    </row>
    <row r="18" spans="1:37" ht="15" customHeight="1" x14ac:dyDescent="0.25">
      <c r="B18" s="111" cm="1">
        <f t="array" ref="B18">INDEX($A$162:$DE$162,0,MATCH(B17,$A$162:$DE$162,0)-1)</f>
        <v>7.125</v>
      </c>
      <c r="C18" s="93">
        <f>100-VLOOKUP(B18,'[1]Pricing '!$A$2506:$K$2531,11,FALSE)</f>
        <v>-4.1056342986537686</v>
      </c>
      <c r="D18" s="94">
        <f t="shared" si="0"/>
        <v>-3.9806342986537686</v>
      </c>
      <c r="E18" s="111" cm="1">
        <f t="array" ref="E18">INDEX($A$162:$DE$162,0,MATCH(E17,$A$162:$DE$162,0)-1)</f>
        <v>7</v>
      </c>
      <c r="F18" s="93">
        <f>100-VLOOKUP(E18,'[1]Pricing '!$A$2677:$K$2702,11,FALSE)</f>
        <v>-3.7784188214809831</v>
      </c>
      <c r="G18" s="94">
        <f t="shared" si="1"/>
        <v>-3.6534188214809831</v>
      </c>
      <c r="H18" s="107">
        <f t="shared" si="12"/>
        <v>7</v>
      </c>
      <c r="I18" s="93">
        <f>100-VLOOKUP(H18,'[1]Pricing '!$A$2648:$K$2673,11,FALSE)</f>
        <v>-2.7994188214809839</v>
      </c>
      <c r="J18" s="1036">
        <f t="shared" si="2"/>
        <v>-2.6744188214809839</v>
      </c>
      <c r="K18" s="1037">
        <f t="shared" si="13"/>
        <v>7.125</v>
      </c>
      <c r="L18" s="93">
        <f>100-VLOOKUP(K18,'[1]Pricing '!$A$2733:$K$2758,11,FALSE)</f>
        <v>-3.1156342986537737</v>
      </c>
      <c r="M18" s="1036">
        <f t="shared" si="3"/>
        <v>-2.9906342986537737</v>
      </c>
      <c r="N18" s="1037">
        <f t="shared" si="14"/>
        <v>6.625</v>
      </c>
      <c r="O18" s="93">
        <f>100-VLOOKUP(N18,'[1]Pricing '!$A$2534:$K$2558,11,FALSE)</f>
        <v>-3.3871048496292531</v>
      </c>
      <c r="P18" s="1036">
        <f t="shared" si="4"/>
        <v>-3.2621048496292531</v>
      </c>
      <c r="Q18" s="1037">
        <f t="shared" si="15"/>
        <v>6.375</v>
      </c>
      <c r="R18" s="93">
        <f>100-VLOOKUP(Q18,'[1]Pricing '!$A$2761:$K$2785,11,FALSE)</f>
        <v>-3.0965438397576435</v>
      </c>
      <c r="S18" s="1036">
        <f t="shared" si="5"/>
        <v>-2.9715438397576435</v>
      </c>
      <c r="T18" s="1037">
        <f t="shared" si="16"/>
        <v>6.625</v>
      </c>
      <c r="U18" s="181">
        <f>100-VLOOKUP(T18,'[1]Pricing '!$A$3052:$K$3077,11,FALSE)</f>
        <v>-3.5101048496292577</v>
      </c>
      <c r="V18" s="1036">
        <f t="shared" si="6"/>
        <v>-3.3851048496292577</v>
      </c>
      <c r="W18" s="1022">
        <f t="shared" si="17"/>
        <v>6.75</v>
      </c>
      <c r="X18" s="181">
        <f>100-VLOOKUP(W18,'[1]Pricing '!$A$2788:$K$2812,11,FALSE)</f>
        <v>-3.7272590836898871</v>
      </c>
      <c r="Y18" s="1038">
        <f t="shared" si="7"/>
        <v>-3.6022590836898871</v>
      </c>
      <c r="Z18" s="1037">
        <f t="shared" si="18"/>
        <v>7.125</v>
      </c>
      <c r="AA18" s="93">
        <f>100-VLOOKUP(Z18,'[1]Pricing '!$A$2561:$K$2586,11,FALSE)</f>
        <v>-2.890444981807704</v>
      </c>
      <c r="AB18" s="1036">
        <f t="shared" si="8"/>
        <v>-2.765444981807704</v>
      </c>
      <c r="AC18" s="1037">
        <f t="shared" si="19"/>
        <v>7.125</v>
      </c>
      <c r="AD18" s="93">
        <f>100-VLOOKUP(AC18,'[1]Pricing '!$A$2815:$K$2840,11,FALSE)</f>
        <v>-2.890444981807704</v>
      </c>
      <c r="AE18" s="1036">
        <f t="shared" si="9"/>
        <v>-2.765444981807704</v>
      </c>
      <c r="AF18" s="1037">
        <f t="shared" si="20"/>
        <v>6.875</v>
      </c>
      <c r="AG18" s="93">
        <f>100-VLOOKUP(AF18,'[1]Pricing '!$A$2589:$K$2614,11,FALSE)</f>
        <v>-2.9806408476187016</v>
      </c>
      <c r="AH18" s="1036">
        <f t="shared" si="10"/>
        <v>-2.8556408476187016</v>
      </c>
      <c r="AI18" s="1037">
        <f t="shared" si="21"/>
        <v>6.625</v>
      </c>
      <c r="AJ18" s="93">
        <f>100-VLOOKUP(AI18,'[1]Pricing '!$A$2871:$K$2896,11,FALSE)</f>
        <v>-2.3511123794293525</v>
      </c>
      <c r="AK18" s="1036">
        <f t="shared" si="11"/>
        <v>-2.2261123794293525</v>
      </c>
    </row>
    <row r="19" spans="1:37" ht="16.5" x14ac:dyDescent="0.25">
      <c r="B19" s="111" cm="1">
        <f t="array" ref="B19">INDEX($A$162:$DE$162,0,MATCH(B18,$A$162:$DE$162,0)-1)</f>
        <v>7</v>
      </c>
      <c r="C19" s="93">
        <f>100-VLOOKUP(B19,'[1]Pricing '!$A$2506:$K$2531,11,FALSE)</f>
        <v>-3.7784188214809831</v>
      </c>
      <c r="D19" s="94">
        <f t="shared" si="0"/>
        <v>-3.6534188214809831</v>
      </c>
      <c r="E19" s="111" cm="1">
        <f t="array" ref="E19">INDEX($A$162:$DE$162,0,MATCH(E18,$A$162:$DE$162,0)-1)</f>
        <v>6.875</v>
      </c>
      <c r="F19" s="93">
        <f>100-VLOOKUP(E19,'[1]Pricing '!$A$2677:$K$2702,11,FALSE)</f>
        <v>-3.3166370702999757</v>
      </c>
      <c r="G19" s="94">
        <f t="shared" si="1"/>
        <v>-3.1916370702999757</v>
      </c>
      <c r="H19" s="107">
        <f t="shared" si="12"/>
        <v>6.875</v>
      </c>
      <c r="I19" s="93">
        <f>100-VLOOKUP(H19,'[1]Pricing '!$A$2648:$K$2673,11,FALSE)</f>
        <v>-2.5436370702999795</v>
      </c>
      <c r="J19" s="1036">
        <f t="shared" si="2"/>
        <v>-2.4186370702999795</v>
      </c>
      <c r="K19" s="1037">
        <f t="shared" si="13"/>
        <v>7</v>
      </c>
      <c r="L19" s="93">
        <f>100-VLOOKUP(K19,'[1]Pricing '!$A$2733:$K$2758,11,FALSE)</f>
        <v>-2.7994188214809839</v>
      </c>
      <c r="M19" s="1036">
        <f t="shared" si="3"/>
        <v>-2.6744188214809839</v>
      </c>
      <c r="N19" s="1037">
        <f t="shared" si="14"/>
        <v>6.5</v>
      </c>
      <c r="O19" s="93">
        <f>100-VLOOKUP(N19,'[1]Pricing '!$A$2534:$K$2558,11,FALSE)</f>
        <v>-3.2119705107690493</v>
      </c>
      <c r="P19" s="1036">
        <f t="shared" si="4"/>
        <v>-3.0869705107690493</v>
      </c>
      <c r="Q19" s="1037">
        <f t="shared" si="15"/>
        <v>6.25</v>
      </c>
      <c r="R19" s="93">
        <f>100-VLOOKUP(Q19,'[1]Pricing '!$A$2761:$K$2785,11,FALSE)</f>
        <v>-2.8050741952660445</v>
      </c>
      <c r="S19" s="1036">
        <f t="shared" si="5"/>
        <v>-2.6800741952660445</v>
      </c>
      <c r="T19" s="1037">
        <f t="shared" si="16"/>
        <v>6.5</v>
      </c>
      <c r="U19" s="181">
        <f>100-VLOOKUP(T19,'[1]Pricing '!$A$3052:$K$3077,11,FALSE)</f>
        <v>-3.2889705107690475</v>
      </c>
      <c r="V19" s="1036">
        <f t="shared" si="6"/>
        <v>-3.1639705107690475</v>
      </c>
      <c r="W19" s="1022">
        <f t="shared" si="17"/>
        <v>6.625</v>
      </c>
      <c r="X19" s="181">
        <f>100-VLOOKUP(W19,'[1]Pricing '!$A$2788:$K$2812,11,FALSE)</f>
        <v>-3.5101048496292577</v>
      </c>
      <c r="Y19" s="1038">
        <f t="shared" si="7"/>
        <v>-3.3851048496292577</v>
      </c>
      <c r="Z19" s="1037">
        <f t="shared" si="18"/>
        <v>7</v>
      </c>
      <c r="AA19" s="93">
        <f>100-VLOOKUP(Z19,'[1]Pricing '!$A$2561:$K$2586,11,FALSE)</f>
        <v>-2.5778288528374986</v>
      </c>
      <c r="AB19" s="1036">
        <f t="shared" si="8"/>
        <v>-2.4528288528374986</v>
      </c>
      <c r="AC19" s="1037">
        <f t="shared" si="19"/>
        <v>7</v>
      </c>
      <c r="AD19" s="93">
        <f>100-VLOOKUP(AC19,'[1]Pricing '!$A$2815:$K$2840,11,FALSE)</f>
        <v>-2.5778288528374986</v>
      </c>
      <c r="AE19" s="1036">
        <f t="shared" si="9"/>
        <v>-2.4528288528374986</v>
      </c>
      <c r="AF19" s="1037">
        <f t="shared" si="20"/>
        <v>6.75</v>
      </c>
      <c r="AG19" s="93">
        <f>100-VLOOKUP(AF19,'[1]Pricing '!$A$2589:$K$2614,11,FALSE)</f>
        <v>-2.6052069048250672</v>
      </c>
      <c r="AH19" s="1036">
        <f t="shared" si="10"/>
        <v>-2.4802069048250672</v>
      </c>
      <c r="AI19" s="1037">
        <f t="shared" si="21"/>
        <v>6.5</v>
      </c>
      <c r="AJ19" s="93">
        <f>100-VLOOKUP(AI19,'[1]Pricing '!$A$2871:$K$2896,11,FALSE)</f>
        <v>-2.1321443175241228</v>
      </c>
      <c r="AK19" s="1036">
        <f t="shared" si="11"/>
        <v>-2.0071443175241228</v>
      </c>
    </row>
    <row r="20" spans="1:37" ht="16.5" x14ac:dyDescent="0.25">
      <c r="B20" s="111" cm="1">
        <f t="array" ref="B20">INDEX($A$162:$DE$162,0,MATCH(B19,$A$162:$DE$162,0)-1)</f>
        <v>6.875</v>
      </c>
      <c r="C20" s="93">
        <f>100-VLOOKUP(B20,'[1]Pricing '!$A$2506:$K$2531,11,FALSE)</f>
        <v>-3.3166370702999757</v>
      </c>
      <c r="D20" s="94">
        <f t="shared" si="0"/>
        <v>-3.1916370702999757</v>
      </c>
      <c r="E20" s="111" cm="1">
        <f t="array" ref="E20">INDEX($A$162:$DE$162,0,MATCH(E19,$A$162:$DE$162,0)-1)</f>
        <v>6.75</v>
      </c>
      <c r="F20" s="93">
        <f>100-VLOOKUP(E20,'[1]Pricing '!$A$2677:$K$2702,11,FALSE)</f>
        <v>-2.7760353823492636</v>
      </c>
      <c r="G20" s="94">
        <f t="shared" si="1"/>
        <v>-2.6510353823492636</v>
      </c>
      <c r="H20" s="107">
        <f t="shared" si="12"/>
        <v>6.75</v>
      </c>
      <c r="I20" s="93">
        <f>100-VLOOKUP(H20,'[1]Pricing '!$A$2648:$K$2673,11,FALSE)</f>
        <v>-2.2440353823492671</v>
      </c>
      <c r="J20" s="1036">
        <f t="shared" si="2"/>
        <v>-2.1190353823492671</v>
      </c>
      <c r="K20" s="1037">
        <f t="shared" si="13"/>
        <v>6.875</v>
      </c>
      <c r="L20" s="93">
        <f>100-VLOOKUP(K20,'[1]Pricing '!$A$2733:$K$2758,11,FALSE)</f>
        <v>-2.5436370702999795</v>
      </c>
      <c r="M20" s="1036">
        <f t="shared" si="3"/>
        <v>-2.4186370702999795</v>
      </c>
      <c r="N20" s="1037">
        <f t="shared" si="14"/>
        <v>6.375</v>
      </c>
      <c r="O20" s="93">
        <f>100-VLOOKUP(N20,'[1]Pricing '!$A$2534:$K$2558,11,FALSE)</f>
        <v>-2.9715438397576435</v>
      </c>
      <c r="P20" s="1036">
        <f t="shared" si="4"/>
        <v>-2.8465438397576435</v>
      </c>
      <c r="Q20" s="1037">
        <f t="shared" si="15"/>
        <v>6.125</v>
      </c>
      <c r="R20" s="93">
        <f>100-VLOOKUP(Q20,'[1]Pricing '!$A$2761:$K$2785,11,FALSE)</f>
        <v>-2.469931596937883</v>
      </c>
      <c r="S20" s="1036">
        <f t="shared" si="5"/>
        <v>-2.344931596937883</v>
      </c>
      <c r="T20" s="1037">
        <f t="shared" si="16"/>
        <v>6.375</v>
      </c>
      <c r="U20" s="181">
        <f>100-VLOOKUP(T20,'[1]Pricing '!$A$3052:$K$3077,11,FALSE)</f>
        <v>-3.0515438397576418</v>
      </c>
      <c r="V20" s="1036">
        <f t="shared" si="6"/>
        <v>-2.9265438397576418</v>
      </c>
      <c r="W20" s="1022">
        <f t="shared" si="17"/>
        <v>6.5</v>
      </c>
      <c r="X20" s="181">
        <f>100-VLOOKUP(W20,'[1]Pricing '!$A$2788:$K$2812,11,FALSE)</f>
        <v>-3.2889705107690475</v>
      </c>
      <c r="Y20" s="1038">
        <f t="shared" si="7"/>
        <v>-3.1639705107690475</v>
      </c>
      <c r="Z20" s="1037">
        <f t="shared" si="18"/>
        <v>6.875</v>
      </c>
      <c r="AA20" s="93">
        <f>100-VLOOKUP(Z20,'[1]Pricing '!$A$2561:$K$2586,11,FALSE)</f>
        <v>-2.3787034985663382</v>
      </c>
      <c r="AB20" s="1036">
        <f t="shared" si="8"/>
        <v>-2.2537034985663382</v>
      </c>
      <c r="AC20" s="1037">
        <f t="shared" si="19"/>
        <v>6.875</v>
      </c>
      <c r="AD20" s="93">
        <f>100-VLOOKUP(AC20,'[1]Pricing '!$A$2815:$K$2840,11,FALSE)</f>
        <v>-2.3787034985663382</v>
      </c>
      <c r="AE20" s="1036">
        <f t="shared" si="9"/>
        <v>-2.2537034985663382</v>
      </c>
      <c r="AF20" s="1037">
        <f t="shared" si="20"/>
        <v>6.625</v>
      </c>
      <c r="AG20" s="93">
        <f>100-VLOOKUP(AF20,'[1]Pricing '!$A$2589:$K$2614,11,FALSE)</f>
        <v>-2.4761123794293525</v>
      </c>
      <c r="AH20" s="1036">
        <f t="shared" si="10"/>
        <v>-2.3511123794293525</v>
      </c>
      <c r="AI20" s="1037">
        <f t="shared" si="21"/>
        <v>6.375</v>
      </c>
      <c r="AJ20" s="93">
        <f>100-VLOOKUP(AI20,'[1]Pricing '!$A$2871:$K$2896,11,FALSE)</f>
        <v>-1.8776478368618825</v>
      </c>
      <c r="AK20" s="1036">
        <f t="shared" si="11"/>
        <v>-1.7526478368618825</v>
      </c>
    </row>
    <row r="21" spans="1:37" ht="16.5" x14ac:dyDescent="0.25">
      <c r="B21" s="111" cm="1">
        <f t="array" ref="B21">INDEX($A$162:$DE$162,0,MATCH(B20,$A$162:$DE$162,0)-1)</f>
        <v>6.75</v>
      </c>
      <c r="C21" s="93">
        <f>100-VLOOKUP(B21,'[1]Pricing '!$A$2506:$K$2531,11,FALSE)</f>
        <v>-2.7760353823492636</v>
      </c>
      <c r="D21" s="94">
        <f t="shared" si="0"/>
        <v>-2.6510353823492636</v>
      </c>
      <c r="E21" s="111" cm="1">
        <f t="array" ref="E21">INDEX($A$162:$DE$162,0,MATCH(E20,$A$162:$DE$162,0)-1)</f>
        <v>6.625</v>
      </c>
      <c r="F21" s="93">
        <f>100-VLOOKUP(E21,'[1]Pricing '!$A$2677:$K$2702,11,FALSE)</f>
        <v>-2.6001419487640902</v>
      </c>
      <c r="G21" s="94">
        <f t="shared" si="1"/>
        <v>-2.4751419487640902</v>
      </c>
      <c r="H21" s="107">
        <f t="shared" si="12"/>
        <v>6.625</v>
      </c>
      <c r="I21" s="93">
        <f>100-VLOOKUP(H21,'[1]Pricing '!$A$2648:$K$2673,11,FALSE)</f>
        <v>-2.1781419487640932</v>
      </c>
      <c r="J21" s="1036">
        <f t="shared" si="2"/>
        <v>-2.0531419487640932</v>
      </c>
      <c r="K21" s="1037">
        <f t="shared" si="13"/>
        <v>6.75</v>
      </c>
      <c r="L21" s="93">
        <f>100-VLOOKUP(K21,'[1]Pricing '!$A$2733:$K$2758,11,FALSE)</f>
        <v>-2.2440353823492671</v>
      </c>
      <c r="M21" s="1036">
        <f t="shared" si="3"/>
        <v>-2.1190353823492671</v>
      </c>
      <c r="N21" s="1037">
        <f t="shared" si="14"/>
        <v>6.25</v>
      </c>
      <c r="O21" s="93">
        <f>100-VLOOKUP(N21,'[1]Pricing '!$A$2534:$K$2558,11,FALSE)</f>
        <v>-2.6800741952660445</v>
      </c>
      <c r="P21" s="1036">
        <f t="shared" si="4"/>
        <v>-2.5550741952660445</v>
      </c>
      <c r="Q21" s="1037">
        <f t="shared" si="15"/>
        <v>6</v>
      </c>
      <c r="R21" s="93">
        <f>100-VLOOKUP(Q21,'[1]Pricing '!$A$2761:$K$2785,11,FALSE)</f>
        <v>-2.2045453709175007</v>
      </c>
      <c r="S21" s="1036">
        <f t="shared" si="5"/>
        <v>-2.0795453709175007</v>
      </c>
      <c r="T21" s="1037">
        <f t="shared" si="16"/>
        <v>6.25</v>
      </c>
      <c r="U21" s="93">
        <f>100-VLOOKUP(T21,'[1]Pricing '!$A$3052:$K$3077,11,FALSE)</f>
        <v>-2.7630741952660429</v>
      </c>
      <c r="V21" s="1036">
        <f t="shared" si="6"/>
        <v>-2.6380741952660429</v>
      </c>
      <c r="W21" s="1022">
        <f t="shared" si="17"/>
        <v>6.375</v>
      </c>
      <c r="X21" s="181">
        <f>100-VLOOKUP(W21,'[1]Pricing '!$A$2788:$K$2812,11,FALSE)</f>
        <v>-3.0515438397576418</v>
      </c>
      <c r="Y21" s="1038">
        <f t="shared" si="7"/>
        <v>-2.9265438397576418</v>
      </c>
      <c r="Z21" s="1037">
        <f t="shared" si="18"/>
        <v>6.75</v>
      </c>
      <c r="AA21" s="93">
        <f>100-VLOOKUP(Z21,'[1]Pricing '!$A$2561:$K$2586,11,FALSE)</f>
        <v>-1.8256147535829257</v>
      </c>
      <c r="AB21" s="1036">
        <f t="shared" si="8"/>
        <v>-1.7006147535829257</v>
      </c>
      <c r="AC21" s="1037">
        <f t="shared" si="19"/>
        <v>6.75</v>
      </c>
      <c r="AD21" s="93">
        <f>100-VLOOKUP(AC21,'[1]Pricing '!$A$2815:$K$2840,11,FALSE)</f>
        <v>-1.8256147535829257</v>
      </c>
      <c r="AE21" s="1036">
        <f t="shared" si="9"/>
        <v>-1.7006147535829257</v>
      </c>
      <c r="AF21" s="1037">
        <f t="shared" si="20"/>
        <v>6.5</v>
      </c>
      <c r="AG21" s="93">
        <f>100-VLOOKUP(AF21,'[1]Pricing '!$A$2589:$K$2614,11,FALSE)</f>
        <v>-2.2571443175241228</v>
      </c>
      <c r="AH21" s="1036">
        <f t="shared" si="10"/>
        <v>-2.1321443175241228</v>
      </c>
      <c r="AI21" s="1037">
        <f t="shared" si="21"/>
        <v>6.25</v>
      </c>
      <c r="AJ21" s="93">
        <f>100-VLOOKUP(AI21,'[1]Pricing '!$A$2871:$K$2896,11,FALSE)</f>
        <v>-1.5080034273224072</v>
      </c>
      <c r="AK21" s="1036">
        <f t="shared" si="11"/>
        <v>-1.3830034273224072</v>
      </c>
    </row>
    <row r="22" spans="1:37" ht="16.5" x14ac:dyDescent="0.25">
      <c r="B22" s="111" cm="1">
        <f t="array" ref="B22">INDEX($A$162:$DE$162,0,MATCH(B21,$A$162:$DE$162,0)-1)</f>
        <v>6.625</v>
      </c>
      <c r="C22" s="93">
        <f>100-VLOOKUP(B22,'[1]Pricing '!$A$2506:$K$2531,11,FALSE)</f>
        <v>-2.6001419487640902</v>
      </c>
      <c r="D22" s="94">
        <f t="shared" si="0"/>
        <v>-2.4751419487640902</v>
      </c>
      <c r="E22" s="111" cm="1">
        <f t="array" ref="E22">INDEX($A$162:$DE$162,0,MATCH(E21,$A$162:$DE$162,0)-1)</f>
        <v>6.5</v>
      </c>
      <c r="F22" s="93">
        <f>100-VLOOKUP(E22,'[1]Pricing '!$A$2677:$K$2702,11,FALSE)</f>
        <v>-2.2285579725934213</v>
      </c>
      <c r="G22" s="94">
        <f t="shared" si="1"/>
        <v>-2.1035579725934213</v>
      </c>
      <c r="H22" s="107">
        <f t="shared" si="12"/>
        <v>6.5</v>
      </c>
      <c r="I22" s="93">
        <f>100-VLOOKUP(H22,'[1]Pricing '!$A$2648:$K$2673,11,FALSE)</f>
        <v>-1.854557972593426</v>
      </c>
      <c r="J22" s="1036">
        <f t="shared" si="2"/>
        <v>-1.729557972593426</v>
      </c>
      <c r="K22" s="1037">
        <f t="shared" si="13"/>
        <v>6.625</v>
      </c>
      <c r="L22" s="93">
        <f>100-VLOOKUP(K22,'[1]Pricing '!$A$2733:$K$2758,11,FALSE)</f>
        <v>-2.1781419487640932</v>
      </c>
      <c r="M22" s="1036">
        <f t="shared" si="3"/>
        <v>-2.0531419487640932</v>
      </c>
      <c r="N22" s="1037">
        <f t="shared" si="14"/>
        <v>6.125</v>
      </c>
      <c r="O22" s="93">
        <f>100-VLOOKUP(N22,'[1]Pricing '!$A$2534:$K$2558,11,FALSE)</f>
        <v>-2.344931596937883</v>
      </c>
      <c r="P22" s="1036">
        <f t="shared" si="4"/>
        <v>-2.219931596937883</v>
      </c>
      <c r="Q22" s="1037">
        <f t="shared" si="15"/>
        <v>5.875</v>
      </c>
      <c r="R22" s="93">
        <f>100-VLOOKUP(Q22,'[1]Pricing '!$A$2761:$K$2785,11,FALSE)</f>
        <v>-1.9324186475388956</v>
      </c>
      <c r="S22" s="1036">
        <f t="shared" si="5"/>
        <v>-1.8074186475388956</v>
      </c>
      <c r="T22" s="1037">
        <f t="shared" si="16"/>
        <v>6.125</v>
      </c>
      <c r="U22" s="93">
        <f>100-VLOOKUP(T22,'[1]Pricing '!$A$3052:$K$3077,11,FALSE)</f>
        <v>-2.4469315969378869</v>
      </c>
      <c r="V22" s="1036">
        <f t="shared" si="6"/>
        <v>-2.3219315969378869</v>
      </c>
      <c r="W22" s="1022">
        <f t="shared" si="17"/>
        <v>6.25</v>
      </c>
      <c r="X22" s="181">
        <f>100-VLOOKUP(W22,'[1]Pricing '!$A$2788:$K$2812,11,FALSE)</f>
        <v>-2.7630741952660429</v>
      </c>
      <c r="Y22" s="1038">
        <f t="shared" si="7"/>
        <v>-2.6380741952660429</v>
      </c>
      <c r="Z22" s="1037">
        <f t="shared" si="18"/>
        <v>6.625</v>
      </c>
      <c r="AA22" s="93">
        <f>100-VLOOKUP(Z22,'[1]Pricing '!$A$2561:$K$2586,11,FALSE)</f>
        <v>-1.8382554271703242</v>
      </c>
      <c r="AB22" s="1036">
        <f t="shared" si="8"/>
        <v>-1.7132554271703242</v>
      </c>
      <c r="AC22" s="1037">
        <f t="shared" si="19"/>
        <v>6.625</v>
      </c>
      <c r="AD22" s="93">
        <f>100-VLOOKUP(AC22,'[1]Pricing '!$A$2815:$K$2840,11,FALSE)</f>
        <v>-1.8382554271703242</v>
      </c>
      <c r="AE22" s="1036">
        <f t="shared" si="9"/>
        <v>-1.7132554271703242</v>
      </c>
      <c r="AF22" s="1037">
        <f t="shared" si="20"/>
        <v>6.375</v>
      </c>
      <c r="AG22" s="93">
        <f>100-VLOOKUP(AF22,'[1]Pricing '!$A$2589:$K$2614,11,FALSE)</f>
        <v>-2.0026478368618825</v>
      </c>
      <c r="AH22" s="1036">
        <f t="shared" si="10"/>
        <v>-1.8776478368618825</v>
      </c>
      <c r="AI22" s="1037">
        <f t="shared" si="21"/>
        <v>6.125</v>
      </c>
      <c r="AJ22" s="93">
        <f>100-VLOOKUP(AI22,'[1]Pricing '!$A$2871:$K$2896,11,FALSE)</f>
        <v>-1.2463059478622824</v>
      </c>
      <c r="AK22" s="1036">
        <f t="shared" si="11"/>
        <v>-1.1213059478622824</v>
      </c>
    </row>
    <row r="23" spans="1:37" ht="16.5" x14ac:dyDescent="0.25">
      <c r="B23" s="111" cm="1">
        <f t="array" ref="B23">INDEX($A$162:$DE$162,0,MATCH(B22,$A$162:$DE$162,0)-1)</f>
        <v>6.5</v>
      </c>
      <c r="C23" s="93">
        <f>100-VLOOKUP(B23,'[1]Pricing '!$A$2506:$K$2531,11,FALSE)</f>
        <v>-2.2285579725934213</v>
      </c>
      <c r="D23" s="94">
        <f t="shared" si="0"/>
        <v>-2.1035579725934213</v>
      </c>
      <c r="E23" s="111" cm="1">
        <f t="array" ref="E23">INDEX($A$162:$DE$162,0,MATCH(E22,$A$162:$DE$162,0)-1)</f>
        <v>6.375</v>
      </c>
      <c r="F23" s="93">
        <f>100-VLOOKUP(E23,'[1]Pricing '!$A$2677:$K$2702,11,FALSE)</f>
        <v>-1.8965731089140121</v>
      </c>
      <c r="G23" s="94">
        <f t="shared" si="1"/>
        <v>-1.7715731089140121</v>
      </c>
      <c r="H23" s="107">
        <f t="shared" si="12"/>
        <v>6.375</v>
      </c>
      <c r="I23" s="93">
        <f>100-VLOOKUP(H23,'[1]Pricing '!$A$2648:$K$2673,11,FALSE)</f>
        <v>-1.4895731089140298</v>
      </c>
      <c r="J23" s="1036">
        <f t="shared" si="2"/>
        <v>-1.3645731089140298</v>
      </c>
      <c r="K23" s="1037">
        <f t="shared" si="13"/>
        <v>6.5</v>
      </c>
      <c r="L23" s="93">
        <f>100-VLOOKUP(K23,'[1]Pricing '!$A$2733:$K$2758,11,FALSE)</f>
        <v>-1.854557972593426</v>
      </c>
      <c r="M23" s="1036">
        <f t="shared" si="3"/>
        <v>-1.729557972593426</v>
      </c>
      <c r="N23" s="1037">
        <f t="shared" si="14"/>
        <v>6</v>
      </c>
      <c r="O23" s="93">
        <f>100-VLOOKUP(N23,'[1]Pricing '!$A$2534:$K$2558,11,FALSE)</f>
        <v>-2.0795453709175007</v>
      </c>
      <c r="P23" s="1036">
        <f t="shared" si="4"/>
        <v>-1.9545453709175007</v>
      </c>
      <c r="Q23" s="1037">
        <f t="shared" si="15"/>
        <v>5.75</v>
      </c>
      <c r="R23" s="93">
        <f>100-VLOOKUP(Q23,'[1]Pricing '!$A$2761:$K$2785,11,FALSE)</f>
        <v>-1.5290574002214896</v>
      </c>
      <c r="S23" s="1036">
        <f t="shared" si="5"/>
        <v>-1.4040574002214896</v>
      </c>
      <c r="T23" s="1037">
        <f t="shared" si="16"/>
        <v>6</v>
      </c>
      <c r="U23" s="93">
        <f>100-VLOOKUP(T23,'[1]Pricing '!$A$3052:$K$3077,11,FALSE)</f>
        <v>-2.1825453709175093</v>
      </c>
      <c r="V23" s="1036">
        <f t="shared" si="6"/>
        <v>-2.0575453709175093</v>
      </c>
      <c r="W23" s="1022">
        <f t="shared" si="17"/>
        <v>6.125</v>
      </c>
      <c r="X23" s="181">
        <f>100-VLOOKUP(W23,'[1]Pricing '!$A$2788:$K$2812,11,FALSE)</f>
        <v>-2.4469315969378869</v>
      </c>
      <c r="Y23" s="1038">
        <f t="shared" si="7"/>
        <v>-2.3219315969378869</v>
      </c>
      <c r="Z23" s="1037">
        <f t="shared" si="18"/>
        <v>6.5</v>
      </c>
      <c r="AA23" s="93">
        <f>100-VLOOKUP(Z23,'[1]Pricing '!$A$2561:$K$2586,11,FALSE)</f>
        <v>-1.5711153664088613</v>
      </c>
      <c r="AB23" s="1036">
        <f t="shared" si="8"/>
        <v>-1.4461153664088613</v>
      </c>
      <c r="AC23" s="1037">
        <f t="shared" si="19"/>
        <v>6.5</v>
      </c>
      <c r="AD23" s="93">
        <f>100-VLOOKUP(AC23,'[1]Pricing '!$A$2815:$K$2840,11,FALSE)</f>
        <v>-1.5711153664088613</v>
      </c>
      <c r="AE23" s="1036">
        <f t="shared" si="9"/>
        <v>-1.4461153664088613</v>
      </c>
      <c r="AF23" s="1037">
        <f t="shared" si="20"/>
        <v>6.25</v>
      </c>
      <c r="AG23" s="93">
        <f>100-VLOOKUP(AF23,'[1]Pricing '!$A$2589:$K$2614,11,FALSE)</f>
        <v>-1.6330034273224072</v>
      </c>
      <c r="AH23" s="1036">
        <f t="shared" si="10"/>
        <v>-1.5080034273224072</v>
      </c>
      <c r="AI23" s="1037">
        <f t="shared" si="21"/>
        <v>6</v>
      </c>
      <c r="AJ23" s="93">
        <f>100-VLOOKUP(AI23,'[1]Pricing '!$A$2871:$K$2896,11,FALSE)</f>
        <v>-0.92586101853201797</v>
      </c>
      <c r="AK23" s="1036">
        <f t="shared" si="11"/>
        <v>-0.80086101853201797</v>
      </c>
    </row>
    <row r="24" spans="1:37" ht="16.5" x14ac:dyDescent="0.25">
      <c r="B24" s="111" cm="1">
        <f t="array" ref="B24">INDEX($A$162:$DE$162,0,MATCH(B23,$A$162:$DE$162,0)-1)</f>
        <v>6.375</v>
      </c>
      <c r="C24" s="93">
        <f>100-VLOOKUP(B24,'[1]Pricing '!$A$2506:$K$2531,11,FALSE)</f>
        <v>-1.8965731089140121</v>
      </c>
      <c r="D24" s="94">
        <f t="shared" si="0"/>
        <v>-1.7715731089140121</v>
      </c>
      <c r="E24" s="111" cm="1">
        <f t="array" ref="E24">INDEX($A$162:$DE$162,0,MATCH(E23,$A$162:$DE$162,0)-1)</f>
        <v>6.25</v>
      </c>
      <c r="F24" s="93">
        <f>100-VLOOKUP(E24,'[1]Pricing '!$A$2677:$K$2702,11,FALSE)</f>
        <v>-1.4479341544104756</v>
      </c>
      <c r="G24" s="94">
        <f t="shared" si="1"/>
        <v>-1.3229341544104756</v>
      </c>
      <c r="H24" s="107">
        <f t="shared" si="12"/>
        <v>6.25</v>
      </c>
      <c r="I24" s="93">
        <f>100-VLOOKUP(H24,'[1]Pricing '!$A$2648:$K$2673,11,FALSE)</f>
        <v>-1.0939341544104764</v>
      </c>
      <c r="J24" s="1036">
        <f t="shared" si="2"/>
        <v>-0.96893415441047637</v>
      </c>
      <c r="K24" s="1037">
        <f t="shared" si="13"/>
        <v>6.375</v>
      </c>
      <c r="L24" s="93">
        <f>100-VLOOKUP(K24,'[1]Pricing '!$A$2733:$K$2758,11,FALSE)</f>
        <v>-1.4895731089140298</v>
      </c>
      <c r="M24" s="1036">
        <f t="shared" si="3"/>
        <v>-1.3645731089140298</v>
      </c>
      <c r="N24" s="1037">
        <f t="shared" si="14"/>
        <v>5.875</v>
      </c>
      <c r="O24" s="93">
        <f>100-VLOOKUP(N24,'[1]Pricing '!$A$2534:$K$2558,11,FALSE)</f>
        <v>-1.8074186475388956</v>
      </c>
      <c r="P24" s="1036">
        <f t="shared" si="4"/>
        <v>-1.6824186475388956</v>
      </c>
      <c r="Q24" s="1037">
        <f t="shared" si="15"/>
        <v>5.625</v>
      </c>
      <c r="R24" s="93">
        <f>100-VLOOKUP(Q24,'[1]Pricing '!$A$2761:$K$2785,11,FALSE)</f>
        <v>-1.1915764130229149</v>
      </c>
      <c r="S24" s="1036">
        <f t="shared" si="5"/>
        <v>-1.0665764130229149</v>
      </c>
      <c r="T24" s="1037">
        <f t="shared" si="16"/>
        <v>5.875</v>
      </c>
      <c r="U24" s="93">
        <f>100-VLOOKUP(T24,'[1]Pricing '!$A$3052:$K$3077,11,FALSE)</f>
        <v>-1.9144186475388949</v>
      </c>
      <c r="V24" s="1036">
        <f t="shared" si="6"/>
        <v>-1.7894186475388949</v>
      </c>
      <c r="W24" s="1022">
        <f t="shared" si="17"/>
        <v>6</v>
      </c>
      <c r="X24" s="181">
        <f>100-VLOOKUP(W24,'[1]Pricing '!$A$2788:$K$2812,11,FALSE)</f>
        <v>-2.1825453709175093</v>
      </c>
      <c r="Y24" s="1038">
        <f t="shared" si="7"/>
        <v>-2.0575453709175093</v>
      </c>
      <c r="Z24" s="1037">
        <f t="shared" si="18"/>
        <v>6.375</v>
      </c>
      <c r="AA24" s="93">
        <f>100-VLOOKUP(Z24,'[1]Pricing '!$A$2561:$K$2586,11,FALSE)</f>
        <v>-1.3176457336768124</v>
      </c>
      <c r="AB24" s="1036">
        <f t="shared" si="8"/>
        <v>-1.1926457336768124</v>
      </c>
      <c r="AC24" s="1037">
        <f t="shared" si="19"/>
        <v>6.375</v>
      </c>
      <c r="AD24" s="93">
        <f>100-VLOOKUP(AC24,'[1]Pricing '!$A$2815:$K$2840,11,FALSE)</f>
        <v>-1.3176457336768124</v>
      </c>
      <c r="AE24" s="1036">
        <f t="shared" si="9"/>
        <v>-1.1926457336768124</v>
      </c>
      <c r="AF24" s="1037">
        <f t="shared" si="20"/>
        <v>6.125</v>
      </c>
      <c r="AG24" s="93">
        <f>100-VLOOKUP(AF24,'[1]Pricing '!$A$2589:$K$2614,11,FALSE)</f>
        <v>-1.3713059478622824</v>
      </c>
      <c r="AH24" s="1036">
        <f t="shared" si="10"/>
        <v>-1.2463059478622824</v>
      </c>
      <c r="AI24" s="1037">
        <f t="shared" si="21"/>
        <v>5.875</v>
      </c>
      <c r="AJ24" s="93">
        <f>100-VLOOKUP(AI24,'[1]Pricing '!$A$2871:$K$2896,11,FALSE)</f>
        <v>-0.63290800974399986</v>
      </c>
      <c r="AK24" s="1036">
        <f t="shared" si="11"/>
        <v>-0.50790800974399986</v>
      </c>
    </row>
    <row r="25" spans="1:37" ht="16.5" x14ac:dyDescent="0.25">
      <c r="A25" s="1039"/>
      <c r="B25" s="111" cm="1">
        <f t="array" ref="B25">INDEX($A$162:$DE$162,0,MATCH(B24,$A$162:$DE$162,0)-1)</f>
        <v>6.25</v>
      </c>
      <c r="C25" s="93">
        <f>100-VLOOKUP(B25,'[1]Pricing '!$A$2506:$K$2531,11,FALSE)</f>
        <v>-1.4479341544104756</v>
      </c>
      <c r="D25" s="94">
        <f t="shared" si="0"/>
        <v>-1.3229341544104756</v>
      </c>
      <c r="E25" s="111" cm="1">
        <f t="array" ref="E25">INDEX($A$162:$DE$162,0,MATCH(E24,$A$162:$DE$162,0)-1)</f>
        <v>6.125</v>
      </c>
      <c r="F25" s="93">
        <f>100-VLOOKUP(E25,'[1]Pricing '!$A$2677:$K$2702,11,FALSE)</f>
        <v>-1.0084619382646167</v>
      </c>
      <c r="G25" s="94">
        <f t="shared" si="1"/>
        <v>-0.88346193826461672</v>
      </c>
      <c r="H25" s="107">
        <f t="shared" si="12"/>
        <v>6.125</v>
      </c>
      <c r="I25" s="93">
        <f>100-VLOOKUP(H25,'[1]Pricing '!$A$2648:$K$2673,11,FALSE)</f>
        <v>-0.94046193826463309</v>
      </c>
      <c r="J25" s="1036">
        <f t="shared" si="2"/>
        <v>-0.81546193826463309</v>
      </c>
      <c r="K25" s="1037">
        <f t="shared" si="13"/>
        <v>6.25</v>
      </c>
      <c r="L25" s="93">
        <f>100-VLOOKUP(K25,'[1]Pricing '!$A$2733:$K$2758,11,FALSE)</f>
        <v>-1.0939341544104764</v>
      </c>
      <c r="M25" s="1036">
        <f t="shared" si="3"/>
        <v>-0.96893415441047637</v>
      </c>
      <c r="N25" s="1037">
        <f t="shared" si="14"/>
        <v>5.75</v>
      </c>
      <c r="O25" s="93">
        <f>100-VLOOKUP(N25,'[1]Pricing '!$A$2534:$K$2558,11,FALSE)</f>
        <v>-1.4040574002214896</v>
      </c>
      <c r="P25" s="1036">
        <f t="shared" si="4"/>
        <v>-1.2790574002214896</v>
      </c>
      <c r="Q25" s="1037">
        <f t="shared" si="15"/>
        <v>5.5</v>
      </c>
      <c r="R25" s="93">
        <f>100-VLOOKUP(Q25,'[1]Pricing '!$A$2761:$K$2785,11,FALSE)</f>
        <v>-0.86875711880624351</v>
      </c>
      <c r="S25" s="1036">
        <f t="shared" si="5"/>
        <v>-0.74375711880624351</v>
      </c>
      <c r="T25" s="1037">
        <f t="shared" si="16"/>
        <v>5.75</v>
      </c>
      <c r="U25" s="93">
        <f>100-VLOOKUP(T25,'[1]Pricing '!$A$3052:$K$3077,11,FALSE)</f>
        <v>-1.5130574002214843</v>
      </c>
      <c r="V25" s="1036">
        <f t="shared" si="6"/>
        <v>-1.3880574002214843</v>
      </c>
      <c r="W25" s="1022">
        <f t="shared" si="17"/>
        <v>5.875</v>
      </c>
      <c r="X25" s="181">
        <f>100-VLOOKUP(W25,'[1]Pricing '!$A$2788:$K$2812,11,FALSE)</f>
        <v>-1.9144186475388949</v>
      </c>
      <c r="Y25" s="1038">
        <f t="shared" si="7"/>
        <v>-1.7894186475388949</v>
      </c>
      <c r="Z25" s="1037">
        <f t="shared" si="18"/>
        <v>6.25</v>
      </c>
      <c r="AA25" s="93">
        <f>100-VLOOKUP(Z25,'[1]Pricing '!$A$2561:$K$2586,11,FALSE)</f>
        <v>-0.92739830304597604</v>
      </c>
      <c r="AB25" s="1036">
        <f t="shared" si="8"/>
        <v>-0.80239830304597604</v>
      </c>
      <c r="AC25" s="1037">
        <f t="shared" si="19"/>
        <v>6.25</v>
      </c>
      <c r="AD25" s="93">
        <f>100-VLOOKUP(AC25,'[1]Pricing '!$A$2815:$K$2840,11,FALSE)</f>
        <v>-0.92739830304597604</v>
      </c>
      <c r="AE25" s="1036">
        <f t="shared" si="9"/>
        <v>-0.80239830304597604</v>
      </c>
      <c r="AF25" s="1037">
        <f t="shared" si="20"/>
        <v>6</v>
      </c>
      <c r="AG25" s="93">
        <f>100-VLOOKUP(AF25,'[1]Pricing '!$A$2589:$K$2614,11,FALSE)</f>
        <v>-1.050861018532018</v>
      </c>
      <c r="AH25" s="1036">
        <f t="shared" si="10"/>
        <v>-0.92586101853201797</v>
      </c>
      <c r="AI25" s="1037">
        <f t="shared" si="21"/>
        <v>5.75</v>
      </c>
      <c r="AJ25" s="93">
        <f>100-VLOOKUP(AI25,'[1]Pricing '!$A$2871:$K$2896,11,FALSE)</f>
        <v>-0.15871406445731395</v>
      </c>
      <c r="AK25" s="1036">
        <f t="shared" si="11"/>
        <v>-3.3714064457313953E-2</v>
      </c>
    </row>
    <row r="26" spans="1:37" ht="16.5" x14ac:dyDescent="0.25">
      <c r="B26" s="111" cm="1">
        <f t="array" ref="B26">INDEX($A$162:$DE$162,0,MATCH(B25,$A$162:$DE$162,0)-1)</f>
        <v>6.125</v>
      </c>
      <c r="C26" s="93">
        <f>100-VLOOKUP(B26,'[1]Pricing '!$A$2506:$K$2531,11,FALSE)</f>
        <v>-1.0084619382646167</v>
      </c>
      <c r="D26" s="94">
        <f t="shared" si="0"/>
        <v>-0.88346193826461672</v>
      </c>
      <c r="E26" s="111" cm="1">
        <f t="array" ref="E26">INDEX($A$162:$DE$162,0,MATCH(E25,$A$162:$DE$162,0)-1)</f>
        <v>6</v>
      </c>
      <c r="F26" s="93">
        <f>100-VLOOKUP(E26,'[1]Pricing '!$A$2677:$K$2702,11,FALSE)</f>
        <v>-0.4551032992851276</v>
      </c>
      <c r="G26" s="94">
        <f t="shared" si="1"/>
        <v>-0.3301032992851276</v>
      </c>
      <c r="H26" s="107">
        <f t="shared" si="12"/>
        <v>6</v>
      </c>
      <c r="I26" s="93">
        <f>100-VLOOKUP(H26,'[1]Pricing '!$A$2648:$K$2673,11,FALSE)</f>
        <v>-0.60410329928512851</v>
      </c>
      <c r="J26" s="1036">
        <f t="shared" si="2"/>
        <v>-0.47910329928512851</v>
      </c>
      <c r="K26" s="1037">
        <f t="shared" si="13"/>
        <v>6.125</v>
      </c>
      <c r="L26" s="93">
        <f>100-VLOOKUP(K26,'[1]Pricing '!$A$2733:$K$2758,11,FALSE)</f>
        <v>-1.0404619382646274</v>
      </c>
      <c r="M26" s="1036">
        <f t="shared" si="3"/>
        <v>-0.91546193826462741</v>
      </c>
      <c r="N26" s="1037">
        <f t="shared" si="14"/>
        <v>5.625</v>
      </c>
      <c r="O26" s="93">
        <f>100-VLOOKUP(N26,'[1]Pricing '!$A$2534:$K$2558,11,FALSE)</f>
        <v>-1.0665764130229149</v>
      </c>
      <c r="P26" s="1036">
        <f t="shared" si="4"/>
        <v>-0.94157641302291495</v>
      </c>
      <c r="Q26" s="1037">
        <f t="shared" si="15"/>
        <v>5.375</v>
      </c>
      <c r="R26" s="93">
        <f>100-VLOOKUP(Q26,'[1]Pricing '!$A$2761:$K$2785,11,FALSE)</f>
        <v>-0.5198203086165023</v>
      </c>
      <c r="S26" s="1036">
        <f t="shared" si="5"/>
        <v>-0.3948203086165023</v>
      </c>
      <c r="T26" s="1037">
        <f t="shared" si="16"/>
        <v>5.625</v>
      </c>
      <c r="U26" s="93">
        <f>100-VLOOKUP(T26,'[1]Pricing '!$A$3052:$K$3077,11,FALSE)</f>
        <v>-1.1905764130229244</v>
      </c>
      <c r="V26" s="1036">
        <f t="shared" si="6"/>
        <v>-1.0655764130229244</v>
      </c>
      <c r="W26" s="1022">
        <f t="shared" si="17"/>
        <v>5.75</v>
      </c>
      <c r="X26" s="181">
        <f>100-VLOOKUP(W26,'[1]Pricing '!$A$2788:$K$2812,11,FALSE)</f>
        <v>-1.5130574002214843</v>
      </c>
      <c r="Y26" s="1038">
        <f t="shared" si="7"/>
        <v>-1.3880574002214843</v>
      </c>
      <c r="Z26" s="1037">
        <f t="shared" si="18"/>
        <v>6.125</v>
      </c>
      <c r="AA26" s="93">
        <f>100-VLOOKUP(Z26,'[1]Pricing '!$A$2561:$K$2586,11,FALSE)</f>
        <v>-0.46329290402717049</v>
      </c>
      <c r="AB26" s="1036">
        <f t="shared" si="8"/>
        <v>-0.33829290402717049</v>
      </c>
      <c r="AC26" s="1037">
        <f t="shared" si="19"/>
        <v>6.125</v>
      </c>
      <c r="AD26" s="93">
        <f>100-VLOOKUP(AC26,'[1]Pricing '!$A$2815:$K$2840,11,FALSE)</f>
        <v>-0.46329290402717049</v>
      </c>
      <c r="AE26" s="1036">
        <f t="shared" si="9"/>
        <v>-0.33829290402717049</v>
      </c>
      <c r="AF26" s="1037">
        <f t="shared" si="20"/>
        <v>5.875</v>
      </c>
      <c r="AG26" s="93">
        <f>100-VLOOKUP(AF26,'[1]Pricing '!$A$2589:$K$2614,11,FALSE)</f>
        <v>-0.75790800974399986</v>
      </c>
      <c r="AH26" s="1036">
        <f t="shared" si="10"/>
        <v>-0.63290800974399986</v>
      </c>
      <c r="AI26" s="1037">
        <f t="shared" si="21"/>
        <v>5.625</v>
      </c>
      <c r="AJ26" s="93">
        <f>100-VLOOKUP(AI26,'[1]Pricing '!$A$2871:$K$2896,11,FALSE)</f>
        <v>-9.1122529075249759E-2</v>
      </c>
      <c r="AK26" s="1036">
        <f t="shared" si="11"/>
        <v>3.3877470924750241E-2</v>
      </c>
    </row>
    <row r="27" spans="1:37" ht="16.5" x14ac:dyDescent="0.25">
      <c r="B27" s="111" cm="1">
        <f t="array" ref="B27">INDEX($A$162:$DE$162,0,MATCH(B26,$A$162:$DE$162,0)-1)</f>
        <v>6</v>
      </c>
      <c r="C27" s="93">
        <f>100-VLOOKUP(B27,'[1]Pricing '!$A$2506:$K$2531,11,FALSE)</f>
        <v>-0.4551032992851276</v>
      </c>
      <c r="D27" s="94">
        <f t="shared" si="0"/>
        <v>-0.3301032992851276</v>
      </c>
      <c r="E27" s="111" cm="1">
        <f t="array" ref="E27">INDEX($A$162:$DE$162,0,MATCH(E26,$A$162:$DE$162,0)-1)</f>
        <v>5.99</v>
      </c>
      <c r="F27" s="93">
        <f>100-VLOOKUP(E27,'[1]Pricing '!$A$2677:$K$2702,11,FALSE)</f>
        <v>-0.30510329928512192</v>
      </c>
      <c r="G27" s="94">
        <f t="shared" si="1"/>
        <v>-0.18010329928512192</v>
      </c>
      <c r="H27" s="107">
        <f t="shared" si="12"/>
        <v>5.875</v>
      </c>
      <c r="I27" s="93">
        <f>100-VLOOKUP(H27,'[1]Pricing '!$A$2648:$K$2673,11,FALSE)</f>
        <v>-0.1712542829647532</v>
      </c>
      <c r="J27" s="1036">
        <f t="shared" si="2"/>
        <v>-4.6254282964753202E-2</v>
      </c>
      <c r="K27" s="1037">
        <f t="shared" si="13"/>
        <v>6</v>
      </c>
      <c r="L27" s="93">
        <f>100-VLOOKUP(K27,'[1]Pricing '!$A$2733:$K$2758,11,FALSE)</f>
        <v>-0.60410329928512851</v>
      </c>
      <c r="M27" s="1036">
        <f t="shared" si="3"/>
        <v>-0.47910329928512851</v>
      </c>
      <c r="N27" s="1037">
        <f t="shared" si="14"/>
        <v>5.5</v>
      </c>
      <c r="O27" s="93">
        <f>100-VLOOKUP(N27,'[1]Pricing '!$A$2534:$K$2558,11,FALSE)</f>
        <v>-0.74375711880624351</v>
      </c>
      <c r="P27" s="1036">
        <f t="shared" si="4"/>
        <v>-0.61875711880624351</v>
      </c>
      <c r="Q27" s="1037">
        <f t="shared" si="15"/>
        <v>5.25</v>
      </c>
      <c r="R27" s="93">
        <f>100-VLOOKUP(Q27,'[1]Pricing '!$A$2761:$K$2785,11,FALSE)</f>
        <v>-0.1792095069512385</v>
      </c>
      <c r="S27" s="1036">
        <f t="shared" si="5"/>
        <v>-5.4209506951238495E-2</v>
      </c>
      <c r="T27" s="1037">
        <f t="shared" si="16"/>
        <v>5.5</v>
      </c>
      <c r="U27" s="93">
        <f>100-VLOOKUP(T27,'[1]Pricing '!$A$3052:$K$3077,11,FALSE)</f>
        <v>-1.4727571188062427</v>
      </c>
      <c r="V27" s="1036">
        <f t="shared" si="6"/>
        <v>-1.3477571188062427</v>
      </c>
      <c r="W27" s="1022">
        <f t="shared" si="17"/>
        <v>5.625</v>
      </c>
      <c r="X27" s="181">
        <f>100-VLOOKUP(W27,'[1]Pricing '!$A$2788:$K$2812,11,FALSE)</f>
        <v>-1.1905764130229244</v>
      </c>
      <c r="Y27" s="1038">
        <f t="shared" si="7"/>
        <v>-1.0655764130229244</v>
      </c>
      <c r="Z27" s="1037">
        <f t="shared" si="18"/>
        <v>6</v>
      </c>
      <c r="AA27" s="93">
        <f>100-VLOOKUP(Z27,'[1]Pricing '!$A$2561:$K$2586,11,FALSE)</f>
        <v>-5.1855195320101188E-2</v>
      </c>
      <c r="AB27" s="1036">
        <f t="shared" si="8"/>
        <v>7.3144804679898812E-2</v>
      </c>
      <c r="AC27" s="1037">
        <f t="shared" si="19"/>
        <v>6</v>
      </c>
      <c r="AD27" s="93">
        <f>100-VLOOKUP(AC27,'[1]Pricing '!$A$2815:$K$2840,11,FALSE)</f>
        <v>-5.1855195320101188E-2</v>
      </c>
      <c r="AE27" s="1036">
        <f t="shared" si="9"/>
        <v>7.3144804679898812E-2</v>
      </c>
      <c r="AF27" s="1037">
        <f t="shared" si="20"/>
        <v>5.75</v>
      </c>
      <c r="AG27" s="93">
        <f>100-VLOOKUP(AF27,'[1]Pricing '!$A$2589:$K$2614,11,FALSE)</f>
        <v>-0.28371406445731395</v>
      </c>
      <c r="AH27" s="1036">
        <f t="shared" si="10"/>
        <v>-0.15871406445731395</v>
      </c>
      <c r="AI27" s="1037">
        <f t="shared" si="21"/>
        <v>5.5</v>
      </c>
      <c r="AJ27" s="93">
        <f>100-VLOOKUP(AI27,'[1]Pricing '!$A$2871:$K$2896,11,FALSE)</f>
        <v>0.48154987331223253</v>
      </c>
      <c r="AK27" s="1036">
        <f t="shared" si="11"/>
        <v>0.60654987331223253</v>
      </c>
    </row>
    <row r="28" spans="1:37" ht="16.5" x14ac:dyDescent="0.25">
      <c r="B28" s="111" cm="1">
        <f t="array" ref="B28">INDEX($A$162:$DE$162,0,MATCH(B27,$A$162:$DE$162,0)-1)</f>
        <v>5.99</v>
      </c>
      <c r="C28" s="93">
        <f>100-VLOOKUP(B28,'[1]Pricing '!$A$2506:$K$2531,11,FALSE)</f>
        <v>-0.30510329928512192</v>
      </c>
      <c r="D28" s="94">
        <f t="shared" si="0"/>
        <v>-0.18010329928512192</v>
      </c>
      <c r="E28" s="111" cm="1">
        <f t="array" ref="E28">INDEX($A$162:$DE$162,0,MATCH(E27,$A$162:$DE$162,0)-1)</f>
        <v>5.875</v>
      </c>
      <c r="F28" s="93">
        <f>100-VLOOKUP(E28,'[1]Pricing '!$A$2677:$K$2702,11,FALSE)</f>
        <v>-8.2542829647422877E-3</v>
      </c>
      <c r="G28" s="94">
        <f t="shared" si="1"/>
        <v>0.11674571703525771</v>
      </c>
      <c r="H28" s="107">
        <f t="shared" si="12"/>
        <v>5.75</v>
      </c>
      <c r="I28" s="93">
        <f>100-VLOOKUP(H28,'[1]Pricing '!$A$2648:$K$2673,11,FALSE)</f>
        <v>0.298539565394222</v>
      </c>
      <c r="J28" s="1036">
        <f t="shared" si="2"/>
        <v>0.423539565394222</v>
      </c>
      <c r="K28" s="1037">
        <f t="shared" si="13"/>
        <v>5.875</v>
      </c>
      <c r="L28" s="93">
        <f>100-VLOOKUP(K28,'[1]Pricing '!$A$2733:$K$2758,11,FALSE)</f>
        <v>-0.1712542829647532</v>
      </c>
      <c r="M28" s="1036">
        <f t="shared" si="3"/>
        <v>-4.6254282964753202E-2</v>
      </c>
      <c r="N28" s="1037">
        <f t="shared" si="14"/>
        <v>5.375</v>
      </c>
      <c r="O28" s="93">
        <f>100-VLOOKUP(N28,'[1]Pricing '!$A$2534:$K$2558,11,FALSE)</f>
        <v>-0.3948203086165023</v>
      </c>
      <c r="P28" s="1036">
        <f t="shared" si="4"/>
        <v>-0.2698203086165023</v>
      </c>
      <c r="Q28" s="1037">
        <f t="shared" si="15"/>
        <v>5.125</v>
      </c>
      <c r="R28" s="93">
        <f>100-VLOOKUP(Q28,'[1]Pricing '!$A$2761:$K$2785,11,FALSE)</f>
        <v>0.14202587428286506</v>
      </c>
      <c r="S28" s="1036">
        <f t="shared" si="5"/>
        <v>0.26702587428286506</v>
      </c>
      <c r="T28" s="1037">
        <f t="shared" si="16"/>
        <v>5.375</v>
      </c>
      <c r="U28" s="93">
        <f>100-VLOOKUP(T28,'[1]Pricing '!$A$3052:$K$3077,11,FALSE)</f>
        <v>-1.1268203086165016</v>
      </c>
      <c r="V28" s="1036">
        <f t="shared" si="6"/>
        <v>-1.0018203086165016</v>
      </c>
      <c r="W28" s="1022">
        <f t="shared" si="17"/>
        <v>5.5</v>
      </c>
      <c r="X28" s="181">
        <f>100-VLOOKUP(W28,'[1]Pricing '!$A$2788:$K$2812,11,FALSE)</f>
        <v>-1.4727571188062427</v>
      </c>
      <c r="Y28" s="1038">
        <f t="shared" si="7"/>
        <v>-1.3477571188062427</v>
      </c>
      <c r="Z28" s="1037">
        <f t="shared" si="18"/>
        <v>5.875</v>
      </c>
      <c r="AA28" s="93">
        <f>100-VLOOKUP(Z28,'[1]Pricing '!$A$2561:$K$2586,11,FALSE)</f>
        <v>0.40280914678778856</v>
      </c>
      <c r="AB28" s="1036">
        <f t="shared" si="8"/>
        <v>0.52780914678778856</v>
      </c>
      <c r="AC28" s="1037">
        <f t="shared" si="19"/>
        <v>5.875</v>
      </c>
      <c r="AD28" s="93">
        <f>100-VLOOKUP(AC28,'[1]Pricing '!$A$2815:$K$2840,11,FALSE)</f>
        <v>0.40280914678778856</v>
      </c>
      <c r="AE28" s="1036">
        <f t="shared" si="9"/>
        <v>0.52780914678778856</v>
      </c>
      <c r="AF28" s="1037">
        <f t="shared" si="20"/>
        <v>5.625</v>
      </c>
      <c r="AG28" s="93">
        <f>100-VLOOKUP(AF28,'[1]Pricing '!$A$2589:$K$2614,11,FALSE)</f>
        <v>3.3877470924750241E-2</v>
      </c>
      <c r="AH28" s="1036">
        <f t="shared" si="10"/>
        <v>0.15887747092475024</v>
      </c>
      <c r="AI28" s="1037">
        <f t="shared" si="21"/>
        <v>5.375</v>
      </c>
      <c r="AJ28" s="93">
        <f>100-VLOOKUP(AI28,'[1]Pricing '!$A$2871:$K$2896,11,FALSE)</f>
        <v>0.84897066948944655</v>
      </c>
      <c r="AK28" s="1036">
        <f t="shared" si="11"/>
        <v>0.97397066948944655</v>
      </c>
    </row>
    <row r="29" spans="1:37" ht="16.5" x14ac:dyDescent="0.25">
      <c r="B29" s="111" cm="1">
        <f t="array" ref="B29">INDEX($A$162:$DE$162,0,MATCH(B28,$A$162:$DE$162,0)-1)</f>
        <v>5.875</v>
      </c>
      <c r="C29" s="93">
        <f>100-VLOOKUP(B29,'[1]Pricing '!$A$2506:$K$2531,11,FALSE)</f>
        <v>-8.2542829647422877E-3</v>
      </c>
      <c r="D29" s="94">
        <f t="shared" si="0"/>
        <v>0.11674571703525771</v>
      </c>
      <c r="E29" s="111" cm="1">
        <f t="array" ref="E29">INDEX($A$162:$DE$162,0,MATCH(E28,$A$162:$DE$162,0)-1)</f>
        <v>5.75</v>
      </c>
      <c r="F29" s="93">
        <f>100-VLOOKUP(E29,'[1]Pricing '!$A$2677:$K$2702,11,FALSE)</f>
        <v>0.52453956539422109</v>
      </c>
      <c r="G29" s="94">
        <f t="shared" si="1"/>
        <v>0.64953956539422109</v>
      </c>
      <c r="H29" s="107">
        <f t="shared" si="12"/>
        <v>5.625</v>
      </c>
      <c r="I29" s="93">
        <f>100-VLOOKUP(H29,'[1]Pricing '!$A$2648:$K$2673,11,FALSE)</f>
        <v>0.70364768402976097</v>
      </c>
      <c r="J29" s="1036">
        <f t="shared" si="2"/>
        <v>0.82864768402976097</v>
      </c>
      <c r="K29" s="1037">
        <f t="shared" si="13"/>
        <v>5.75</v>
      </c>
      <c r="L29" s="93">
        <f>100-VLOOKUP(K29,'[1]Pricing '!$A$2733:$K$2758,11,FALSE)</f>
        <v>0.298539565394222</v>
      </c>
      <c r="M29" s="1036">
        <f t="shared" si="3"/>
        <v>0.423539565394222</v>
      </c>
      <c r="N29" s="1037">
        <f t="shared" si="14"/>
        <v>5.25</v>
      </c>
      <c r="O29" s="93">
        <f>100-VLOOKUP(N29,'[1]Pricing '!$A$2534:$K$2558,11,FALSE)</f>
        <v>-5.4209506951238495E-2</v>
      </c>
      <c r="P29" s="1036">
        <f t="shared" si="4"/>
        <v>7.0790493048761505E-2</v>
      </c>
      <c r="Q29" s="1037">
        <f>Q28-0.125</f>
        <v>5</v>
      </c>
      <c r="R29" s="93">
        <f>100-VLOOKUP(Q29,'[1]Pricing '!$A$2761:$K$2785,11,FALSE)</f>
        <v>0.68221884655422116</v>
      </c>
      <c r="S29" s="1036">
        <f t="shared" si="5"/>
        <v>0.80721884655422116</v>
      </c>
      <c r="T29" s="1037">
        <f t="shared" si="16"/>
        <v>5.25</v>
      </c>
      <c r="U29" s="93">
        <f>100-VLOOKUP(T29,'[1]Pricing '!$A$3052:$K$3077,11,FALSE)</f>
        <v>-0.78820950695124736</v>
      </c>
      <c r="V29" s="1036">
        <f t="shared" si="6"/>
        <v>-0.66320950695124736</v>
      </c>
      <c r="W29" s="1022">
        <f t="shared" si="17"/>
        <v>5.375</v>
      </c>
      <c r="X29" s="181">
        <f>100-VLOOKUP(W29,'[1]Pricing '!$A$2788:$K$2812,11,FALSE)</f>
        <v>-1.1268203086165016</v>
      </c>
      <c r="Y29" s="1038">
        <f t="shared" si="7"/>
        <v>-1.0018203086165016</v>
      </c>
      <c r="Z29" s="1037">
        <f t="shared" si="18"/>
        <v>5.75</v>
      </c>
      <c r="AA29" s="93">
        <f>100-VLOOKUP(Z29,'[1]Pricing '!$A$2561:$K$2586,11,FALSE)</f>
        <v>0.94395934261864056</v>
      </c>
      <c r="AB29" s="1036">
        <f t="shared" si="8"/>
        <v>1.0689593426186406</v>
      </c>
      <c r="AC29" s="1037">
        <f t="shared" si="19"/>
        <v>5.75</v>
      </c>
      <c r="AD29" s="93">
        <f>100-VLOOKUP(AC29,'[1]Pricing '!$A$2815:$K$2840,11,FALSE)</f>
        <v>0.94395934261864056</v>
      </c>
      <c r="AE29" s="1036">
        <f t="shared" si="9"/>
        <v>1.0689593426186406</v>
      </c>
      <c r="AF29" s="1037">
        <f t="shared" si="20"/>
        <v>5.5</v>
      </c>
      <c r="AG29" s="93">
        <f>100-VLOOKUP(AF29,'[1]Pricing '!$A$2589:$K$2614,11,FALSE)</f>
        <v>0.35654987331223253</v>
      </c>
      <c r="AH29" s="1036">
        <f t="shared" si="10"/>
        <v>0.48154987331223253</v>
      </c>
      <c r="AI29" s="1037">
        <f t="shared" si="21"/>
        <v>5.25</v>
      </c>
      <c r="AJ29" s="93">
        <f>100-VLOOKUP(AI29,'[1]Pricing '!$A$2871:$K$2896,11,FALSE)</f>
        <v>1.2672315723943086</v>
      </c>
      <c r="AK29" s="1036">
        <f t="shared" si="11"/>
        <v>1.3922315723943086</v>
      </c>
    </row>
    <row r="30" spans="1:37" ht="16.5" x14ac:dyDescent="0.25">
      <c r="B30" s="111" cm="1">
        <f t="array" ref="B30">INDEX($A$162:$DE$162,0,MATCH(B29,$A$162:$DE$162,0)-1)</f>
        <v>5.75</v>
      </c>
      <c r="C30" s="93">
        <f>100-VLOOKUP(B30,'[1]Pricing '!$A$2506:$K$2531,11,FALSE)</f>
        <v>0.52453956539422109</v>
      </c>
      <c r="D30" s="94">
        <f t="shared" ref="D30:D34" si="22">C30-$U$2</f>
        <v>0.64953956539422109</v>
      </c>
      <c r="E30" s="111" cm="1">
        <f t="array" ref="E30">INDEX($A$162:$DE$162,0,MATCH(E29,$A$162:$DE$162,0)-1)</f>
        <v>5.625</v>
      </c>
      <c r="F30" s="93">
        <f>100-VLOOKUP(E30,'[1]Pricing '!$A$2677:$K$2702,11,FALSE)</f>
        <v>1.0566476840297696</v>
      </c>
      <c r="G30" s="94">
        <f t="shared" ref="G30:G34" si="23">F30-$U$2</f>
        <v>1.1816476840297696</v>
      </c>
      <c r="H30" s="107">
        <f t="shared" si="12"/>
        <v>5.5</v>
      </c>
      <c r="I30" s="93">
        <f>100-VLOOKUP(H30,'[1]Pricing '!$A$2648:$K$2673,11,FALSE)</f>
        <v>1.1849002302383838</v>
      </c>
      <c r="J30" s="1036">
        <f t="shared" ref="J30:J34" si="24">I30-$U$2</f>
        <v>1.3099002302383838</v>
      </c>
      <c r="K30" s="1037">
        <f t="shared" si="13"/>
        <v>5.625</v>
      </c>
      <c r="L30" s="93">
        <f>100-VLOOKUP(K30,'[1]Pricing '!$A$2733:$K$2758,11,FALSE)</f>
        <v>0.70364768402976097</v>
      </c>
      <c r="M30" s="1036">
        <f t="shared" ref="M30:M34" si="25">L30-$U$2</f>
        <v>0.82864768402976097</v>
      </c>
      <c r="N30" s="1037">
        <f t="shared" si="14"/>
        <v>5.125</v>
      </c>
      <c r="O30" s="93">
        <f>100-VLOOKUP(N30,'[1]Pricing '!$A$2534:$K$2558,11,FALSE)</f>
        <v>0.26702587428286506</v>
      </c>
      <c r="P30" s="1036">
        <f t="shared" ref="P30:P34" si="26">O30-$U$2</f>
        <v>0.39202587428286506</v>
      </c>
      <c r="Q30" s="1037">
        <f t="shared" ref="Q30:Q34" si="27">Q29-0.125</f>
        <v>4.875</v>
      </c>
      <c r="R30" s="93">
        <f>100-VLOOKUP(Q30,'[1]Pricing '!$A$2761:$K$2785,11,FALSE)</f>
        <v>1.0503599737149329</v>
      </c>
      <c r="S30" s="1036">
        <f t="shared" ref="S30:S34" si="28">R30-$U$2</f>
        <v>1.1753599737149329</v>
      </c>
      <c r="T30" s="1037">
        <f t="shared" si="16"/>
        <v>5.125</v>
      </c>
      <c r="U30" s="93">
        <f>100-VLOOKUP(T30,'[1]Pricing '!$A$3052:$K$3077,11,FALSE)</f>
        <v>-0.47197412571712505</v>
      </c>
      <c r="V30" s="1036">
        <f t="shared" ref="V30:V34" si="29">U30-$U$2</f>
        <v>-0.34697412571712505</v>
      </c>
      <c r="W30" s="1022">
        <f t="shared" si="17"/>
        <v>5.25</v>
      </c>
      <c r="X30" s="181">
        <f>100-VLOOKUP(W30,'[1]Pricing '!$A$2788:$K$2812,11,FALSE)</f>
        <v>-0.78820950695124736</v>
      </c>
      <c r="Y30" s="1038">
        <f t="shared" ref="Y30:Y34" si="30">X30-$U$2</f>
        <v>-0.66320950695124736</v>
      </c>
      <c r="Z30" s="1037">
        <f t="shared" si="18"/>
        <v>5.625</v>
      </c>
      <c r="AA30" s="93">
        <f>100-VLOOKUP(Z30,'[1]Pricing '!$A$2561:$K$2586,11,FALSE)</f>
        <v>1.5485852680912728</v>
      </c>
      <c r="AB30" s="1036">
        <f t="shared" ref="AB30:AB34" si="31">AA30-$U$2</f>
        <v>1.6735852680912728</v>
      </c>
      <c r="AC30" s="1037">
        <f t="shared" si="19"/>
        <v>5.625</v>
      </c>
      <c r="AD30" s="93">
        <f>100-VLOOKUP(AC30,'[1]Pricing '!$A$2815:$K$2840,11,FALSE)</f>
        <v>1.5485852680912728</v>
      </c>
      <c r="AE30" s="1036">
        <f t="shared" ref="AE30:AE34" si="32">AD30-$U$2</f>
        <v>1.6735852680912728</v>
      </c>
      <c r="AF30" s="1037">
        <f t="shared" si="20"/>
        <v>5.375</v>
      </c>
      <c r="AG30" s="93">
        <f>100-VLOOKUP(AF30,'[1]Pricing '!$A$2589:$K$2614,11,FALSE)</f>
        <v>0.72397066948944655</v>
      </c>
      <c r="AH30" s="1036">
        <f t="shared" ref="AH30:AH34" si="33">AG30-$U$2</f>
        <v>0.84897066948944655</v>
      </c>
      <c r="AI30" s="1037">
        <f t="shared" si="21"/>
        <v>5.125</v>
      </c>
      <c r="AJ30" s="93">
        <f>100-VLOOKUP(AI30,'[1]Pricing '!$A$2871:$K$2896,11,FALSE)</f>
        <v>1.4603840582150838</v>
      </c>
      <c r="AK30" s="1036">
        <f t="shared" ref="AK30:AK34" si="34">AJ30-$U$2</f>
        <v>1.5853840582150838</v>
      </c>
    </row>
    <row r="31" spans="1:37" ht="16.5" x14ac:dyDescent="0.25">
      <c r="B31" s="111" cm="1">
        <f t="array" ref="B31">INDEX($A$162:$DE$162,0,MATCH(B30,$A$162:$DE$162,0)-1)</f>
        <v>5.625</v>
      </c>
      <c r="C31" s="93">
        <f>100-VLOOKUP(B31,'[1]Pricing '!$A$2506:$K$2531,11,FALSE)</f>
        <v>1.0566476840297696</v>
      </c>
      <c r="D31" s="94">
        <f t="shared" si="22"/>
        <v>1.1816476840297696</v>
      </c>
      <c r="E31" s="111" cm="1">
        <f t="array" ref="E31">INDEX($A$162:$DE$162,0,MATCH(E30,$A$162:$DE$162,0)-1)</f>
        <v>5.5</v>
      </c>
      <c r="F31" s="93">
        <f>100-VLOOKUP(E31,'[1]Pricing '!$A$2677:$K$2702,11,FALSE)</f>
        <v>1.6369002302383819</v>
      </c>
      <c r="G31" s="94">
        <f t="shared" si="23"/>
        <v>1.7619002302383819</v>
      </c>
      <c r="H31" s="107">
        <f t="shared" si="12"/>
        <v>5.375</v>
      </c>
      <c r="I31" s="93">
        <f>100-VLOOKUP(H31,'[1]Pricing '!$A$2648:$K$2673,11,FALSE)</f>
        <v>1.678603491229353</v>
      </c>
      <c r="J31" s="1036">
        <f t="shared" si="24"/>
        <v>1.803603491229353</v>
      </c>
      <c r="K31" s="1037">
        <f t="shared" si="13"/>
        <v>5.5</v>
      </c>
      <c r="L31" s="93">
        <f>100-VLOOKUP(K31,'[1]Pricing '!$A$2733:$K$2758,11,FALSE)</f>
        <v>1.1849002302383838</v>
      </c>
      <c r="M31" s="1036">
        <f t="shared" si="25"/>
        <v>1.3099002302383838</v>
      </c>
      <c r="N31" s="1037">
        <f t="shared" si="14"/>
        <v>5</v>
      </c>
      <c r="O31" s="93">
        <f>100-VLOOKUP(N31,'[1]Pricing '!$A$2534:$K$2558,11,FALSE)</f>
        <v>0.80721884655422116</v>
      </c>
      <c r="P31" s="1036">
        <f t="shared" si="26"/>
        <v>0.93221884655422116</v>
      </c>
      <c r="Q31" s="1037">
        <f t="shared" si="27"/>
        <v>4.75</v>
      </c>
      <c r="R31" s="93">
        <f>100-VLOOKUP(Q31,'[1]Pricing '!$A$2761:$K$2785,11,FALSE)</f>
        <v>1.4388163986093332</v>
      </c>
      <c r="S31" s="1036">
        <f t="shared" si="28"/>
        <v>1.5638163986093332</v>
      </c>
      <c r="T31" s="1037">
        <f t="shared" si="16"/>
        <v>5</v>
      </c>
      <c r="U31" s="93">
        <f>100-VLOOKUP(T31,'[1]Pricing '!$A$3052:$K$3077,11,FALSE)</f>
        <v>-0.31378115344578816</v>
      </c>
      <c r="V31" s="1036">
        <f t="shared" si="29"/>
        <v>-0.18878115344578816</v>
      </c>
      <c r="W31" s="1022">
        <f t="shared" si="17"/>
        <v>5.125</v>
      </c>
      <c r="X31" s="181">
        <f>100-VLOOKUP(W31,'[1]Pricing '!$A$2788:$K$2812,11,FALSE)</f>
        <v>-0.47197412571712505</v>
      </c>
      <c r="Y31" s="1038">
        <f t="shared" si="30"/>
        <v>-0.34697412571712505</v>
      </c>
      <c r="Z31" s="1037">
        <f t="shared" si="18"/>
        <v>5.5</v>
      </c>
      <c r="AA31" s="93">
        <f>100-VLOOKUP(Z31,'[1]Pricing '!$A$2561:$K$2586,11,FALSE)</f>
        <v>2.1398426550775582</v>
      </c>
      <c r="AB31" s="1036">
        <f t="shared" si="31"/>
        <v>2.2648426550775582</v>
      </c>
      <c r="AC31" s="1037">
        <f t="shared" si="19"/>
        <v>5.5</v>
      </c>
      <c r="AD31" s="93">
        <f>100-VLOOKUP(AC31,'[1]Pricing '!$A$2815:$K$2840,11,FALSE)</f>
        <v>2.1398426550775582</v>
      </c>
      <c r="AE31" s="1036">
        <f t="shared" si="32"/>
        <v>2.2648426550775582</v>
      </c>
      <c r="AF31" s="1037">
        <f t="shared" si="20"/>
        <v>5.25</v>
      </c>
      <c r="AG31" s="93">
        <f>100-VLOOKUP(AF31,'[1]Pricing '!$A$2589:$K$2614,11,FALSE)</f>
        <v>1.1422315723943086</v>
      </c>
      <c r="AH31" s="1036">
        <f t="shared" si="33"/>
        <v>1.2672315723943086</v>
      </c>
      <c r="AI31" s="1037">
        <f t="shared" si="21"/>
        <v>5</v>
      </c>
      <c r="AJ31" s="93">
        <f>100-VLOOKUP(AI31,'[1]Pricing '!$A$2871:$K$2896,11,FALSE)</f>
        <v>2.1687311419422883</v>
      </c>
      <c r="AK31" s="1036">
        <f t="shared" si="34"/>
        <v>2.2937311419422883</v>
      </c>
    </row>
    <row r="32" spans="1:37" ht="16.5" x14ac:dyDescent="0.25">
      <c r="B32" s="111" cm="1">
        <f t="array" ref="B32">INDEX($A$162:$DE$162,0,MATCH(B31,$A$162:$DE$162,0)-1)</f>
        <v>5.5</v>
      </c>
      <c r="C32" s="93">
        <f>100-VLOOKUP(B32,'[1]Pricing '!$A$2506:$K$2531,11,FALSE)</f>
        <v>1.6369002302383819</v>
      </c>
      <c r="D32" s="94">
        <f t="shared" si="22"/>
        <v>1.7619002302383819</v>
      </c>
      <c r="E32" s="111" cm="1">
        <f t="array" ref="E32">INDEX($A$162:$DE$162,0,MATCH(E31,$A$162:$DE$162,0)-1)</f>
        <v>5.375</v>
      </c>
      <c r="F32" s="93">
        <f>100-VLOOKUP(E32,'[1]Pricing '!$A$2677:$K$2702,11,FALSE)</f>
        <v>2.2056034912293541</v>
      </c>
      <c r="G32" s="94">
        <f t="shared" si="23"/>
        <v>2.3306034912293541</v>
      </c>
      <c r="H32" s="107">
        <f t="shared" si="12"/>
        <v>5.25</v>
      </c>
      <c r="I32" s="93">
        <f>100-VLOOKUP(H32,'[1]Pricing '!$A$2648:$K$2673,11,FALSE)</f>
        <v>2.4150679677513551</v>
      </c>
      <c r="J32" s="1036">
        <f t="shared" si="24"/>
        <v>2.5400679677513551</v>
      </c>
      <c r="K32" s="1037">
        <f t="shared" si="13"/>
        <v>5.375</v>
      </c>
      <c r="L32" s="93">
        <f>100-VLOOKUP(K32,'[1]Pricing '!$A$2733:$K$2758,11,FALSE)</f>
        <v>1.678603491229353</v>
      </c>
      <c r="M32" s="1036">
        <f t="shared" si="25"/>
        <v>1.803603491229353</v>
      </c>
      <c r="N32" s="1037">
        <f t="shared" si="14"/>
        <v>4.875</v>
      </c>
      <c r="O32" s="93">
        <f>100-VLOOKUP(N32,'[1]Pricing '!$A$2534:$K$2558,11,FALSE)</f>
        <v>1.1753599737149329</v>
      </c>
      <c r="P32" s="1036">
        <f t="shared" si="26"/>
        <v>1.3003599737149329</v>
      </c>
      <c r="Q32" s="1037">
        <f t="shared" si="27"/>
        <v>4.625</v>
      </c>
      <c r="R32" s="93">
        <f>100-VLOOKUP(Q32,'[1]Pricing '!$A$2761:$K$2785,11,FALSE)</f>
        <v>1.8945451611110684</v>
      </c>
      <c r="S32" s="1036">
        <f t="shared" si="28"/>
        <v>2.0195451611110684</v>
      </c>
      <c r="T32" s="1037">
        <f t="shared" si="16"/>
        <v>4.875</v>
      </c>
      <c r="U32" s="93">
        <f>100-VLOOKUP(T32,'[1]Pricing '!$A$3052:$K$3077,11,FALSE)</f>
        <v>5.2359973714928287E-2</v>
      </c>
      <c r="V32" s="1036">
        <f t="shared" si="29"/>
        <v>0.17735997371492829</v>
      </c>
      <c r="W32" s="1022">
        <f t="shared" si="17"/>
        <v>5</v>
      </c>
      <c r="X32" s="181">
        <f>100-VLOOKUP(W32,'[1]Pricing '!$A$2788:$K$2812,11,FALSE)</f>
        <v>-0.31378115344578816</v>
      </c>
      <c r="Y32" s="1038">
        <f t="shared" si="30"/>
        <v>-0.18878115344578816</v>
      </c>
      <c r="Z32" s="1037">
        <f t="shared" si="18"/>
        <v>5.375</v>
      </c>
      <c r="AA32" s="93">
        <f>100-VLOOKUP(Z32,'[1]Pricing '!$A$2561:$K$2586,11,FALSE)</f>
        <v>2.7117835237788483</v>
      </c>
      <c r="AB32" s="1036">
        <f t="shared" si="31"/>
        <v>2.8367835237788483</v>
      </c>
      <c r="AC32" s="1037">
        <f t="shared" si="19"/>
        <v>5.375</v>
      </c>
      <c r="AD32" s="93">
        <f>100-VLOOKUP(AC32,'[1]Pricing '!$A$2815:$K$2840,11,FALSE)</f>
        <v>2.7117835237788483</v>
      </c>
      <c r="AE32" s="1036">
        <f t="shared" si="32"/>
        <v>2.8367835237788483</v>
      </c>
      <c r="AF32" s="1037">
        <f t="shared" si="20"/>
        <v>5.125</v>
      </c>
      <c r="AG32" s="93">
        <f>100-VLOOKUP(AF32,'[1]Pricing '!$A$2589:$K$2614,11,FALSE)</f>
        <v>1.3353840582150838</v>
      </c>
      <c r="AH32" s="1036">
        <f t="shared" si="33"/>
        <v>1.4603840582150838</v>
      </c>
      <c r="AI32" s="1037">
        <f t="shared" si="21"/>
        <v>4.875</v>
      </c>
      <c r="AJ32" s="93">
        <f>100-VLOOKUP(AI32,'[1]Pricing '!$A$2871:$K$2896,11,FALSE)</f>
        <v>2.5482716668581133</v>
      </c>
      <c r="AK32" s="1036">
        <f t="shared" si="34"/>
        <v>2.6732716668581133</v>
      </c>
    </row>
    <row r="33" spans="2:37" ht="16.5" x14ac:dyDescent="0.25">
      <c r="B33" s="111" cm="1">
        <f t="array" ref="B33">INDEX($A$162:$DE$162,0,MATCH(B32,$A$162:$DE$162,0)-1)</f>
        <v>5.375</v>
      </c>
      <c r="C33" s="93">
        <f>100-VLOOKUP(B33,'[1]Pricing '!$A$2506:$K$2531,11,FALSE)</f>
        <v>2.2056034912293541</v>
      </c>
      <c r="D33" s="94">
        <f t="shared" si="22"/>
        <v>2.3306034912293541</v>
      </c>
      <c r="E33" s="111" cm="1">
        <f t="array" ref="E33">INDEX($A$162:$DE$162,0,MATCH(E32,$A$162:$DE$162,0)-1)</f>
        <v>5.25</v>
      </c>
      <c r="F33" s="93">
        <f>100-VLOOKUP(E33,'[1]Pricing '!$A$2677:$K$2702,11,FALSE)</f>
        <v>3.1970679677513658</v>
      </c>
      <c r="G33" s="94">
        <f t="shared" si="23"/>
        <v>3.3220679677513658</v>
      </c>
      <c r="H33" s="107">
        <f t="shared" si="12"/>
        <v>5.125</v>
      </c>
      <c r="I33" s="93">
        <f>100-VLOOKUP(H33,'[1]Pricing '!$A$2648:$K$2673,11,FALSE)</f>
        <v>2.7430319855246807</v>
      </c>
      <c r="J33" s="1036">
        <f t="shared" si="24"/>
        <v>2.8680319855246807</v>
      </c>
      <c r="K33" s="1037">
        <f t="shared" si="13"/>
        <v>5.25</v>
      </c>
      <c r="L33" s="93">
        <f>100-VLOOKUP(K33,'[1]Pricing '!$A$2733:$K$2758,11,FALSE)</f>
        <v>2.4150679677513551</v>
      </c>
      <c r="M33" s="1036">
        <f t="shared" si="25"/>
        <v>2.5400679677513551</v>
      </c>
      <c r="N33" s="1037">
        <f t="shared" si="14"/>
        <v>4.75</v>
      </c>
      <c r="O33" s="93">
        <f>100-VLOOKUP(N33,'[1]Pricing '!$A$2534:$K$2558,11,FALSE)</f>
        <v>1.5638163986093332</v>
      </c>
      <c r="P33" s="1036">
        <f t="shared" si="26"/>
        <v>1.6888163986093332</v>
      </c>
      <c r="Q33" s="1037">
        <f t="shared" si="27"/>
        <v>4.5</v>
      </c>
      <c r="R33" s="93">
        <f>100-VLOOKUP(Q33,'[1]Pricing '!$A$2761:$K$2785,11,FALSE)</f>
        <v>2.0965591377905497</v>
      </c>
      <c r="S33" s="1036">
        <f t="shared" si="28"/>
        <v>2.2215591377905497</v>
      </c>
      <c r="T33" s="1037">
        <f t="shared" si="16"/>
        <v>4.75</v>
      </c>
      <c r="U33" s="93">
        <f>100-VLOOKUP(T33,'[1]Pricing '!$A$3052:$K$3077,11,FALSE)</f>
        <v>0.43981639860932376</v>
      </c>
      <c r="V33" s="1036">
        <f t="shared" si="29"/>
        <v>0.56481639860932376</v>
      </c>
      <c r="W33" s="1022">
        <f t="shared" si="17"/>
        <v>4.875</v>
      </c>
      <c r="X33" s="181">
        <f>100-VLOOKUP(W33,'[1]Pricing '!$A$2788:$K$2812,11,FALSE)</f>
        <v>5.2359973714928287E-2</v>
      </c>
      <c r="Y33" s="1038">
        <f t="shared" si="30"/>
        <v>0.17735997371492829</v>
      </c>
      <c r="Z33" s="1037">
        <f t="shared" si="18"/>
        <v>5.25</v>
      </c>
      <c r="AA33" s="93">
        <f>100-VLOOKUP(Z33,'[1]Pricing '!$A$2561:$K$2586,11,FALSE)</f>
        <v>3.6319670476087254</v>
      </c>
      <c r="AB33" s="1036">
        <f t="shared" si="31"/>
        <v>3.7569670476087254</v>
      </c>
      <c r="AC33" s="1037">
        <f t="shared" si="19"/>
        <v>5.25</v>
      </c>
      <c r="AD33" s="93">
        <f>100-VLOOKUP(AC33,'[1]Pricing '!$A$2815:$K$2840,11,FALSE)</f>
        <v>3.6319670476087254</v>
      </c>
      <c r="AE33" s="1036">
        <f t="shared" si="32"/>
        <v>3.7569670476087254</v>
      </c>
      <c r="AF33" s="1037">
        <f t="shared" si="20"/>
        <v>5</v>
      </c>
      <c r="AG33" s="93">
        <f>100-VLOOKUP(AF33,'[1]Pricing '!$A$2589:$K$2614,11,FALSE)</f>
        <v>2.0437311419422883</v>
      </c>
      <c r="AH33" s="1036">
        <f t="shared" si="33"/>
        <v>2.1687311419422883</v>
      </c>
      <c r="AI33" s="1037">
        <f t="shared" si="21"/>
        <v>4.75</v>
      </c>
      <c r="AJ33" s="93">
        <f>100-VLOOKUP(AI33,'[1]Pricing '!$A$2871:$K$2896,11,FALSE)</f>
        <v>3.1892770496301779</v>
      </c>
      <c r="AK33" s="1036">
        <f t="shared" si="34"/>
        <v>3.3142770496301779</v>
      </c>
    </row>
    <row r="34" spans="2:37" ht="16.5" x14ac:dyDescent="0.25">
      <c r="B34" s="111" cm="1">
        <f t="array" ref="B34">INDEX($A$162:$DE$162,0,MATCH(B33,$A$162:$DE$162,0)-1)</f>
        <v>5.25</v>
      </c>
      <c r="C34" s="93">
        <f>100-VLOOKUP(B34,'[1]Pricing '!$A$2506:$K$2531,11,FALSE)</f>
        <v>3.1970679677513658</v>
      </c>
      <c r="D34" s="94">
        <f t="shared" si="22"/>
        <v>3.3220679677513658</v>
      </c>
      <c r="E34" s="111" cm="1">
        <f t="array" ref="E34">INDEX($A$162:$DE$162,0,MATCH(E33,$A$162:$DE$162,0)-1)</f>
        <v>5.125</v>
      </c>
      <c r="F34" s="93">
        <f>100-VLOOKUP(E34,'[1]Pricing '!$A$2677:$K$2702,11,FALSE)</f>
        <v>3.2040319855246793</v>
      </c>
      <c r="G34" s="94">
        <f t="shared" si="23"/>
        <v>3.3290319855246793</v>
      </c>
      <c r="H34" s="107">
        <f t="shared" si="12"/>
        <v>5</v>
      </c>
      <c r="I34" s="93">
        <f>100-VLOOKUP(H34,'[1]Pricing '!$A$2648:$K$2673,11,FALSE)</f>
        <v>3.2460553347075205</v>
      </c>
      <c r="J34" s="1036">
        <f t="shared" si="24"/>
        <v>3.3710553347075205</v>
      </c>
      <c r="K34" s="1037">
        <f t="shared" si="13"/>
        <v>5.125</v>
      </c>
      <c r="L34" s="93">
        <f>100-VLOOKUP(K34,'[1]Pricing '!$A$2733:$K$2758,11,FALSE)</f>
        <v>2.7430319855246807</v>
      </c>
      <c r="M34" s="1036">
        <f t="shared" si="25"/>
        <v>2.8680319855246807</v>
      </c>
      <c r="N34" s="1037">
        <f t="shared" si="14"/>
        <v>4.625</v>
      </c>
      <c r="O34" s="93">
        <f>100-VLOOKUP(N34,'[1]Pricing '!$A$2534:$K$2558,11,FALSE)</f>
        <v>2.0195451611110684</v>
      </c>
      <c r="P34" s="1036">
        <f t="shared" si="26"/>
        <v>2.1445451611110684</v>
      </c>
      <c r="Q34" s="1037">
        <f t="shared" si="27"/>
        <v>4.375</v>
      </c>
      <c r="R34" s="93">
        <f>100-VLOOKUP(Q34,'[1]Pricing '!$A$2761:$K$2785,11,FALSE)</f>
        <v>2.5423055197991289</v>
      </c>
      <c r="S34" s="1036">
        <f t="shared" si="28"/>
        <v>2.6673055197991289</v>
      </c>
      <c r="T34" s="1037">
        <f t="shared" si="16"/>
        <v>4.625</v>
      </c>
      <c r="U34" s="93">
        <f>100-VLOOKUP(T34,'[1]Pricing '!$A$3052:$K$3077,11,FALSE)</f>
        <v>0.8775451611110725</v>
      </c>
      <c r="V34" s="1036">
        <f t="shared" si="29"/>
        <v>1.0025451611110725</v>
      </c>
      <c r="W34" s="1022">
        <f t="shared" si="17"/>
        <v>4.75</v>
      </c>
      <c r="X34" s="181">
        <f>100-VLOOKUP(W34,'[1]Pricing '!$A$2788:$K$2812,11,FALSE)</f>
        <v>0.43981639860932376</v>
      </c>
      <c r="Y34" s="1038">
        <f t="shared" si="30"/>
        <v>0.56481639860932376</v>
      </c>
      <c r="Z34" s="1037">
        <f t="shared" si="18"/>
        <v>5.125</v>
      </c>
      <c r="AA34" s="93">
        <f>100-VLOOKUP(Z34,'[1]Pricing '!$A$2561:$K$2586,11,FALSE)</f>
        <v>4.7524668004402315</v>
      </c>
      <c r="AB34" s="1036">
        <f t="shared" si="31"/>
        <v>4.8774668004402315</v>
      </c>
      <c r="AC34" s="1037">
        <f t="shared" si="19"/>
        <v>5.125</v>
      </c>
      <c r="AD34" s="93">
        <f>100-VLOOKUP(AC34,'[1]Pricing '!$A$2815:$K$2840,11,FALSE)</f>
        <v>4.7524668004402315</v>
      </c>
      <c r="AE34" s="1036">
        <f t="shared" si="32"/>
        <v>4.8774668004402315</v>
      </c>
      <c r="AF34" s="1037">
        <f t="shared" si="20"/>
        <v>4.875</v>
      </c>
      <c r="AG34" s="93">
        <f>100-VLOOKUP(AF34,'[1]Pricing '!$A$2589:$K$2614,11,FALSE)</f>
        <v>2.4232716668581133</v>
      </c>
      <c r="AH34" s="1036">
        <f t="shared" si="33"/>
        <v>2.5482716668581133</v>
      </c>
      <c r="AI34" s="1037">
        <f t="shared" si="21"/>
        <v>4.625</v>
      </c>
      <c r="AJ34" s="93">
        <f>100-VLOOKUP(AI34,'[1]Pricing '!$A$2871:$K$2896,11,FALSE)</f>
        <v>3.1684098369319855</v>
      </c>
      <c r="AK34" s="1036">
        <f t="shared" si="34"/>
        <v>3.2934098369319855</v>
      </c>
    </row>
    <row r="35" spans="2:37" ht="16.5" x14ac:dyDescent="0.25">
      <c r="B35" s="111" cm="1">
        <f t="array" ref="B35">INDEX($A$162:$DE$162,0,MATCH(B34,$A$162:$DE$162,0)-1)</f>
        <v>5.125</v>
      </c>
      <c r="C35" s="93">
        <f>100-VLOOKUP(B35,'[1]Pricing '!$A$2506:$K$2531,11,FALSE)</f>
        <v>3.2040319855246793</v>
      </c>
      <c r="D35" s="94">
        <f t="shared" si="0"/>
        <v>3.3290319855246793</v>
      </c>
      <c r="E35" s="111" cm="1">
        <f t="array" ref="E35">INDEX($A$162:$DE$162,0,MATCH(E34,$A$162:$DE$162,0)-1)</f>
        <v>5</v>
      </c>
      <c r="F35" s="93">
        <f>100-VLOOKUP(E35,'[1]Pricing '!$A$2677:$K$2702,11,FALSE)</f>
        <v>3.9040553347075218</v>
      </c>
      <c r="G35" s="94">
        <f t="shared" si="1"/>
        <v>4.0290553347075218</v>
      </c>
      <c r="H35" s="107">
        <f t="shared" si="12"/>
        <v>4.875</v>
      </c>
      <c r="I35" s="93">
        <f>100-VLOOKUP(H35,'[1]Pricing '!$A$2648:$K$2673,11,FALSE)</f>
        <v>3.8609011701163354</v>
      </c>
      <c r="J35" s="1036">
        <f t="shared" si="2"/>
        <v>3.9859011701163354</v>
      </c>
      <c r="K35" s="1037">
        <f t="shared" si="13"/>
        <v>5</v>
      </c>
      <c r="L35" s="93">
        <f>100-VLOOKUP(K35,'[1]Pricing '!$A$2733:$K$2758,11,FALSE)</f>
        <v>3.2460553347075205</v>
      </c>
      <c r="M35" s="1036">
        <f t="shared" si="3"/>
        <v>3.3710553347075205</v>
      </c>
      <c r="N35" s="1037">
        <f t="shared" si="14"/>
        <v>4.5</v>
      </c>
      <c r="O35" s="93">
        <f>100-VLOOKUP(N35,'[1]Pricing '!$A$2534:$K$2558,11,FALSE)</f>
        <v>2.2215591377905497</v>
      </c>
      <c r="P35" s="1036">
        <f t="shared" si="4"/>
        <v>2.3465591377905497</v>
      </c>
      <c r="Q35" s="1037">
        <f t="shared" ref="Q35:Q37" si="35">Q34-0.125</f>
        <v>4.25</v>
      </c>
      <c r="R35" s="93">
        <f>100-VLOOKUP(Q35,'[1]Pricing '!$A$2761:$K$2785,11,FALSE)</f>
        <v>2.9897495130096985</v>
      </c>
      <c r="S35" s="1036">
        <f t="shared" si="5"/>
        <v>3.1147495130096985</v>
      </c>
      <c r="T35" s="1037">
        <f t="shared" si="16"/>
        <v>4.5</v>
      </c>
      <c r="U35" s="93">
        <f>100-VLOOKUP(T35,'[1]Pricing '!$A$3052:$K$3077,11,FALSE)</f>
        <v>1.7325591377905454</v>
      </c>
      <c r="V35" s="1036">
        <f t="shared" si="6"/>
        <v>1.8575591377905454</v>
      </c>
      <c r="W35" s="1022">
        <f t="shared" si="17"/>
        <v>4.625</v>
      </c>
      <c r="X35" s="181">
        <f>100-VLOOKUP(W35,'[1]Pricing '!$A$2788:$K$2812,11,FALSE)</f>
        <v>0.8775451611110725</v>
      </c>
      <c r="Y35" s="1038">
        <f t="shared" si="7"/>
        <v>1.0025451611110725</v>
      </c>
      <c r="Z35" s="1037">
        <f t="shared" si="18"/>
        <v>5</v>
      </c>
      <c r="AA35" s="93">
        <f>100-VLOOKUP(Z35,'[1]Pricing '!$A$2561:$K$2586,11,FALSE)</f>
        <v>5.4590383118207058</v>
      </c>
      <c r="AB35" s="1036">
        <f t="shared" si="8"/>
        <v>5.5840383118207058</v>
      </c>
      <c r="AC35" s="1037">
        <f t="shared" si="19"/>
        <v>5</v>
      </c>
      <c r="AD35" s="93">
        <f>100-VLOOKUP(AC35,'[1]Pricing '!$A$2815:$K$2840,11,FALSE)</f>
        <v>5.4590383118207058</v>
      </c>
      <c r="AE35" s="1036">
        <f t="shared" si="9"/>
        <v>5.5840383118207058</v>
      </c>
      <c r="AF35" s="1037">
        <f t="shared" si="20"/>
        <v>4.75</v>
      </c>
      <c r="AG35" s="93">
        <f>100-VLOOKUP(AF35,'[1]Pricing '!$A$2589:$K$2614,11,FALSE)</f>
        <v>3.0642770496301779</v>
      </c>
      <c r="AH35" s="1036">
        <f t="shared" si="10"/>
        <v>3.1892770496301779</v>
      </c>
      <c r="AI35" s="1037">
        <f t="shared" si="21"/>
        <v>4.5</v>
      </c>
      <c r="AJ35" s="93">
        <f>100-VLOOKUP(AI35,'[1]Pricing '!$A$2871:$K$2896,11,FALSE)</f>
        <v>3.888538833329207</v>
      </c>
      <c r="AK35" s="1036">
        <f t="shared" si="11"/>
        <v>4.013538833329207</v>
      </c>
    </row>
    <row r="36" spans="2:37" ht="16.5" x14ac:dyDescent="0.25">
      <c r="B36" s="111" cm="1">
        <f t="array" ref="B36">INDEX($A$162:$DE$162,0,MATCH(B35,$A$162:$DE$162,0)-1)</f>
        <v>5</v>
      </c>
      <c r="C36" s="93">
        <f>100-VLOOKUP(B36,'[1]Pricing '!$A$2506:$K$2531,11,FALSE)</f>
        <v>3.9040553347075218</v>
      </c>
      <c r="D36" s="94">
        <f t="shared" si="0"/>
        <v>4.0290553347075218</v>
      </c>
      <c r="E36" s="111" cm="1">
        <f t="array" ref="E36">INDEX($A$162:$DE$162,0,MATCH(E35,$A$162:$DE$162,0)-1)</f>
        <v>4.875</v>
      </c>
      <c r="F36" s="93">
        <f>100-VLOOKUP(E36,'[1]Pricing '!$A$2677:$K$2702,11,FALSE)</f>
        <v>4.6669011701163328</v>
      </c>
      <c r="G36" s="94">
        <f t="shared" si="1"/>
        <v>4.7919011701163328</v>
      </c>
      <c r="H36" s="107">
        <f t="shared" si="12"/>
        <v>4.75</v>
      </c>
      <c r="I36" s="93">
        <f>100-VLOOKUP(H36,'[1]Pricing '!$A$2648:$K$2673,11,FALSE)</f>
        <v>4.4765774174463502</v>
      </c>
      <c r="J36" s="1036">
        <f t="shared" si="2"/>
        <v>4.6015774174463502</v>
      </c>
      <c r="K36" s="1037">
        <f t="shared" si="13"/>
        <v>4.875</v>
      </c>
      <c r="L36" s="93">
        <f>100-VLOOKUP(K36,'[1]Pricing '!$A$2733:$K$2758,11,FALSE)</f>
        <v>3.8609011701163354</v>
      </c>
      <c r="M36" s="1036">
        <f t="shared" si="3"/>
        <v>3.9859011701163354</v>
      </c>
      <c r="N36" s="1037">
        <f t="shared" si="14"/>
        <v>4.375</v>
      </c>
      <c r="O36" s="93">
        <f>100-VLOOKUP(N36,'[1]Pricing '!$A$2534:$K$2558,11,FALSE)</f>
        <v>2.6673055197991289</v>
      </c>
      <c r="P36" s="1036">
        <f t="shared" si="4"/>
        <v>2.7923055197991289</v>
      </c>
      <c r="Q36" s="1037">
        <f t="shared" si="35"/>
        <v>4.125</v>
      </c>
      <c r="R36" s="93">
        <f>100-VLOOKUP(Q36,'[1]Pricing '!$A$2761:$K$2785,11,FALSE)</f>
        <v>3.3512277576561189</v>
      </c>
      <c r="S36" s="1036">
        <f t="shared" si="5"/>
        <v>3.4762277576561189</v>
      </c>
      <c r="T36" s="1037">
        <f t="shared" si="16"/>
        <v>4.375</v>
      </c>
      <c r="U36" s="93">
        <f>100-VLOOKUP(T36,'[1]Pricing '!$A$3052:$K$3077,11,FALSE)</f>
        <v>2.2743055197991282</v>
      </c>
      <c r="V36" s="1036">
        <f t="shared" si="6"/>
        <v>2.3993055197991282</v>
      </c>
      <c r="W36" s="1022">
        <f t="shared" si="17"/>
        <v>4.5</v>
      </c>
      <c r="X36" s="181">
        <f>100-VLOOKUP(W36,'[1]Pricing '!$A$2788:$K$2812,11,FALSE)</f>
        <v>1.7325591377905454</v>
      </c>
      <c r="Y36" s="1038">
        <f t="shared" si="7"/>
        <v>1.8575591377905454</v>
      </c>
      <c r="Z36" s="1037">
        <f t="shared" si="18"/>
        <v>4.875</v>
      </c>
      <c r="AA36" s="93">
        <f>100-VLOOKUP(Z36,'[1]Pricing '!$A$2561:$K$2586,11,FALSE)</f>
        <v>5.7266623455876982</v>
      </c>
      <c r="AB36" s="1036">
        <f t="shared" si="8"/>
        <v>5.8516623455876982</v>
      </c>
      <c r="AC36" s="1037">
        <f t="shared" si="19"/>
        <v>4.875</v>
      </c>
      <c r="AD36" s="93">
        <f>100-VLOOKUP(AC36,'[1]Pricing '!$A$2815:$K$2840,11,FALSE)</f>
        <v>5.7266623455876982</v>
      </c>
      <c r="AE36" s="1036">
        <f t="shared" si="9"/>
        <v>5.8516623455876982</v>
      </c>
      <c r="AF36" s="1037">
        <f t="shared" si="20"/>
        <v>4.625</v>
      </c>
      <c r="AG36" s="93">
        <f>100-VLOOKUP(AF36,'[1]Pricing '!$A$2589:$K$2614,11,FALSE)</f>
        <v>3.0434098369319855</v>
      </c>
      <c r="AH36" s="1036">
        <f t="shared" si="10"/>
        <v>3.1684098369319855</v>
      </c>
      <c r="AI36" s="1037">
        <f t="shared" si="21"/>
        <v>4.375</v>
      </c>
      <c r="AJ36" s="93">
        <f>100-VLOOKUP(AI36,'[1]Pricing '!$A$2871:$K$2896,11,FALSE)</f>
        <v>4.35827170827298</v>
      </c>
      <c r="AK36" s="1036">
        <f t="shared" si="11"/>
        <v>4.48327170827298</v>
      </c>
    </row>
    <row r="37" spans="2:37" ht="17.25" thickBot="1" x14ac:dyDescent="0.3">
      <c r="B37" s="1135" cm="1">
        <f t="array" ref="B37">INDEX($A$162:$DE$162,0,MATCH(B36,$A$162:$DE$162,0)-1)</f>
        <v>4.875</v>
      </c>
      <c r="C37" s="539">
        <f>100-VLOOKUP(B37,'[1]Pricing '!$A$2506:$K$2531,11,FALSE)</f>
        <v>4.6669011701163328</v>
      </c>
      <c r="D37" s="256">
        <f t="shared" si="0"/>
        <v>4.7919011701163328</v>
      </c>
      <c r="E37" s="1135" cm="1">
        <f t="array" ref="E37">INDEX($A$162:$DE$162,0,MATCH(E36,$A$162:$DE$162,0)-1)</f>
        <v>4.75</v>
      </c>
      <c r="F37" s="539">
        <f>100-VLOOKUP(E37,'[1]Pricing '!$A$2677:$K$2702,11,FALSE)</f>
        <v>5.531577417446357</v>
      </c>
      <c r="G37" s="256">
        <f t="shared" si="1"/>
        <v>5.656577417446357</v>
      </c>
      <c r="H37" s="1047">
        <f t="shared" si="12"/>
        <v>4.625</v>
      </c>
      <c r="I37" s="1041">
        <f>100-VLOOKUP(H37,'[1]Pricing '!$A$2648:$K$2673,11,FALSE)</f>
        <v>5.2745100511789076</v>
      </c>
      <c r="J37" s="1042">
        <f t="shared" si="2"/>
        <v>5.3995100511789076</v>
      </c>
      <c r="K37" s="1040">
        <f t="shared" si="13"/>
        <v>4.75</v>
      </c>
      <c r="L37" s="1041">
        <f>100-VLOOKUP(K37,'[1]Pricing '!$A$2733:$K$2758,11,FALSE)</f>
        <v>4.4765774174463502</v>
      </c>
      <c r="M37" s="1042">
        <f t="shared" si="3"/>
        <v>4.6015774174463502</v>
      </c>
      <c r="N37" s="1040">
        <f t="shared" si="14"/>
        <v>4.25</v>
      </c>
      <c r="O37" s="1041">
        <f>100-VLOOKUP(N37,'[1]Pricing '!$A$2534:$K$2558,11,FALSE)</f>
        <v>3.1147495130096985</v>
      </c>
      <c r="P37" s="1036">
        <f t="shared" si="4"/>
        <v>3.2397495130096985</v>
      </c>
      <c r="Q37" s="1040">
        <f t="shared" si="35"/>
        <v>4</v>
      </c>
      <c r="R37" s="1041">
        <f>100-VLOOKUP(Q37,'[1]Pricing '!$A$2761:$K$2785,11,FALSE)</f>
        <v>2.5834823195122851</v>
      </c>
      <c r="S37" s="1036">
        <f t="shared" si="5"/>
        <v>2.7084823195122851</v>
      </c>
      <c r="T37" s="1040">
        <f t="shared" si="16"/>
        <v>4.25</v>
      </c>
      <c r="U37" s="1041">
        <f>100-VLOOKUP(T37,'[1]Pricing '!$A$3052:$K$3077,11,FALSE)</f>
        <v>2.8177495130097014</v>
      </c>
      <c r="V37" s="1042">
        <f t="shared" si="6"/>
        <v>2.9427495130097014</v>
      </c>
      <c r="W37" s="1043">
        <f t="shared" si="17"/>
        <v>4.375</v>
      </c>
      <c r="X37" s="1023">
        <f>100-VLOOKUP(W37,'[1]Pricing '!$A$2788:$K$2812,11,FALSE)</f>
        <v>2.2743055197991282</v>
      </c>
      <c r="Y37" s="1038">
        <f t="shared" si="7"/>
        <v>2.3993055197991282</v>
      </c>
      <c r="Z37" s="1040">
        <f t="shared" si="18"/>
        <v>4.75</v>
      </c>
      <c r="AA37" s="1041">
        <f>100-VLOOKUP(Z37,'[1]Pricing '!$A$2561:$K$2586,11,FALSE)</f>
        <v>6.5086638076177366</v>
      </c>
      <c r="AB37" s="1042">
        <f t="shared" si="8"/>
        <v>6.6336638076177366</v>
      </c>
      <c r="AC37" s="1040">
        <f t="shared" si="19"/>
        <v>4.75</v>
      </c>
      <c r="AD37" s="1041">
        <f>100-VLOOKUP(AC37,'[1]Pricing '!$A$2815:$K$2840,11,FALSE)</f>
        <v>6.5086638076177366</v>
      </c>
      <c r="AE37" s="1042">
        <f t="shared" si="9"/>
        <v>6.6336638076177366</v>
      </c>
      <c r="AF37" s="1040">
        <f t="shared" si="20"/>
        <v>4.5</v>
      </c>
      <c r="AG37" s="1041">
        <f>100-VLOOKUP(AF37,'[1]Pricing '!$A$2589:$K$2614,11,FALSE)</f>
        <v>3.763538833329207</v>
      </c>
      <c r="AH37" s="1042">
        <f t="shared" si="10"/>
        <v>3.888538833329207</v>
      </c>
      <c r="AI37" s="1040">
        <f t="shared" si="21"/>
        <v>4.25</v>
      </c>
      <c r="AJ37" s="1041">
        <f>100-VLOOKUP(AI37,'[1]Pricing '!$A$2871:$K$2896,11,FALSE)</f>
        <v>4.8893076402713547</v>
      </c>
      <c r="AK37" s="1042">
        <f t="shared" si="11"/>
        <v>5.0143076402713547</v>
      </c>
    </row>
    <row r="38" spans="2:37" ht="16.5" thickTop="1" thickBot="1" x14ac:dyDescent="0.3">
      <c r="B38" s="1044"/>
      <c r="P38" s="1045"/>
      <c r="S38" s="1045"/>
      <c r="T38" s="1045"/>
      <c r="Y38" s="1045"/>
      <c r="AK38" s="1046"/>
    </row>
    <row r="39" spans="2:37" ht="27.75" thickTop="1" thickBot="1" x14ac:dyDescent="0.3">
      <c r="B39" s="1242" t="s">
        <v>698</v>
      </c>
      <c r="C39" s="1243"/>
      <c r="D39" s="1243"/>
      <c r="E39" s="1243"/>
      <c r="F39" s="1243"/>
      <c r="G39" s="1243"/>
      <c r="H39" s="1243"/>
      <c r="I39" s="1243"/>
      <c r="J39" s="1243"/>
      <c r="K39" s="1243"/>
      <c r="L39" s="1243"/>
      <c r="M39" s="1243"/>
      <c r="N39" s="1243"/>
      <c r="O39" s="1243"/>
      <c r="P39" s="1243"/>
      <c r="Q39" s="1243"/>
      <c r="R39" s="1243"/>
      <c r="S39" s="1243"/>
      <c r="T39" s="1243"/>
      <c r="U39" s="1243"/>
      <c r="V39" s="1243"/>
      <c r="W39" s="1243"/>
      <c r="X39" s="1243"/>
      <c r="Y39" s="1243"/>
      <c r="Z39" s="1243"/>
      <c r="AA39" s="1243"/>
      <c r="AB39" s="1243"/>
      <c r="AC39" s="1243"/>
      <c r="AD39" s="1243"/>
      <c r="AE39" s="1243"/>
      <c r="AF39" s="1243"/>
      <c r="AG39" s="1243"/>
      <c r="AH39" s="1243"/>
      <c r="AI39" s="1243"/>
      <c r="AJ39" s="1243"/>
      <c r="AK39" s="1244"/>
    </row>
    <row r="40" spans="2:37" ht="21" thickTop="1" thickBot="1" x14ac:dyDescent="0.35">
      <c r="B40" s="1245" t="s">
        <v>12</v>
      </c>
      <c r="C40" s="1246"/>
      <c r="D40" s="1246"/>
      <c r="E40" s="1233"/>
      <c r="F40" s="1233"/>
      <c r="G40" s="1233"/>
      <c r="H40" s="1246"/>
      <c r="I40" s="1246"/>
      <c r="J40" s="1246"/>
      <c r="K40" s="1246"/>
      <c r="L40" s="1246"/>
      <c r="M40" s="1246"/>
      <c r="N40" s="1246"/>
      <c r="O40" s="1246"/>
      <c r="P40" s="1246"/>
      <c r="Q40" s="1246"/>
      <c r="R40" s="1246"/>
      <c r="S40" s="1246"/>
      <c r="T40" s="1246"/>
      <c r="U40" s="1246"/>
      <c r="V40" s="1246"/>
      <c r="W40" s="1246"/>
      <c r="X40" s="1246"/>
      <c r="Y40" s="1246"/>
      <c r="Z40" s="1247" t="s">
        <v>685</v>
      </c>
      <c r="AA40" s="1248"/>
      <c r="AB40" s="1248"/>
      <c r="AC40" s="1248"/>
      <c r="AD40" s="1248"/>
      <c r="AE40" s="1248"/>
      <c r="AF40" s="1248"/>
      <c r="AG40" s="1248"/>
      <c r="AH40" s="1248"/>
      <c r="AI40" s="1248"/>
      <c r="AJ40" s="1248"/>
      <c r="AK40" s="1249"/>
    </row>
    <row r="41" spans="2:37" ht="21.75" customHeight="1" thickTop="1" x14ac:dyDescent="0.25">
      <c r="B41" s="1235" t="s">
        <v>699</v>
      </c>
      <c r="C41" s="1236"/>
      <c r="D41" s="1236"/>
      <c r="E41" s="1250" t="s">
        <v>700</v>
      </c>
      <c r="F41" s="1251"/>
      <c r="G41" s="1252"/>
      <c r="H41" s="1253" t="s">
        <v>701</v>
      </c>
      <c r="I41" s="1253"/>
      <c r="J41" s="1254"/>
      <c r="K41" s="1235" t="s">
        <v>702</v>
      </c>
      <c r="L41" s="1236"/>
      <c r="M41" s="1237"/>
      <c r="N41" s="1235" t="s">
        <v>703</v>
      </c>
      <c r="O41" s="1236"/>
      <c r="P41" s="1237"/>
      <c r="Q41" s="1235" t="s">
        <v>704</v>
      </c>
      <c r="R41" s="1236"/>
      <c r="S41" s="1237"/>
      <c r="T41" s="1235" t="s">
        <v>705</v>
      </c>
      <c r="U41" s="1236"/>
      <c r="V41" s="1237"/>
      <c r="W41" s="1235" t="s">
        <v>706</v>
      </c>
      <c r="X41" s="1236"/>
      <c r="Y41" s="1237"/>
      <c r="Z41" s="1235" t="s">
        <v>707</v>
      </c>
      <c r="AA41" s="1236"/>
      <c r="AB41" s="1237"/>
      <c r="AC41" s="1235" t="s">
        <v>708</v>
      </c>
      <c r="AD41" s="1236"/>
      <c r="AE41" s="1237"/>
      <c r="AF41" s="1235" t="s">
        <v>709</v>
      </c>
      <c r="AG41" s="1236"/>
      <c r="AH41" s="1237"/>
      <c r="AI41" s="1235" t="s">
        <v>710</v>
      </c>
      <c r="AJ41" s="1236"/>
      <c r="AK41" s="1237"/>
    </row>
    <row r="42" spans="2:37" ht="16.5" x14ac:dyDescent="0.25">
      <c r="B42" s="1034" t="s">
        <v>14</v>
      </c>
      <c r="C42" s="686" t="s">
        <v>15</v>
      </c>
      <c r="D42" s="1136" t="s">
        <v>257</v>
      </c>
      <c r="E42" s="1137" t="s">
        <v>14</v>
      </c>
      <c r="F42" s="1136" t="s">
        <v>15</v>
      </c>
      <c r="G42" s="1138" t="s">
        <v>257</v>
      </c>
      <c r="H42" s="686" t="s">
        <v>14</v>
      </c>
      <c r="I42" s="686" t="s">
        <v>15</v>
      </c>
      <c r="J42" s="1035" t="s">
        <v>257</v>
      </c>
      <c r="K42" s="686" t="s">
        <v>14</v>
      </c>
      <c r="L42" s="686" t="s">
        <v>15</v>
      </c>
      <c r="M42" s="1035" t="s">
        <v>257</v>
      </c>
      <c r="N42" s="686" t="s">
        <v>14</v>
      </c>
      <c r="O42" s="686" t="s">
        <v>15</v>
      </c>
      <c r="P42" s="1035" t="s">
        <v>257</v>
      </c>
      <c r="Q42" s="686" t="s">
        <v>14</v>
      </c>
      <c r="R42" s="686" t="s">
        <v>15</v>
      </c>
      <c r="S42" s="1035" t="s">
        <v>257</v>
      </c>
      <c r="T42" s="686" t="s">
        <v>14</v>
      </c>
      <c r="U42" s="686" t="s">
        <v>15</v>
      </c>
      <c r="V42" s="1035" t="s">
        <v>257</v>
      </c>
      <c r="W42" s="686" t="s">
        <v>14</v>
      </c>
      <c r="X42" s="686" t="s">
        <v>15</v>
      </c>
      <c r="Y42" s="1035" t="s">
        <v>257</v>
      </c>
      <c r="Z42" s="686" t="s">
        <v>14</v>
      </c>
      <c r="AA42" s="686" t="s">
        <v>15</v>
      </c>
      <c r="AB42" s="1035" t="s">
        <v>257</v>
      </c>
      <c r="AC42" s="686" t="s">
        <v>14</v>
      </c>
      <c r="AD42" s="686" t="s">
        <v>15</v>
      </c>
      <c r="AE42" s="1035" t="s">
        <v>257</v>
      </c>
      <c r="AF42" s="686" t="s">
        <v>14</v>
      </c>
      <c r="AG42" s="686" t="s">
        <v>15</v>
      </c>
      <c r="AH42" s="1035" t="s">
        <v>257</v>
      </c>
      <c r="AI42" s="686" t="s">
        <v>14</v>
      </c>
      <c r="AJ42" s="686" t="s">
        <v>15</v>
      </c>
      <c r="AK42" s="1035" t="s">
        <v>257</v>
      </c>
    </row>
    <row r="43" spans="2:37" ht="16.5" x14ac:dyDescent="0.25">
      <c r="B43" s="1037">
        <f>LARGE('[1]Pricing '!$A$6:$A$30,1)</f>
        <v>7.625</v>
      </c>
      <c r="C43" s="93">
        <f>100-VLOOKUP(B43,'[1]Pricing '!$A$6:$K$30,11,FALSE)</f>
        <v>-4.2757203116761247</v>
      </c>
      <c r="D43" s="93">
        <f>C43-$U$2</f>
        <v>-4.1507203116761247</v>
      </c>
      <c r="E43" s="111">
        <f>LARGE('[1]Pricing '!$A$566:$A$590,1)</f>
        <v>7.875</v>
      </c>
      <c r="F43" s="93">
        <f>100-VLOOKUP(E43,'[1]Pricing '!$A$566:$K$590,11,FALSE)</f>
        <v>-4.5003310273502422</v>
      </c>
      <c r="G43" s="94">
        <f>F43-$U$2</f>
        <v>-4.3753310273502422</v>
      </c>
      <c r="H43" s="107">
        <f>LARGE('[1]Pricing '!$A$59:$A$83,1)</f>
        <v>7.5</v>
      </c>
      <c r="I43" s="93">
        <f>100-VLOOKUP(H43,'[1]Pricing '!$A$59:$K$83,11,FALSE)</f>
        <v>-3.2742060180409993</v>
      </c>
      <c r="J43" s="1036">
        <f>I43-$U$2</f>
        <v>-3.1492060180409993</v>
      </c>
      <c r="K43" s="107">
        <f>LARGE('[1]Pricing '!$A$593:$A$617,1)</f>
        <v>7.5</v>
      </c>
      <c r="L43" s="93">
        <f>100-VLOOKUP(K43,'[1]Pricing '!$A$593:$K$617,11,FALSE)</f>
        <v>-3.2742060180409993</v>
      </c>
      <c r="M43" s="1036">
        <f>L43-$U$2</f>
        <v>-3.1492060180409993</v>
      </c>
      <c r="N43" s="107">
        <f>LARGE('[1]Pricing '!$A$86:$A$110,1)</f>
        <v>7</v>
      </c>
      <c r="O43" s="93">
        <f>100-VLOOKUP(N43,'[1]Pricing '!$A$86:$K$110,11,FALSE)</f>
        <v>-3.2350398200550075</v>
      </c>
      <c r="P43" s="1036">
        <f>O43-$U$2</f>
        <v>-3.1100398200550075</v>
      </c>
      <c r="Q43" s="107">
        <f>LARGE('[1]Pricing '!$A$620:$A$644,1)</f>
        <v>7</v>
      </c>
      <c r="R43" s="93">
        <f>100-VLOOKUP(Q43,'[1]Pricing '!$A$620:$K$644,11,FALSE)</f>
        <v>-3.2350398200550075</v>
      </c>
      <c r="S43" s="1036">
        <f>R43-$U$2</f>
        <v>-3.1100398200550075</v>
      </c>
      <c r="T43" s="992">
        <f>LARGE('[1]Pricing '!$A$113:$A$137,1)</f>
        <v>7.125</v>
      </c>
      <c r="U43" s="93">
        <f>100-VLOOKUP(T43,'[1]Pricing '!$A$113:$K$137,11,FALSE)</f>
        <v>-2.8466218913364116</v>
      </c>
      <c r="V43" s="1036">
        <f>U43-$U$2</f>
        <v>-2.7216218913364116</v>
      </c>
      <c r="W43" s="223">
        <f>LARGE('[1]Pricing '!$A$647:$A$671,1)</f>
        <v>7.375</v>
      </c>
      <c r="X43" s="93">
        <f>100-VLOOKUP(W43,'[1]Pricing '!$A$647:$K$671,11,FALSE)</f>
        <v>-3.2670012503590158</v>
      </c>
      <c r="Y43" s="1036">
        <f>X43-$U$2</f>
        <v>-3.1420012503590158</v>
      </c>
      <c r="Z43" s="224">
        <f>LARGE('[1]Pricing '!$A$167:$A$191,1)</f>
        <v>7.75</v>
      </c>
      <c r="AA43" s="93">
        <f>100-VLOOKUP(Z43,'[1]Pricing '!$A$167:$K$191,11,FALSE)</f>
        <v>-2.3317092152258709</v>
      </c>
      <c r="AB43" s="1036">
        <f>AA43-$U$2</f>
        <v>-2.2067092152258709</v>
      </c>
      <c r="AC43" s="107">
        <f>LARGE('[1]Pricing '!$A$674:$A$698,1)</f>
        <v>7.875</v>
      </c>
      <c r="AD43" s="93">
        <f>100-VLOOKUP(AC43,'[1]Pricing '!$A$674:$K$698,11,FALSE)</f>
        <v>-2.7171899352975259</v>
      </c>
      <c r="AE43" s="1036">
        <f>AD43-$U$2</f>
        <v>-2.5921899352975259</v>
      </c>
      <c r="AF43" s="107">
        <f>LARGE('[1]Pricing '!$A$194:$A$218,1)</f>
        <v>7.5</v>
      </c>
      <c r="AG43" s="93">
        <f>100-VLOOKUP(AF43,'[1]Pricing '!$A$194:$K$218,11,FALSE)</f>
        <v>-2.9687477808946028</v>
      </c>
      <c r="AH43" s="1036">
        <f>AG43-$U$2</f>
        <v>-2.8437477808946028</v>
      </c>
      <c r="AI43" s="107">
        <f>LARGE('[1]Pricing '!$A$701:$A$725,1)</f>
        <v>7.5</v>
      </c>
      <c r="AJ43" s="93">
        <f>100-VLOOKUP(AI43,'[1]Pricing '!$A$701:$K$725,11,FALSE)</f>
        <v>-2.9687477808946028</v>
      </c>
      <c r="AK43" s="1036">
        <f>AJ43-$U$2</f>
        <v>-2.8437477808946028</v>
      </c>
    </row>
    <row r="44" spans="2:37" ht="16.5" x14ac:dyDescent="0.25">
      <c r="B44" s="1037" cm="1">
        <f t="array" ref="B44">INDEX($A$162:$DE$162,0,MATCH(B43,$A$162:$DE$162,0)-1)</f>
        <v>7.5</v>
      </c>
      <c r="C44" s="93">
        <f>100-VLOOKUP(B44,'[1]Pricing '!$A$6:$K$30,11,FALSE)</f>
        <v>-4.0672060180409915</v>
      </c>
      <c r="D44" s="93">
        <f t="shared" ref="D44:D67" si="36">C44-$U$2</f>
        <v>-3.9422060180409915</v>
      </c>
      <c r="E44" s="111" cm="1">
        <f t="array" ref="E44">INDEX($A$162:$DE$162,0,MATCH(E43,$A$162:$DE$162,0)-1)</f>
        <v>7.75</v>
      </c>
      <c r="F44" s="93">
        <f>100-VLOOKUP(E44,'[1]Pricing '!$A$566:$K$590,11,FALSE)</f>
        <v>-4.2391265345003717</v>
      </c>
      <c r="G44" s="94">
        <f t="shared" ref="G44:G67" si="37">F44-$U$2</f>
        <v>-4.1141265345003717</v>
      </c>
      <c r="H44" s="107">
        <f>H43-0.125</f>
        <v>7.375</v>
      </c>
      <c r="I44" s="93">
        <f>100-VLOOKUP(H44,'[1]Pricing '!$A$59:$K$83,11,FALSE)</f>
        <v>-3.0207793530222631</v>
      </c>
      <c r="J44" s="1036">
        <f t="shared" ref="J44:J67" si="38">I44-$U$2</f>
        <v>-2.8957793530222631</v>
      </c>
      <c r="K44" s="107">
        <f>K43-0.125</f>
        <v>7.375</v>
      </c>
      <c r="L44" s="93">
        <f>100-VLOOKUP(K44,'[1]Pricing '!$A$593:$K$617,11,FALSE)</f>
        <v>-3.0207793530222631</v>
      </c>
      <c r="M44" s="1036">
        <f t="shared" ref="M44:M67" si="39">L44-$U$2</f>
        <v>-2.8957793530222631</v>
      </c>
      <c r="N44" s="107">
        <f>N43-0.125</f>
        <v>6.875</v>
      </c>
      <c r="O44" s="93">
        <f>100-VLOOKUP(N44,'[1]Pricing '!$A$86:$K$110,11,FALSE)</f>
        <v>-3.0143409363082725</v>
      </c>
      <c r="P44" s="1036">
        <f t="shared" ref="P44:P67" si="40">O44-$U$2</f>
        <v>-2.8893409363082725</v>
      </c>
      <c r="Q44" s="107">
        <f t="shared" ref="Q44:W63" si="41">Q43-0.125</f>
        <v>6.875</v>
      </c>
      <c r="R44" s="93">
        <f>100-VLOOKUP(Q44,'[1]Pricing '!$A$620:$K$644,11,FALSE)</f>
        <v>-3.0143409363082725</v>
      </c>
      <c r="S44" s="1036">
        <f t="shared" ref="S44:S67" si="42">R44-$U$2</f>
        <v>-2.8893409363082725</v>
      </c>
      <c r="T44" s="107">
        <f t="shared" si="41"/>
        <v>7</v>
      </c>
      <c r="U44" s="93">
        <f>100-VLOOKUP(T44,'[1]Pricing '!$A$113:$K$137,11,FALSE)</f>
        <v>-3.189039820055001</v>
      </c>
      <c r="V44" s="1036">
        <f t="shared" ref="V44:V67" si="43">U44-$U$2</f>
        <v>-3.064039820055001</v>
      </c>
      <c r="W44" s="107">
        <f t="shared" si="41"/>
        <v>7.25</v>
      </c>
      <c r="X44" s="93">
        <f>100-VLOOKUP(W44,'[1]Pricing '!$A$647:$K$671,11,FALSE)</f>
        <v>-3.0712602955252635</v>
      </c>
      <c r="Y44" s="1036">
        <f t="shared" ref="Y44:Y67" si="44">X44-$U$2</f>
        <v>-2.9462602955252635</v>
      </c>
      <c r="Z44" s="107">
        <f>Z43-0.125</f>
        <v>7.625</v>
      </c>
      <c r="AA44" s="93">
        <f>100-VLOOKUP(Z44,'[1]Pricing '!$A$167:$K$191,11,FALSE)</f>
        <v>-2.7738845578142275</v>
      </c>
      <c r="AB44" s="1036">
        <f t="shared" ref="AB44:AB67" si="45">AA44-$U$2</f>
        <v>-2.6488845578142275</v>
      </c>
      <c r="AC44" s="107">
        <f>AC43-0.125</f>
        <v>7.75</v>
      </c>
      <c r="AD44" s="93">
        <f>100-VLOOKUP(AC44,'[1]Pricing '!$A$674:$K$698,11,FALSE)</f>
        <v>-2.3317092152258709</v>
      </c>
      <c r="AE44" s="1036">
        <f t="shared" ref="AE44:AE67" si="46">AD44-$U$2</f>
        <v>-2.2067092152258709</v>
      </c>
      <c r="AF44" s="107">
        <f>AF43-0.125</f>
        <v>7.375</v>
      </c>
      <c r="AG44" s="93">
        <f>100-VLOOKUP(AF44,'[1]Pricing '!$A$194:$K$218,11,FALSE)</f>
        <v>-2.7878836386347103</v>
      </c>
      <c r="AH44" s="1036">
        <f t="shared" ref="AH44:AH67" si="47">AG44-$U$2</f>
        <v>-2.6628836386347103</v>
      </c>
      <c r="AI44" s="107">
        <f>AI43-0.125</f>
        <v>7.375</v>
      </c>
      <c r="AJ44" s="93">
        <f>100-VLOOKUP(AI44,'[1]Pricing '!$A$701:$K$725,11,FALSE)</f>
        <v>-2.7878836386347103</v>
      </c>
      <c r="AK44" s="1036">
        <f t="shared" ref="AK44:AK67" si="48">AJ44-$U$2</f>
        <v>-2.6628836386347103</v>
      </c>
    </row>
    <row r="45" spans="2:37" ht="16.5" x14ac:dyDescent="0.25">
      <c r="B45" s="1037" cm="1">
        <f t="array" ref="B45">INDEX($A$162:$DE$162,0,MATCH(B44,$A$162:$DE$162,0)-1)</f>
        <v>7.375</v>
      </c>
      <c r="C45" s="93">
        <f>100-VLOOKUP(B45,'[1]Pricing '!$A$6:$K$30,11,FALSE)</f>
        <v>-3.7977793530222499</v>
      </c>
      <c r="D45" s="93">
        <f t="shared" si="36"/>
        <v>-3.6727793530222499</v>
      </c>
      <c r="E45" s="111" cm="1">
        <f t="array" ref="E45">INDEX($A$162:$DE$162,0,MATCH(E44,$A$162:$DE$162,0)-1)</f>
        <v>7.625</v>
      </c>
      <c r="F45" s="93">
        <f>100-VLOOKUP(E45,'[1]Pricing '!$A$566:$K$590,11,FALSE)</f>
        <v>-4.2757203116761247</v>
      </c>
      <c r="G45" s="94">
        <f t="shared" si="37"/>
        <v>-4.1507203116761247</v>
      </c>
      <c r="H45" s="107">
        <f t="shared" ref="H45:H67" si="49">H44-0.125</f>
        <v>7.25</v>
      </c>
      <c r="I45" s="93">
        <f>100-VLOOKUP(H45,'[1]Pricing '!$A$59:$K$83,11,FALSE)</f>
        <v>-2.7422232180739314</v>
      </c>
      <c r="J45" s="1036">
        <f t="shared" si="38"/>
        <v>-2.6172232180739314</v>
      </c>
      <c r="K45" s="107">
        <f t="shared" ref="K45:K66" si="50">K44-0.125</f>
        <v>7.25</v>
      </c>
      <c r="L45" s="93">
        <f>100-VLOOKUP(K45,'[1]Pricing '!$A$593:$K$617,11,FALSE)</f>
        <v>-2.7422232180739314</v>
      </c>
      <c r="M45" s="1036">
        <f t="shared" si="39"/>
        <v>-2.6172232180739314</v>
      </c>
      <c r="N45" s="107">
        <f t="shared" ref="N45:N67" si="51">N44-0.125</f>
        <v>6.75</v>
      </c>
      <c r="O45" s="93">
        <f>100-VLOOKUP(N45,'[1]Pricing '!$A$86:$K$110,11,FALSE)</f>
        <v>-2.7662590836898886</v>
      </c>
      <c r="P45" s="1036">
        <f t="shared" si="40"/>
        <v>-2.6412590836898886</v>
      </c>
      <c r="Q45" s="107">
        <f t="shared" si="41"/>
        <v>6.75</v>
      </c>
      <c r="R45" s="93">
        <f>100-VLOOKUP(Q45,'[1]Pricing '!$A$620:$K$644,11,FALSE)</f>
        <v>-2.7662590836898886</v>
      </c>
      <c r="S45" s="1036">
        <f t="shared" si="42"/>
        <v>-2.6412590836898886</v>
      </c>
      <c r="T45" s="107">
        <f t="shared" si="41"/>
        <v>6.875</v>
      </c>
      <c r="U45" s="93">
        <f>100-VLOOKUP(T45,'[1]Pricing '!$A$113:$K$137,11,FALSE)</f>
        <v>-2.9713409363082661</v>
      </c>
      <c r="V45" s="1036">
        <f t="shared" si="43"/>
        <v>-2.8463409363082661</v>
      </c>
      <c r="W45" s="107">
        <f t="shared" si="41"/>
        <v>7.125</v>
      </c>
      <c r="X45" s="93">
        <f>100-VLOOKUP(W45,'[1]Pricing '!$A$647:$K$671,11,FALSE)</f>
        <v>-2.8466218913364116</v>
      </c>
      <c r="Y45" s="1036">
        <f t="shared" si="44"/>
        <v>-2.7216218913364116</v>
      </c>
      <c r="Z45" s="107">
        <f t="shared" ref="Z45:Z67" si="52">Z44-0.125</f>
        <v>7.5</v>
      </c>
      <c r="AA45" s="93">
        <f>100-VLOOKUP(Z45,'[1]Pricing '!$A$167:$K$191,11,FALSE)</f>
        <v>-2.6012903711710464</v>
      </c>
      <c r="AB45" s="1036">
        <f t="shared" si="45"/>
        <v>-2.4762903711710464</v>
      </c>
      <c r="AC45" s="107">
        <f t="shared" ref="AC45:AC67" si="53">AC44-0.125</f>
        <v>7.625</v>
      </c>
      <c r="AD45" s="93">
        <f>100-VLOOKUP(AC45,'[1]Pricing '!$A$674:$K$698,11,FALSE)</f>
        <v>-2.7738845578142275</v>
      </c>
      <c r="AE45" s="1036">
        <f t="shared" si="46"/>
        <v>-2.6488845578142275</v>
      </c>
      <c r="AF45" s="107">
        <f t="shared" ref="AF45:AF66" si="54">AF44-0.125</f>
        <v>7.25</v>
      </c>
      <c r="AG45" s="93">
        <f>100-VLOOKUP(AF45,'[1]Pricing '!$A$194:$K$218,11,FALSE)</f>
        <v>-2.5922654739642041</v>
      </c>
      <c r="AH45" s="1036">
        <f t="shared" si="47"/>
        <v>-2.4672654739642041</v>
      </c>
      <c r="AI45" s="107">
        <f t="shared" ref="AI45:AI67" si="55">AI44-0.125</f>
        <v>7.25</v>
      </c>
      <c r="AJ45" s="93">
        <f>100-VLOOKUP(AI45,'[1]Pricing '!$A$701:$K$725,11,FALSE)</f>
        <v>-2.5922654739642041</v>
      </c>
      <c r="AK45" s="1036">
        <f t="shared" si="48"/>
        <v>-2.4672654739642041</v>
      </c>
    </row>
    <row r="46" spans="2:37" ht="16.5" x14ac:dyDescent="0.25">
      <c r="B46" s="1037" cm="1">
        <f t="array" ref="B46">INDEX($A$162:$DE$162,0,MATCH(B45,$A$162:$DE$162,0)-1)</f>
        <v>7.25</v>
      </c>
      <c r="C46" s="93">
        <f>100-VLOOKUP(B46,'[1]Pricing '!$A$6:$K$30,11,FALSE)</f>
        <v>-3.3192232180739296</v>
      </c>
      <c r="D46" s="93">
        <f t="shared" si="36"/>
        <v>-3.1942232180739296</v>
      </c>
      <c r="E46" s="111" cm="1">
        <f t="array" ref="E46">INDEX($A$162:$DE$162,0,MATCH(E45,$A$162:$DE$162,0)-1)</f>
        <v>7.5</v>
      </c>
      <c r="F46" s="93">
        <f>100-VLOOKUP(E46,'[1]Pricing '!$A$566:$K$590,11,FALSE)</f>
        <v>-4.0672060180409915</v>
      </c>
      <c r="G46" s="94">
        <f t="shared" si="37"/>
        <v>-3.9422060180409915</v>
      </c>
      <c r="H46" s="107">
        <f t="shared" si="49"/>
        <v>7.125</v>
      </c>
      <c r="I46" s="93">
        <f>100-VLOOKUP(H46,'[1]Pricing '!$A$59:$K$83,11,FALSE)</f>
        <v>-2.2406342986537737</v>
      </c>
      <c r="J46" s="1036">
        <f t="shared" si="38"/>
        <v>-2.1156342986537737</v>
      </c>
      <c r="K46" s="107">
        <f t="shared" si="50"/>
        <v>7.125</v>
      </c>
      <c r="L46" s="93">
        <f>100-VLOOKUP(K46,'[1]Pricing '!$A$593:$K$617,11,FALSE)</f>
        <v>-2.2406342986537737</v>
      </c>
      <c r="M46" s="1036">
        <f t="shared" si="39"/>
        <v>-2.1156342986537737</v>
      </c>
      <c r="N46" s="107">
        <f t="shared" si="51"/>
        <v>6.625</v>
      </c>
      <c r="O46" s="93">
        <f>100-VLOOKUP(N46,'[1]Pricing '!$A$86:$K$110,11,FALSE)</f>
        <v>-2.5121048496292531</v>
      </c>
      <c r="P46" s="1036">
        <f t="shared" si="40"/>
        <v>-2.3871048496292531</v>
      </c>
      <c r="Q46" s="107">
        <f t="shared" si="41"/>
        <v>6.625</v>
      </c>
      <c r="R46" s="93">
        <f>100-VLOOKUP(Q46,'[1]Pricing '!$A$620:$K$644,11,FALSE)</f>
        <v>-2.5121048496292531</v>
      </c>
      <c r="S46" s="1036">
        <f t="shared" si="42"/>
        <v>-2.3871048496292531</v>
      </c>
      <c r="T46" s="107">
        <f t="shared" si="41"/>
        <v>6.75</v>
      </c>
      <c r="U46" s="93">
        <f>100-VLOOKUP(T46,'[1]Pricing '!$A$113:$K$137,11,FALSE)</f>
        <v>-2.7272590836898871</v>
      </c>
      <c r="V46" s="1036">
        <f t="shared" si="43"/>
        <v>-2.6022590836898871</v>
      </c>
      <c r="W46" s="107">
        <f t="shared" si="41"/>
        <v>7</v>
      </c>
      <c r="X46" s="93">
        <f>100-VLOOKUP(W46,'[1]Pricing '!$A$647:$K$671,11,FALSE)</f>
        <v>-3.189039820055001</v>
      </c>
      <c r="Y46" s="1036">
        <f t="shared" si="44"/>
        <v>-3.064039820055001</v>
      </c>
      <c r="Z46" s="107">
        <f t="shared" si="52"/>
        <v>7.375</v>
      </c>
      <c r="AA46" s="93">
        <f>100-VLOOKUP(Z46,'[1]Pricing '!$A$167:$K$191,11,FALSE)</f>
        <v>-2.2437664203948344</v>
      </c>
      <c r="AB46" s="1036">
        <f t="shared" si="45"/>
        <v>-2.1187664203948344</v>
      </c>
      <c r="AC46" s="107">
        <f t="shared" si="53"/>
        <v>7.5</v>
      </c>
      <c r="AD46" s="93">
        <f>100-VLOOKUP(AC46,'[1]Pricing '!$A$674:$K$698,11,FALSE)</f>
        <v>-2.6012903711710464</v>
      </c>
      <c r="AE46" s="1036">
        <f t="shared" si="46"/>
        <v>-2.4762903711710464</v>
      </c>
      <c r="AF46" s="107">
        <f t="shared" si="54"/>
        <v>7.125</v>
      </c>
      <c r="AG46" s="93">
        <f>100-VLOOKUP(AF46,'[1]Pricing '!$A$194:$K$218,11,FALSE)</f>
        <v>-2.8928149086500383</v>
      </c>
      <c r="AH46" s="1036">
        <f t="shared" si="47"/>
        <v>-2.7678149086500383</v>
      </c>
      <c r="AI46" s="107">
        <f t="shared" si="55"/>
        <v>7.125</v>
      </c>
      <c r="AJ46" s="93">
        <f>100-VLOOKUP(AI46,'[1]Pricing '!$A$701:$K$725,11,FALSE)</f>
        <v>-2.8928149086500383</v>
      </c>
      <c r="AK46" s="1036">
        <f t="shared" si="48"/>
        <v>-2.7678149086500383</v>
      </c>
    </row>
    <row r="47" spans="2:37" ht="16.5" x14ac:dyDescent="0.25">
      <c r="B47" s="1037" cm="1">
        <f t="array" ref="B47">INDEX($A$162:$DE$162,0,MATCH(B46,$A$162:$DE$162,0)-1)</f>
        <v>7.125</v>
      </c>
      <c r="C47" s="93">
        <f>100-VLOOKUP(B47,'[1]Pricing '!$A$6:$K$30,11,FALSE)</f>
        <v>-3.1056342986537686</v>
      </c>
      <c r="D47" s="93">
        <f t="shared" si="36"/>
        <v>-2.9806342986537686</v>
      </c>
      <c r="E47" s="111" cm="1">
        <f t="array" ref="E47">INDEX($A$162:$DE$162,0,MATCH(E46,$A$162:$DE$162,0)-1)</f>
        <v>7.375</v>
      </c>
      <c r="F47" s="93">
        <f>100-VLOOKUP(E47,'[1]Pricing '!$A$566:$K$590,11,FALSE)</f>
        <v>-3.7977793530222499</v>
      </c>
      <c r="G47" s="94">
        <f t="shared" si="37"/>
        <v>-3.6727793530222499</v>
      </c>
      <c r="H47" s="107">
        <f t="shared" si="49"/>
        <v>7</v>
      </c>
      <c r="I47" s="93">
        <f>100-VLOOKUP(H47,'[1]Pricing '!$A$59:$K$83,11,FALSE)</f>
        <v>-1.9244188214809839</v>
      </c>
      <c r="J47" s="1036">
        <f t="shared" si="38"/>
        <v>-1.7994188214809839</v>
      </c>
      <c r="K47" s="107">
        <f t="shared" si="50"/>
        <v>7</v>
      </c>
      <c r="L47" s="93">
        <f>100-VLOOKUP(K47,'[1]Pricing '!$A$593:$K$617,11,FALSE)</f>
        <v>-1.9244188214809839</v>
      </c>
      <c r="M47" s="1036">
        <f t="shared" si="39"/>
        <v>-1.7994188214809839</v>
      </c>
      <c r="N47" s="107">
        <f t="shared" si="51"/>
        <v>6.5</v>
      </c>
      <c r="O47" s="93">
        <f>100-VLOOKUP(N47,'[1]Pricing '!$A$86:$K$110,11,FALSE)</f>
        <v>-2.3369705107690493</v>
      </c>
      <c r="P47" s="1036">
        <f t="shared" si="40"/>
        <v>-2.2119705107690493</v>
      </c>
      <c r="Q47" s="107">
        <f t="shared" si="41"/>
        <v>6.5</v>
      </c>
      <c r="R47" s="93">
        <f>100-VLOOKUP(Q47,'[1]Pricing '!$A$620:$K$644,11,FALSE)</f>
        <v>-2.3369705107690493</v>
      </c>
      <c r="S47" s="1036">
        <f t="shared" si="42"/>
        <v>-2.2119705107690493</v>
      </c>
      <c r="T47" s="107">
        <f t="shared" si="41"/>
        <v>6.625</v>
      </c>
      <c r="U47" s="93">
        <f>100-VLOOKUP(T47,'[1]Pricing '!$A$113:$K$137,11,FALSE)</f>
        <v>-2.5101048496292577</v>
      </c>
      <c r="V47" s="1036">
        <f t="shared" si="43"/>
        <v>-2.3851048496292577</v>
      </c>
      <c r="W47" s="107">
        <f t="shared" si="41"/>
        <v>6.875</v>
      </c>
      <c r="X47" s="93">
        <f>100-VLOOKUP(W47,'[1]Pricing '!$A$647:$K$671,11,FALSE)</f>
        <v>-2.9713409363082661</v>
      </c>
      <c r="Y47" s="1036">
        <f t="shared" si="44"/>
        <v>-2.8463409363082661</v>
      </c>
      <c r="Z47" s="107">
        <f t="shared" si="52"/>
        <v>7.25</v>
      </c>
      <c r="AA47" s="93">
        <f>100-VLOOKUP(Z47,'[1]Pricing '!$A$167:$K$191,11,FALSE)</f>
        <v>-1.7710252056708242</v>
      </c>
      <c r="AB47" s="1036">
        <f t="shared" si="45"/>
        <v>-1.6460252056708242</v>
      </c>
      <c r="AC47" s="107">
        <f t="shared" si="53"/>
        <v>7.375</v>
      </c>
      <c r="AD47" s="93">
        <f>100-VLOOKUP(AC47,'[1]Pricing '!$A$674:$K$698,11,FALSE)</f>
        <v>-2.2437664203948344</v>
      </c>
      <c r="AE47" s="1036">
        <f t="shared" si="46"/>
        <v>-2.1187664203948344</v>
      </c>
      <c r="AF47" s="107">
        <f t="shared" si="54"/>
        <v>7</v>
      </c>
      <c r="AG47" s="93">
        <f>100-VLOOKUP(AF47,'[1]Pricing '!$A$194:$K$218,11,FALSE)</f>
        <v>-2.6913755671589712</v>
      </c>
      <c r="AH47" s="1036">
        <f t="shared" si="47"/>
        <v>-2.5663755671589712</v>
      </c>
      <c r="AI47" s="107">
        <f t="shared" si="55"/>
        <v>7</v>
      </c>
      <c r="AJ47" s="93">
        <f>100-VLOOKUP(AI47,'[1]Pricing '!$A$701:$K$725,11,FALSE)</f>
        <v>-2.6913755671589712</v>
      </c>
      <c r="AK47" s="1036">
        <f t="shared" si="48"/>
        <v>-2.5663755671589712</v>
      </c>
    </row>
    <row r="48" spans="2:37" ht="16.5" x14ac:dyDescent="0.25">
      <c r="B48" s="1037" cm="1">
        <f t="array" ref="B48">INDEX($A$162:$DE$162,0,MATCH(B47,$A$162:$DE$162,0)-1)</f>
        <v>7</v>
      </c>
      <c r="C48" s="93">
        <f>100-VLOOKUP(B48,'[1]Pricing '!$A$6:$K$30,11,FALSE)</f>
        <v>-2.7784188214809831</v>
      </c>
      <c r="D48" s="93">
        <f t="shared" si="36"/>
        <v>-2.6534188214809831</v>
      </c>
      <c r="E48" s="111" cm="1">
        <f t="array" ref="E48">INDEX($A$162:$DE$162,0,MATCH(E47,$A$162:$DE$162,0)-1)</f>
        <v>7.25</v>
      </c>
      <c r="F48" s="93">
        <f>100-VLOOKUP(E48,'[1]Pricing '!$A$566:$K$590,11,FALSE)</f>
        <v>-3.3192232180739296</v>
      </c>
      <c r="G48" s="94">
        <f t="shared" si="37"/>
        <v>-3.1942232180739296</v>
      </c>
      <c r="H48" s="107">
        <f t="shared" si="49"/>
        <v>6.875</v>
      </c>
      <c r="I48" s="93">
        <f>100-VLOOKUP(H48,'[1]Pricing '!$A$59:$K$83,11,FALSE)</f>
        <v>-1.6686370702999795</v>
      </c>
      <c r="J48" s="1036">
        <f t="shared" si="38"/>
        <v>-1.5436370702999795</v>
      </c>
      <c r="K48" s="107">
        <f t="shared" si="50"/>
        <v>6.875</v>
      </c>
      <c r="L48" s="93">
        <f>100-VLOOKUP(K48,'[1]Pricing '!$A$593:$K$617,11,FALSE)</f>
        <v>-1.6686370702999795</v>
      </c>
      <c r="M48" s="1036">
        <f t="shared" si="39"/>
        <v>-1.5436370702999795</v>
      </c>
      <c r="N48" s="107">
        <f t="shared" si="51"/>
        <v>6.375</v>
      </c>
      <c r="O48" s="93">
        <f>100-VLOOKUP(N48,'[1]Pricing '!$A$86:$K$110,11,FALSE)</f>
        <v>-2.0965438397576435</v>
      </c>
      <c r="P48" s="1036">
        <f t="shared" si="40"/>
        <v>-1.9715438397576435</v>
      </c>
      <c r="Q48" s="107">
        <f t="shared" si="41"/>
        <v>6.375</v>
      </c>
      <c r="R48" s="93">
        <f>100-VLOOKUP(Q48,'[1]Pricing '!$A$620:$K$644,11,FALSE)</f>
        <v>-2.0965438397576435</v>
      </c>
      <c r="S48" s="1036">
        <f t="shared" si="42"/>
        <v>-1.9715438397576435</v>
      </c>
      <c r="T48" s="107">
        <f t="shared" si="41"/>
        <v>6.5</v>
      </c>
      <c r="U48" s="93">
        <f>100-VLOOKUP(T48,'[1]Pricing '!$A$113:$K$137,11,FALSE)</f>
        <v>-2.2889705107690475</v>
      </c>
      <c r="V48" s="1036">
        <f t="shared" si="43"/>
        <v>-2.1639705107690475</v>
      </c>
      <c r="W48" s="107">
        <f t="shared" si="41"/>
        <v>6.75</v>
      </c>
      <c r="X48" s="93">
        <f>100-VLOOKUP(W48,'[1]Pricing '!$A$647:$K$671,11,FALSE)</f>
        <v>-2.7272590836898871</v>
      </c>
      <c r="Y48" s="1036">
        <f t="shared" si="44"/>
        <v>-2.6022590836898871</v>
      </c>
      <c r="Z48" s="107">
        <f t="shared" si="52"/>
        <v>7.125</v>
      </c>
      <c r="AA48" s="93">
        <f>100-VLOOKUP(Z48,'[1]Pricing '!$A$167:$K$191,11,FALSE)</f>
        <v>-2.015444981807704</v>
      </c>
      <c r="AB48" s="1036">
        <f t="shared" si="45"/>
        <v>-1.890444981807704</v>
      </c>
      <c r="AC48" s="107">
        <f t="shared" si="53"/>
        <v>7.25</v>
      </c>
      <c r="AD48" s="93">
        <f>100-VLOOKUP(AC48,'[1]Pricing '!$A$674:$K$698,11,FALSE)</f>
        <v>-1.7710252056708242</v>
      </c>
      <c r="AE48" s="1036">
        <f t="shared" si="46"/>
        <v>-1.6460252056708242</v>
      </c>
      <c r="AF48" s="107">
        <f t="shared" si="54"/>
        <v>6.875</v>
      </c>
      <c r="AG48" s="93">
        <f>100-VLOOKUP(AF48,'[1]Pricing '!$A$194:$K$218,11,FALSE)</f>
        <v>-2.1056408476187016</v>
      </c>
      <c r="AH48" s="1036">
        <f t="shared" si="47"/>
        <v>-1.9806408476187016</v>
      </c>
      <c r="AI48" s="107">
        <f t="shared" si="55"/>
        <v>6.875</v>
      </c>
      <c r="AJ48" s="93">
        <f>100-VLOOKUP(AI48,'[1]Pricing '!$A$701:$K$725,11,FALSE)</f>
        <v>-2.1056408476187016</v>
      </c>
      <c r="AK48" s="1036">
        <f t="shared" si="48"/>
        <v>-1.9806408476187016</v>
      </c>
    </row>
    <row r="49" spans="2:37" ht="16.5" x14ac:dyDescent="0.25">
      <c r="B49" s="1037" cm="1">
        <f t="array" ref="B49">INDEX($A$162:$DE$162,0,MATCH(B48,$A$162:$DE$162,0)-1)</f>
        <v>6.875</v>
      </c>
      <c r="C49" s="93">
        <f>100-VLOOKUP(B49,'[1]Pricing '!$A$6:$K$30,11,FALSE)</f>
        <v>-2.3166370702999757</v>
      </c>
      <c r="D49" s="93">
        <f t="shared" si="36"/>
        <v>-2.1916370702999757</v>
      </c>
      <c r="E49" s="111" cm="1">
        <f t="array" ref="E49">INDEX($A$162:$DE$162,0,MATCH(E48,$A$162:$DE$162,0)-1)</f>
        <v>7.125</v>
      </c>
      <c r="F49" s="93">
        <f>100-VLOOKUP(E49,'[1]Pricing '!$A$566:$K$590,11,FALSE)</f>
        <v>-3.1056342986537686</v>
      </c>
      <c r="G49" s="94">
        <f t="shared" si="37"/>
        <v>-2.9806342986537686</v>
      </c>
      <c r="H49" s="107">
        <f t="shared" si="49"/>
        <v>6.75</v>
      </c>
      <c r="I49" s="93">
        <f>100-VLOOKUP(H49,'[1]Pricing '!$A$59:$K$83,11,FALSE)</f>
        <v>-1.3690353823492671</v>
      </c>
      <c r="J49" s="1036">
        <f t="shared" si="38"/>
        <v>-1.2440353823492671</v>
      </c>
      <c r="K49" s="107">
        <f t="shared" si="50"/>
        <v>6.75</v>
      </c>
      <c r="L49" s="93">
        <f>100-VLOOKUP(K49,'[1]Pricing '!$A$593:$K$617,11,FALSE)</f>
        <v>-1.3690353823492671</v>
      </c>
      <c r="M49" s="1036">
        <f t="shared" si="39"/>
        <v>-1.2440353823492671</v>
      </c>
      <c r="N49" s="107">
        <f t="shared" si="51"/>
        <v>6.25</v>
      </c>
      <c r="O49" s="93">
        <f>100-VLOOKUP(N49,'[1]Pricing '!$A$86:$K$110,11,FALSE)</f>
        <v>-1.8050741952660445</v>
      </c>
      <c r="P49" s="1036">
        <f t="shared" si="40"/>
        <v>-1.6800741952660445</v>
      </c>
      <c r="Q49" s="107">
        <f t="shared" si="41"/>
        <v>6.25</v>
      </c>
      <c r="R49" s="93">
        <f>100-VLOOKUP(Q49,'[1]Pricing '!$A$620:$K$644,11,FALSE)</f>
        <v>-1.8050741952660445</v>
      </c>
      <c r="S49" s="1036">
        <f t="shared" si="42"/>
        <v>-1.6800741952660445</v>
      </c>
      <c r="T49" s="107">
        <f t="shared" si="41"/>
        <v>6.375</v>
      </c>
      <c r="U49" s="93">
        <f>100-VLOOKUP(T49,'[1]Pricing '!$A$113:$K$137,11,FALSE)</f>
        <v>-2.0515438397576418</v>
      </c>
      <c r="V49" s="1036">
        <f t="shared" si="43"/>
        <v>-1.9265438397576418</v>
      </c>
      <c r="W49" s="107">
        <f t="shared" si="41"/>
        <v>6.625</v>
      </c>
      <c r="X49" s="93">
        <f>100-VLOOKUP(W49,'[1]Pricing '!$A$647:$K$671,11,FALSE)</f>
        <v>-2.5101048496292577</v>
      </c>
      <c r="Y49" s="1036">
        <f t="shared" si="44"/>
        <v>-2.3851048496292577</v>
      </c>
      <c r="Z49" s="107">
        <f t="shared" si="52"/>
        <v>7</v>
      </c>
      <c r="AA49" s="93">
        <f>100-VLOOKUP(Z49,'[1]Pricing '!$A$167:$K$191,11,FALSE)</f>
        <v>-1.7028288528374986</v>
      </c>
      <c r="AB49" s="1036">
        <f t="shared" si="45"/>
        <v>-1.5778288528374986</v>
      </c>
      <c r="AC49" s="107">
        <f t="shared" si="53"/>
        <v>7.125</v>
      </c>
      <c r="AD49" s="93">
        <f>100-VLOOKUP(AC49,'[1]Pricing '!$A$674:$K$698,11,FALSE)</f>
        <v>-2.015444981807704</v>
      </c>
      <c r="AE49" s="1036">
        <f t="shared" si="46"/>
        <v>-1.890444981807704</v>
      </c>
      <c r="AF49" s="107">
        <f t="shared" si="54"/>
        <v>6.75</v>
      </c>
      <c r="AG49" s="93">
        <f>100-VLOOKUP(AF49,'[1]Pricing '!$A$194:$K$218,11,FALSE)</f>
        <v>-1.7302069048250672</v>
      </c>
      <c r="AH49" s="1036">
        <f t="shared" si="47"/>
        <v>-1.6052069048250672</v>
      </c>
      <c r="AI49" s="107">
        <f t="shared" si="55"/>
        <v>6.75</v>
      </c>
      <c r="AJ49" s="93">
        <f>100-VLOOKUP(AI49,'[1]Pricing '!$A$701:$K$725,11,FALSE)</f>
        <v>-1.7302069048250672</v>
      </c>
      <c r="AK49" s="1036">
        <f t="shared" si="48"/>
        <v>-1.6052069048250672</v>
      </c>
    </row>
    <row r="50" spans="2:37" ht="16.5" x14ac:dyDescent="0.25">
      <c r="B50" s="1037" cm="1">
        <f t="array" ref="B50">INDEX($A$162:$DE$162,0,MATCH(B49,$A$162:$DE$162,0)-1)</f>
        <v>6.75</v>
      </c>
      <c r="C50" s="93">
        <f>100-VLOOKUP(B50,'[1]Pricing '!$A$6:$K$30,11,FALSE)</f>
        <v>-1.7760353823492636</v>
      </c>
      <c r="D50" s="93">
        <f t="shared" ref="D50:D54" si="56">C50-$U$2</f>
        <v>-1.6510353823492636</v>
      </c>
      <c r="E50" s="111" cm="1">
        <f t="array" ref="E50">INDEX($A$162:$DE$162,0,MATCH(E49,$A$162:$DE$162,0)-1)</f>
        <v>7</v>
      </c>
      <c r="F50" s="93">
        <f>100-VLOOKUP(E50,'[1]Pricing '!$A$566:$K$590,11,FALSE)</f>
        <v>-2.7784188214809831</v>
      </c>
      <c r="G50" s="94">
        <f t="shared" ref="G50:G54" si="57">F50-$U$2</f>
        <v>-2.6534188214809831</v>
      </c>
      <c r="H50" s="107">
        <f t="shared" si="49"/>
        <v>6.625</v>
      </c>
      <c r="I50" s="93">
        <f>100-VLOOKUP(H50,'[1]Pricing '!$A$59:$K$83,11,FALSE)</f>
        <v>-1.3031419487640932</v>
      </c>
      <c r="J50" s="1036">
        <f t="shared" ref="J50:J54" si="58">I50-$U$2</f>
        <v>-1.1781419487640932</v>
      </c>
      <c r="K50" s="107">
        <f t="shared" si="50"/>
        <v>6.625</v>
      </c>
      <c r="L50" s="93">
        <f>100-VLOOKUP(K50,'[1]Pricing '!$A$593:$K$617,11,FALSE)</f>
        <v>-1.3031419487640932</v>
      </c>
      <c r="M50" s="1036">
        <f t="shared" ref="M50:M54" si="59">L50-$U$2</f>
        <v>-1.1781419487640932</v>
      </c>
      <c r="N50" s="107">
        <f t="shared" si="51"/>
        <v>6.125</v>
      </c>
      <c r="O50" s="93">
        <f>100-VLOOKUP(N50,'[1]Pricing '!$A$86:$K$110,11,FALSE)</f>
        <v>-1.469931596937883</v>
      </c>
      <c r="P50" s="1036">
        <f t="shared" ref="P50:P54" si="60">O50-$U$2</f>
        <v>-1.344931596937883</v>
      </c>
      <c r="Q50" s="107">
        <f t="shared" ref="Q50" si="61">Q49-0.125</f>
        <v>6.125</v>
      </c>
      <c r="R50" s="93">
        <f>100-VLOOKUP(Q50,'[1]Pricing '!$A$620:$K$644,11,FALSE)</f>
        <v>-1.469931596937883</v>
      </c>
      <c r="S50" s="1036">
        <f t="shared" ref="S50:S54" si="62">R50-$U$2</f>
        <v>-1.344931596937883</v>
      </c>
      <c r="T50" s="107">
        <f t="shared" ref="T50" si="63">T49-0.125</f>
        <v>6.25</v>
      </c>
      <c r="U50" s="93">
        <f>100-VLOOKUP(T50,'[1]Pricing '!$A$113:$K$137,11,FALSE)</f>
        <v>-1.7630741952660429</v>
      </c>
      <c r="V50" s="1036">
        <f t="shared" ref="V50:V54" si="64">U50-$U$2</f>
        <v>-1.6380741952660429</v>
      </c>
      <c r="W50" s="107">
        <f t="shared" ref="W50" si="65">W49-0.125</f>
        <v>6.5</v>
      </c>
      <c r="X50" s="93">
        <f>100-VLOOKUP(W50,'[1]Pricing '!$A$647:$K$671,11,FALSE)</f>
        <v>-2.2889705107690475</v>
      </c>
      <c r="Y50" s="1036">
        <f t="shared" ref="Y50:Y54" si="66">X50-$U$2</f>
        <v>-2.1639705107690475</v>
      </c>
      <c r="Z50" s="107">
        <f t="shared" si="52"/>
        <v>6.875</v>
      </c>
      <c r="AA50" s="93">
        <f>100-VLOOKUP(Z50,'[1]Pricing '!$A$167:$K$191,11,FALSE)</f>
        <v>-1.5037034985663382</v>
      </c>
      <c r="AB50" s="1036">
        <f t="shared" ref="AB50:AB54" si="67">AA50-$U$2</f>
        <v>-1.3787034985663382</v>
      </c>
      <c r="AC50" s="107">
        <f t="shared" si="53"/>
        <v>7</v>
      </c>
      <c r="AD50" s="93">
        <f>100-VLOOKUP(AC50,'[1]Pricing '!$A$674:$K$698,11,FALSE)</f>
        <v>-1.7028288528374986</v>
      </c>
      <c r="AE50" s="1036">
        <f t="shared" ref="AE50:AE54" si="68">AD50-$U$2</f>
        <v>-1.5778288528374986</v>
      </c>
      <c r="AF50" s="107">
        <f t="shared" si="54"/>
        <v>6.625</v>
      </c>
      <c r="AG50" s="93">
        <f>100-VLOOKUP(AF50,'[1]Pricing '!$A$194:$K$218,11,FALSE)</f>
        <v>-1.6011123794293525</v>
      </c>
      <c r="AH50" s="1036">
        <f t="shared" ref="AH50:AH54" si="69">AG50-$U$2</f>
        <v>-1.4761123794293525</v>
      </c>
      <c r="AI50" s="107">
        <f t="shared" si="55"/>
        <v>6.625</v>
      </c>
      <c r="AJ50" s="93">
        <f>100-VLOOKUP(AI50,'[1]Pricing '!$A$701:$K$725,11,FALSE)</f>
        <v>-1.6011123794293525</v>
      </c>
      <c r="AK50" s="1036">
        <f t="shared" ref="AK50:AK54" si="70">AJ50-$U$2</f>
        <v>-1.4761123794293525</v>
      </c>
    </row>
    <row r="51" spans="2:37" ht="16.5" x14ac:dyDescent="0.25">
      <c r="B51" s="1037" cm="1">
        <f t="array" ref="B51">INDEX($A$162:$DE$162,0,MATCH(B50,$A$162:$DE$162,0)-1)</f>
        <v>6.625</v>
      </c>
      <c r="C51" s="93">
        <f>100-VLOOKUP(B51,'[1]Pricing '!$A$6:$K$30,11,FALSE)</f>
        <v>-1.6001419487640902</v>
      </c>
      <c r="D51" s="93">
        <f t="shared" si="56"/>
        <v>-1.4751419487640902</v>
      </c>
      <c r="E51" s="111" cm="1">
        <f t="array" ref="E51">INDEX($A$162:$DE$162,0,MATCH(E50,$A$162:$DE$162,0)-1)</f>
        <v>6.875</v>
      </c>
      <c r="F51" s="93">
        <f>100-VLOOKUP(E51,'[1]Pricing '!$A$566:$K$590,11,FALSE)</f>
        <v>-2.3166370702999757</v>
      </c>
      <c r="G51" s="94">
        <f t="shared" si="57"/>
        <v>-2.1916370702999757</v>
      </c>
      <c r="H51" s="107">
        <f t="shared" si="49"/>
        <v>6.5</v>
      </c>
      <c r="I51" s="93">
        <f>100-VLOOKUP(H51,'[1]Pricing '!$A$59:$K$83,11,FALSE)</f>
        <v>-0.97955797259342603</v>
      </c>
      <c r="J51" s="1036">
        <f t="shared" si="58"/>
        <v>-0.85455797259342603</v>
      </c>
      <c r="K51" s="107">
        <f t="shared" si="50"/>
        <v>6.5</v>
      </c>
      <c r="L51" s="93">
        <f>100-VLOOKUP(K51,'[1]Pricing '!$A$593:$K$617,11,FALSE)</f>
        <v>-0.97955797259342603</v>
      </c>
      <c r="M51" s="1036">
        <f t="shared" si="59"/>
        <v>-0.85455797259342603</v>
      </c>
      <c r="N51" s="107">
        <f t="shared" si="51"/>
        <v>6</v>
      </c>
      <c r="O51" s="93">
        <f>100-VLOOKUP(N51,'[1]Pricing '!$A$86:$K$110,11,FALSE)</f>
        <v>-1.2045453709175007</v>
      </c>
      <c r="P51" s="1036">
        <f t="shared" si="60"/>
        <v>-1.0795453709175007</v>
      </c>
      <c r="Q51" s="107">
        <f t="shared" ref="Q51" si="71">Q50-0.125</f>
        <v>6</v>
      </c>
      <c r="R51" s="93">
        <f>100-VLOOKUP(Q51,'[1]Pricing '!$A$620:$K$644,11,FALSE)</f>
        <v>-1.2045453709175007</v>
      </c>
      <c r="S51" s="1036">
        <f t="shared" si="62"/>
        <v>-1.0795453709175007</v>
      </c>
      <c r="T51" s="107">
        <f t="shared" ref="T51" si="72">T50-0.125</f>
        <v>6.125</v>
      </c>
      <c r="U51" s="93">
        <f>100-VLOOKUP(T51,'[1]Pricing '!$A$113:$K$137,11,FALSE)</f>
        <v>-1.4469315969378869</v>
      </c>
      <c r="V51" s="1036">
        <f t="shared" si="64"/>
        <v>-1.3219315969378869</v>
      </c>
      <c r="W51" s="107">
        <f t="shared" ref="W51" si="73">W50-0.125</f>
        <v>6.375</v>
      </c>
      <c r="X51" s="93">
        <f>100-VLOOKUP(W51,'[1]Pricing '!$A$647:$K$671,11,FALSE)</f>
        <v>-2.0515438397576418</v>
      </c>
      <c r="Y51" s="1036">
        <f t="shared" si="66"/>
        <v>-1.9265438397576418</v>
      </c>
      <c r="Z51" s="107">
        <f t="shared" si="52"/>
        <v>6.75</v>
      </c>
      <c r="AA51" s="93">
        <f>100-VLOOKUP(Z51,'[1]Pricing '!$A$167:$K$191,11,FALSE)</f>
        <v>-0.95061475358292569</v>
      </c>
      <c r="AB51" s="1036">
        <f t="shared" si="67"/>
        <v>-0.82561475358292569</v>
      </c>
      <c r="AC51" s="107">
        <f t="shared" si="53"/>
        <v>6.875</v>
      </c>
      <c r="AD51" s="93">
        <f>100-VLOOKUP(AC51,'[1]Pricing '!$A$674:$K$698,11,FALSE)</f>
        <v>-1.5037034985663382</v>
      </c>
      <c r="AE51" s="1036">
        <f t="shared" si="68"/>
        <v>-1.3787034985663382</v>
      </c>
      <c r="AF51" s="107">
        <f t="shared" si="54"/>
        <v>6.5</v>
      </c>
      <c r="AG51" s="93">
        <f>100-VLOOKUP(AF51,'[1]Pricing '!$A$194:$K$218,11,FALSE)</f>
        <v>-1.3821443175241228</v>
      </c>
      <c r="AH51" s="1036">
        <f t="shared" si="69"/>
        <v>-1.2571443175241228</v>
      </c>
      <c r="AI51" s="107">
        <f t="shared" si="55"/>
        <v>6.5</v>
      </c>
      <c r="AJ51" s="93">
        <f>100-VLOOKUP(AI51,'[1]Pricing '!$A$701:$K$725,11,FALSE)</f>
        <v>-1.3821443175241228</v>
      </c>
      <c r="AK51" s="1036">
        <f t="shared" si="70"/>
        <v>-1.2571443175241228</v>
      </c>
    </row>
    <row r="52" spans="2:37" ht="16.5" x14ac:dyDescent="0.25">
      <c r="B52" s="1037" cm="1">
        <f t="array" ref="B52">INDEX($A$162:$DE$162,0,MATCH(B51,$A$162:$DE$162,0)-1)</f>
        <v>6.5</v>
      </c>
      <c r="C52" s="93">
        <f>100-VLOOKUP(B52,'[1]Pricing '!$A$6:$K$30,11,FALSE)</f>
        <v>-1.2285579725934213</v>
      </c>
      <c r="D52" s="93">
        <f t="shared" si="56"/>
        <v>-1.1035579725934213</v>
      </c>
      <c r="E52" s="111" cm="1">
        <f t="array" ref="E52">INDEX($A$162:$DE$162,0,MATCH(E51,$A$162:$DE$162,0)-1)</f>
        <v>6.75</v>
      </c>
      <c r="F52" s="93">
        <f>100-VLOOKUP(E52,'[1]Pricing '!$A$566:$K$590,11,FALSE)</f>
        <v>-1.7760353823492636</v>
      </c>
      <c r="G52" s="94">
        <f t="shared" si="57"/>
        <v>-1.6510353823492636</v>
      </c>
      <c r="H52" s="107">
        <f t="shared" si="49"/>
        <v>6.375</v>
      </c>
      <c r="I52" s="93">
        <f>100-VLOOKUP(H52,'[1]Pricing '!$A$59:$K$83,11,FALSE)</f>
        <v>-0.61457310891402983</v>
      </c>
      <c r="J52" s="1036">
        <f t="shared" si="58"/>
        <v>-0.48957310891402983</v>
      </c>
      <c r="K52" s="107">
        <f t="shared" si="50"/>
        <v>6.375</v>
      </c>
      <c r="L52" s="93">
        <f>100-VLOOKUP(K52,'[1]Pricing '!$A$593:$K$617,11,FALSE)</f>
        <v>-0.61457310891402983</v>
      </c>
      <c r="M52" s="1036">
        <f t="shared" si="59"/>
        <v>-0.48957310891402983</v>
      </c>
      <c r="N52" s="107">
        <f t="shared" si="51"/>
        <v>5.875</v>
      </c>
      <c r="O52" s="93">
        <f>100-VLOOKUP(N52,'[1]Pricing '!$A$86:$K$110,11,FALSE)</f>
        <v>-0.93241864753889558</v>
      </c>
      <c r="P52" s="1036">
        <f t="shared" si="60"/>
        <v>-0.80741864753889558</v>
      </c>
      <c r="Q52" s="107">
        <f t="shared" ref="Q52" si="74">Q51-0.125</f>
        <v>5.875</v>
      </c>
      <c r="R52" s="93">
        <f>100-VLOOKUP(Q52,'[1]Pricing '!$A$620:$K$644,11,FALSE)</f>
        <v>-0.93241864753889558</v>
      </c>
      <c r="S52" s="1036">
        <f t="shared" si="62"/>
        <v>-0.80741864753889558</v>
      </c>
      <c r="T52" s="107">
        <f t="shared" ref="T52" si="75">T51-0.125</f>
        <v>6</v>
      </c>
      <c r="U52" s="93">
        <f>100-VLOOKUP(T52,'[1]Pricing '!$A$113:$K$137,11,FALSE)</f>
        <v>-1.1825453709175093</v>
      </c>
      <c r="V52" s="1036">
        <f t="shared" si="64"/>
        <v>-1.0575453709175093</v>
      </c>
      <c r="W52" s="107">
        <f t="shared" ref="W52" si="76">W51-0.125</f>
        <v>6.25</v>
      </c>
      <c r="X52" s="93">
        <f>100-VLOOKUP(W52,'[1]Pricing '!$A$647:$K$671,11,FALSE)</f>
        <v>-1.7630741952660429</v>
      </c>
      <c r="Y52" s="1036">
        <f t="shared" si="66"/>
        <v>-1.6380741952660429</v>
      </c>
      <c r="Z52" s="107">
        <f t="shared" si="52"/>
        <v>6.625</v>
      </c>
      <c r="AA52" s="93">
        <f>100-VLOOKUP(Z52,'[1]Pricing '!$A$167:$K$191,11,FALSE)</f>
        <v>-0.9632554271703242</v>
      </c>
      <c r="AB52" s="1036">
        <f t="shared" si="67"/>
        <v>-0.8382554271703242</v>
      </c>
      <c r="AC52" s="107">
        <f t="shared" si="53"/>
        <v>6.75</v>
      </c>
      <c r="AD52" s="93">
        <f>100-VLOOKUP(AC52,'[1]Pricing '!$A$674:$K$698,11,FALSE)</f>
        <v>-0.95061475358292569</v>
      </c>
      <c r="AE52" s="1036">
        <f t="shared" si="68"/>
        <v>-0.82561475358292569</v>
      </c>
      <c r="AF52" s="107">
        <f t="shared" si="54"/>
        <v>6.375</v>
      </c>
      <c r="AG52" s="93">
        <f>100-VLOOKUP(AF52,'[1]Pricing '!$A$194:$K$218,11,FALSE)</f>
        <v>-1.1276478368618825</v>
      </c>
      <c r="AH52" s="1036">
        <f t="shared" si="69"/>
        <v>-1.0026478368618825</v>
      </c>
      <c r="AI52" s="107">
        <f t="shared" si="55"/>
        <v>6.375</v>
      </c>
      <c r="AJ52" s="93">
        <f>100-VLOOKUP(AI52,'[1]Pricing '!$A$701:$K$725,11,FALSE)</f>
        <v>-1.1276478368618825</v>
      </c>
      <c r="AK52" s="1036">
        <f t="shared" si="70"/>
        <v>-1.0026478368618825</v>
      </c>
    </row>
    <row r="53" spans="2:37" ht="16.5" x14ac:dyDescent="0.25">
      <c r="B53" s="1037" cm="1">
        <f t="array" ref="B53">INDEX($A$162:$DE$162,0,MATCH(B52,$A$162:$DE$162,0)-1)</f>
        <v>6.375</v>
      </c>
      <c r="C53" s="93">
        <f>100-VLOOKUP(B53,'[1]Pricing '!$A$6:$K$30,11,FALSE)</f>
        <v>-0.8965731089140121</v>
      </c>
      <c r="D53" s="93">
        <f t="shared" si="56"/>
        <v>-0.7715731089140121</v>
      </c>
      <c r="E53" s="111" cm="1">
        <f t="array" ref="E53">INDEX($A$162:$DE$162,0,MATCH(E52,$A$162:$DE$162,0)-1)</f>
        <v>6.625</v>
      </c>
      <c r="F53" s="93">
        <f>100-VLOOKUP(E53,'[1]Pricing '!$A$566:$K$590,11,FALSE)</f>
        <v>-1.6001419487640902</v>
      </c>
      <c r="G53" s="94">
        <f t="shared" si="57"/>
        <v>-1.4751419487640902</v>
      </c>
      <c r="H53" s="107">
        <f t="shared" si="49"/>
        <v>6.25</v>
      </c>
      <c r="I53" s="93">
        <f>100-VLOOKUP(H53,'[1]Pricing '!$A$59:$K$83,11,FALSE)</f>
        <v>-0.21893415441047637</v>
      </c>
      <c r="J53" s="1036">
        <f t="shared" si="58"/>
        <v>-9.3934154410476367E-2</v>
      </c>
      <c r="K53" s="107">
        <f t="shared" si="50"/>
        <v>6.25</v>
      </c>
      <c r="L53" s="93">
        <f>100-VLOOKUP(K53,'[1]Pricing '!$A$593:$K$617,11,FALSE)</f>
        <v>-0.21893415441047637</v>
      </c>
      <c r="M53" s="1036">
        <f t="shared" si="59"/>
        <v>-9.3934154410476367E-2</v>
      </c>
      <c r="N53" s="107">
        <f t="shared" si="51"/>
        <v>5.75</v>
      </c>
      <c r="O53" s="93">
        <f>100-VLOOKUP(N53,'[1]Pricing '!$A$86:$K$110,11,FALSE)</f>
        <v>-0.52905740022148962</v>
      </c>
      <c r="P53" s="1036">
        <f t="shared" si="60"/>
        <v>-0.40405740022148962</v>
      </c>
      <c r="Q53" s="107">
        <f t="shared" ref="Q53" si="77">Q52-0.125</f>
        <v>5.75</v>
      </c>
      <c r="R53" s="93">
        <f>100-VLOOKUP(Q53,'[1]Pricing '!$A$620:$K$644,11,FALSE)</f>
        <v>-0.52905740022148962</v>
      </c>
      <c r="S53" s="1036">
        <f t="shared" si="62"/>
        <v>-0.40405740022148962</v>
      </c>
      <c r="T53" s="107">
        <f t="shared" ref="T53" si="78">T52-0.125</f>
        <v>5.875</v>
      </c>
      <c r="U53" s="93">
        <f>100-VLOOKUP(T53,'[1]Pricing '!$A$113:$K$137,11,FALSE)</f>
        <v>-0.9144186475388949</v>
      </c>
      <c r="V53" s="1036">
        <f t="shared" si="64"/>
        <v>-0.7894186475388949</v>
      </c>
      <c r="W53" s="107">
        <f t="shared" ref="W53" si="79">W52-0.125</f>
        <v>6.125</v>
      </c>
      <c r="X53" s="93">
        <f>100-VLOOKUP(W53,'[1]Pricing '!$A$647:$K$671,11,FALSE)</f>
        <v>-1.4469315969378869</v>
      </c>
      <c r="Y53" s="1036">
        <f t="shared" si="66"/>
        <v>-1.3219315969378869</v>
      </c>
      <c r="Z53" s="107">
        <f t="shared" si="52"/>
        <v>6.5</v>
      </c>
      <c r="AA53" s="93">
        <f>100-VLOOKUP(Z53,'[1]Pricing '!$A$167:$K$191,11,FALSE)</f>
        <v>-0.69611536640886129</v>
      </c>
      <c r="AB53" s="1036">
        <f t="shared" si="67"/>
        <v>-0.57111536640886129</v>
      </c>
      <c r="AC53" s="107">
        <f t="shared" si="53"/>
        <v>6.625</v>
      </c>
      <c r="AD53" s="93">
        <f>100-VLOOKUP(AC53,'[1]Pricing '!$A$674:$K$698,11,FALSE)</f>
        <v>-0.9632554271703242</v>
      </c>
      <c r="AE53" s="1036">
        <f t="shared" si="68"/>
        <v>-0.8382554271703242</v>
      </c>
      <c r="AF53" s="107">
        <f t="shared" si="54"/>
        <v>6.25</v>
      </c>
      <c r="AG53" s="93">
        <f>100-VLOOKUP(AF53,'[1]Pricing '!$A$194:$K$218,11,FALSE)</f>
        <v>-0.75800342732240722</v>
      </c>
      <c r="AH53" s="1036">
        <f t="shared" si="69"/>
        <v>-0.63300342732240722</v>
      </c>
      <c r="AI53" s="107">
        <f t="shared" si="55"/>
        <v>6.25</v>
      </c>
      <c r="AJ53" s="93">
        <f>100-VLOOKUP(AI53,'[1]Pricing '!$A$701:$K$725,11,FALSE)</f>
        <v>-0.75800342732240722</v>
      </c>
      <c r="AK53" s="1036">
        <f t="shared" si="70"/>
        <v>-0.63300342732240722</v>
      </c>
    </row>
    <row r="54" spans="2:37" ht="16.5" x14ac:dyDescent="0.25">
      <c r="B54" s="1037" cm="1">
        <f t="array" ref="B54">INDEX($A$162:$DE$162,0,MATCH(B53,$A$162:$DE$162,0)-1)</f>
        <v>6.25</v>
      </c>
      <c r="C54" s="93">
        <f>100-VLOOKUP(B54,'[1]Pricing '!$A$6:$K$30,11,FALSE)</f>
        <v>-0.44793415441047557</v>
      </c>
      <c r="D54" s="93">
        <f t="shared" si="56"/>
        <v>-0.32293415441047557</v>
      </c>
      <c r="E54" s="111" cm="1">
        <f t="array" ref="E54">INDEX($A$162:$DE$162,0,MATCH(E53,$A$162:$DE$162,0)-1)</f>
        <v>6.5</v>
      </c>
      <c r="F54" s="93">
        <f>100-VLOOKUP(E54,'[1]Pricing '!$A$566:$K$590,11,FALSE)</f>
        <v>-1.2285579725934213</v>
      </c>
      <c r="G54" s="94">
        <f t="shared" si="57"/>
        <v>-1.1035579725934213</v>
      </c>
      <c r="H54" s="107">
        <f t="shared" si="49"/>
        <v>6.125</v>
      </c>
      <c r="I54" s="93">
        <f>100-VLOOKUP(H54,'[1]Pricing '!$A$59:$K$83,11,FALSE)</f>
        <v>-0.16546193826462741</v>
      </c>
      <c r="J54" s="1036">
        <f t="shared" si="58"/>
        <v>-4.0461938264627406E-2</v>
      </c>
      <c r="K54" s="107">
        <f t="shared" si="50"/>
        <v>6.125</v>
      </c>
      <c r="L54" s="93">
        <f>100-VLOOKUP(K54,'[1]Pricing '!$A$593:$K$617,11,FALSE)</f>
        <v>-0.16546193826462741</v>
      </c>
      <c r="M54" s="1036">
        <f t="shared" si="59"/>
        <v>-4.0461938264627406E-2</v>
      </c>
      <c r="N54" s="107">
        <f t="shared" si="51"/>
        <v>5.625</v>
      </c>
      <c r="O54" s="93">
        <f>100-VLOOKUP(N54,'[1]Pricing '!$A$86:$K$110,11,FALSE)</f>
        <v>-0.19157641302291495</v>
      </c>
      <c r="P54" s="1036">
        <f t="shared" si="60"/>
        <v>-6.6576413022914949E-2</v>
      </c>
      <c r="Q54" s="107">
        <f t="shared" ref="Q54" si="80">Q53-0.125</f>
        <v>5.625</v>
      </c>
      <c r="R54" s="93">
        <f>100-VLOOKUP(Q54,'[1]Pricing '!$A$620:$K$644,11,FALSE)</f>
        <v>-0.19157641302291495</v>
      </c>
      <c r="S54" s="1036">
        <f t="shared" si="62"/>
        <v>-6.6576413022914949E-2</v>
      </c>
      <c r="T54" s="107">
        <f t="shared" ref="T54" si="81">T53-0.125</f>
        <v>5.75</v>
      </c>
      <c r="U54" s="93">
        <f>100-VLOOKUP(T54,'[1]Pricing '!$A$113:$K$137,11,FALSE)</f>
        <v>-0.51305740022148427</v>
      </c>
      <c r="V54" s="1036">
        <f t="shared" si="64"/>
        <v>-0.38805740022148427</v>
      </c>
      <c r="W54" s="107">
        <f t="shared" ref="W54" si="82">W53-0.125</f>
        <v>6</v>
      </c>
      <c r="X54" s="93">
        <f>100-VLOOKUP(W54,'[1]Pricing '!$A$647:$K$671,11,FALSE)</f>
        <v>-1.1825453709175093</v>
      </c>
      <c r="Y54" s="1036">
        <f t="shared" si="66"/>
        <v>-1.0575453709175093</v>
      </c>
      <c r="Z54" s="107">
        <f t="shared" si="52"/>
        <v>6.375</v>
      </c>
      <c r="AA54" s="93">
        <f>100-VLOOKUP(Z54,'[1]Pricing '!$A$167:$K$191,11,FALSE)</f>
        <v>-0.44264573367681237</v>
      </c>
      <c r="AB54" s="1036">
        <f t="shared" si="67"/>
        <v>-0.31764573367681237</v>
      </c>
      <c r="AC54" s="107">
        <f t="shared" si="53"/>
        <v>6.5</v>
      </c>
      <c r="AD54" s="93">
        <f>100-VLOOKUP(AC54,'[1]Pricing '!$A$674:$K$698,11,FALSE)</f>
        <v>-0.69611536640886129</v>
      </c>
      <c r="AE54" s="1036">
        <f t="shared" si="68"/>
        <v>-0.57111536640886129</v>
      </c>
      <c r="AF54" s="107">
        <f t="shared" si="54"/>
        <v>6.125</v>
      </c>
      <c r="AG54" s="93">
        <f>100-VLOOKUP(AF54,'[1]Pricing '!$A$194:$K$218,11,FALSE)</f>
        <v>-0.49630594786228244</v>
      </c>
      <c r="AH54" s="1036">
        <f t="shared" si="69"/>
        <v>-0.37130594786228244</v>
      </c>
      <c r="AI54" s="107">
        <f t="shared" si="55"/>
        <v>6.125</v>
      </c>
      <c r="AJ54" s="93">
        <f>100-VLOOKUP(AI54,'[1]Pricing '!$A$701:$K$725,11,FALSE)</f>
        <v>-0.49630594786228244</v>
      </c>
      <c r="AK54" s="1036">
        <f t="shared" si="70"/>
        <v>-0.37130594786228244</v>
      </c>
    </row>
    <row r="55" spans="2:37" ht="16.5" x14ac:dyDescent="0.25">
      <c r="B55" s="1037" cm="1">
        <f t="array" ref="B55">INDEX($A$162:$DE$162,0,MATCH(B54,$A$162:$DE$162,0)-1)</f>
        <v>6.125</v>
      </c>
      <c r="C55" s="93">
        <f>100-VLOOKUP(B55,'[1]Pricing '!$A$6:$K$30,11,FALSE)</f>
        <v>-8.4619382646167196E-3</v>
      </c>
      <c r="D55" s="93">
        <f t="shared" si="36"/>
        <v>0.11653806173538328</v>
      </c>
      <c r="E55" s="111" cm="1">
        <f t="array" ref="E55">INDEX($A$162:$DE$162,0,MATCH(E54,$A$162:$DE$162,0)-1)</f>
        <v>6.375</v>
      </c>
      <c r="F55" s="93">
        <f>100-VLOOKUP(E55,'[1]Pricing '!$A$566:$K$590,11,FALSE)</f>
        <v>-0.8965731089140121</v>
      </c>
      <c r="G55" s="94">
        <f t="shared" si="37"/>
        <v>-0.7715731089140121</v>
      </c>
      <c r="H55" s="107">
        <f t="shared" si="49"/>
        <v>6</v>
      </c>
      <c r="I55" s="93">
        <f>100-VLOOKUP(H55,'[1]Pricing '!$A$59:$K$83,11,FALSE)</f>
        <v>0.27089670071487149</v>
      </c>
      <c r="J55" s="1036">
        <f t="shared" si="38"/>
        <v>0.39589670071487149</v>
      </c>
      <c r="K55" s="107">
        <f t="shared" si="50"/>
        <v>6</v>
      </c>
      <c r="L55" s="93">
        <f>100-VLOOKUP(K55,'[1]Pricing '!$A$593:$K$617,11,FALSE)</f>
        <v>0.27089670071487149</v>
      </c>
      <c r="M55" s="1036">
        <f t="shared" si="39"/>
        <v>0.39589670071487149</v>
      </c>
      <c r="N55" s="107">
        <f t="shared" si="51"/>
        <v>5.5</v>
      </c>
      <c r="O55" s="93">
        <f>100-VLOOKUP(N55,'[1]Pricing '!$A$86:$K$110,11,FALSE)</f>
        <v>0.13124288119375649</v>
      </c>
      <c r="P55" s="1036">
        <f t="shared" si="40"/>
        <v>0.25624288119375649</v>
      </c>
      <c r="Q55" s="107">
        <f t="shared" si="41"/>
        <v>5.5</v>
      </c>
      <c r="R55" s="93">
        <f>100-VLOOKUP(Q55,'[1]Pricing '!$A$620:$K$644,11,FALSE)</f>
        <v>0.13124288119375649</v>
      </c>
      <c r="S55" s="1036">
        <f t="shared" si="42"/>
        <v>0.25624288119375649</v>
      </c>
      <c r="T55" s="107">
        <f t="shared" si="41"/>
        <v>5.625</v>
      </c>
      <c r="U55" s="93">
        <f>100-VLOOKUP(T55,'[1]Pricing '!$A$113:$K$137,11,FALSE)</f>
        <v>-0.19057641302292438</v>
      </c>
      <c r="V55" s="1036">
        <f t="shared" si="43"/>
        <v>-6.5576413022924385E-2</v>
      </c>
      <c r="W55" s="107">
        <f t="shared" si="41"/>
        <v>5.875</v>
      </c>
      <c r="X55" s="93">
        <f>100-VLOOKUP(W55,'[1]Pricing '!$A$647:$K$671,11,FALSE)</f>
        <v>-0.9144186475388949</v>
      </c>
      <c r="Y55" s="1036">
        <f t="shared" si="44"/>
        <v>-0.7894186475388949</v>
      </c>
      <c r="Z55" s="107">
        <f t="shared" si="52"/>
        <v>6.25</v>
      </c>
      <c r="AA55" s="93">
        <f>100-VLOOKUP(Z55,'[1]Pricing '!$A$167:$K$191,11,FALSE)</f>
        <v>-5.2398303045976036E-2</v>
      </c>
      <c r="AB55" s="1036">
        <f t="shared" si="45"/>
        <v>7.2601696954023964E-2</v>
      </c>
      <c r="AC55" s="107">
        <f t="shared" si="53"/>
        <v>6.375</v>
      </c>
      <c r="AD55" s="93">
        <f>100-VLOOKUP(AC55,'[1]Pricing '!$A$674:$K$698,11,FALSE)</f>
        <v>-0.44264573367681237</v>
      </c>
      <c r="AE55" s="1036">
        <f t="shared" si="46"/>
        <v>-0.31764573367681237</v>
      </c>
      <c r="AF55" s="107">
        <f t="shared" si="54"/>
        <v>6</v>
      </c>
      <c r="AG55" s="93">
        <f>100-VLOOKUP(AF55,'[1]Pricing '!$A$194:$K$218,11,FALSE)</f>
        <v>-0.17586101853201797</v>
      </c>
      <c r="AH55" s="1036">
        <f t="shared" si="47"/>
        <v>-5.0861018532017965E-2</v>
      </c>
      <c r="AI55" s="107">
        <f t="shared" si="55"/>
        <v>6</v>
      </c>
      <c r="AJ55" s="93">
        <f>100-VLOOKUP(AI55,'[1]Pricing '!$A$701:$K$725,11,FALSE)</f>
        <v>-0.17586101853201797</v>
      </c>
      <c r="AK55" s="1036">
        <f t="shared" si="48"/>
        <v>-5.0861018532017965E-2</v>
      </c>
    </row>
    <row r="56" spans="2:37" ht="16.5" x14ac:dyDescent="0.25">
      <c r="B56" s="1037" cm="1">
        <f t="array" ref="B56">INDEX($A$162:$DE$162,0,MATCH(B55,$A$162:$DE$162,0)-1)</f>
        <v>6</v>
      </c>
      <c r="C56" s="93">
        <f>100-VLOOKUP(B56,'[1]Pricing '!$A$6:$K$30,11,FALSE)</f>
        <v>0.5448967007148724</v>
      </c>
      <c r="D56" s="93">
        <f t="shared" si="36"/>
        <v>0.6698967007148724</v>
      </c>
      <c r="E56" s="111" cm="1">
        <f t="array" ref="E56">INDEX($A$162:$DE$162,0,MATCH(E55,$A$162:$DE$162,0)-1)</f>
        <v>6.25</v>
      </c>
      <c r="F56" s="93">
        <f>100-VLOOKUP(E56,'[1]Pricing '!$A$566:$K$590,11,FALSE)</f>
        <v>-0.44793415441047557</v>
      </c>
      <c r="G56" s="94">
        <f t="shared" si="37"/>
        <v>-0.32293415441047557</v>
      </c>
      <c r="H56" s="107">
        <f t="shared" si="49"/>
        <v>5.875</v>
      </c>
      <c r="I56" s="93">
        <f>100-VLOOKUP(H56,'[1]Pricing '!$A$59:$K$83,11,FALSE)</f>
        <v>0.7037457170352468</v>
      </c>
      <c r="J56" s="1036">
        <f t="shared" si="38"/>
        <v>0.8287457170352468</v>
      </c>
      <c r="K56" s="107">
        <f t="shared" si="50"/>
        <v>5.875</v>
      </c>
      <c r="L56" s="93">
        <f>100-VLOOKUP(K56,'[1]Pricing '!$A$593:$K$617,11,FALSE)</f>
        <v>0.7037457170352468</v>
      </c>
      <c r="M56" s="1036">
        <f t="shared" si="39"/>
        <v>0.8287457170352468</v>
      </c>
      <c r="N56" s="107">
        <f t="shared" si="51"/>
        <v>5.375</v>
      </c>
      <c r="O56" s="93">
        <f>100-VLOOKUP(N56,'[1]Pricing '!$A$86:$K$110,11,FALSE)</f>
        <v>0.4801796913834977</v>
      </c>
      <c r="P56" s="1036">
        <f t="shared" si="40"/>
        <v>0.6051796913834977</v>
      </c>
      <c r="Q56" s="107">
        <f t="shared" si="41"/>
        <v>5.375</v>
      </c>
      <c r="R56" s="93">
        <f>100-VLOOKUP(Q56,'[1]Pricing '!$A$620:$K$644,11,FALSE)</f>
        <v>0.4801796913834977</v>
      </c>
      <c r="S56" s="1036">
        <f t="shared" si="42"/>
        <v>0.6051796913834977</v>
      </c>
      <c r="T56" s="107">
        <f t="shared" si="41"/>
        <v>5.5</v>
      </c>
      <c r="U56" s="93">
        <f>100-VLOOKUP(T56,'[1]Pricing '!$A$113:$K$137,11,FALSE)</f>
        <v>-0.47275711880624272</v>
      </c>
      <c r="V56" s="1036">
        <f t="shared" si="43"/>
        <v>-0.34775711880624272</v>
      </c>
      <c r="W56" s="107">
        <f t="shared" si="41"/>
        <v>5.75</v>
      </c>
      <c r="X56" s="93">
        <f>100-VLOOKUP(W56,'[1]Pricing '!$A$647:$K$671,11,FALSE)</f>
        <v>-0.51305740022148427</v>
      </c>
      <c r="Y56" s="1036">
        <f t="shared" si="44"/>
        <v>-0.38805740022148427</v>
      </c>
      <c r="Z56" s="107">
        <f t="shared" si="52"/>
        <v>6.125</v>
      </c>
      <c r="AA56" s="93">
        <f>100-VLOOKUP(Z56,'[1]Pricing '!$A$167:$K$191,11,FALSE)</f>
        <v>0.41170709597282951</v>
      </c>
      <c r="AB56" s="1036">
        <f t="shared" si="45"/>
        <v>0.53670709597282951</v>
      </c>
      <c r="AC56" s="107">
        <f t="shared" si="53"/>
        <v>6.25</v>
      </c>
      <c r="AD56" s="93">
        <f>100-VLOOKUP(AC56,'[1]Pricing '!$A$674:$K$698,11,FALSE)</f>
        <v>-5.2398303045976036E-2</v>
      </c>
      <c r="AE56" s="1036">
        <f t="shared" si="46"/>
        <v>7.2601696954023964E-2</v>
      </c>
      <c r="AF56" s="107">
        <f t="shared" si="54"/>
        <v>5.875</v>
      </c>
      <c r="AG56" s="93">
        <f>100-VLOOKUP(AF56,'[1]Pricing '!$A$194:$K$218,11,FALSE)</f>
        <v>0.11709199025600014</v>
      </c>
      <c r="AH56" s="1036">
        <f t="shared" si="47"/>
        <v>0.24209199025600014</v>
      </c>
      <c r="AI56" s="107">
        <f t="shared" si="55"/>
        <v>5.875</v>
      </c>
      <c r="AJ56" s="93">
        <f>100-VLOOKUP(AI56,'[1]Pricing '!$A$701:$K$725,11,FALSE)</f>
        <v>0.11709199025600014</v>
      </c>
      <c r="AK56" s="1036">
        <f t="shared" si="48"/>
        <v>0.24209199025600014</v>
      </c>
    </row>
    <row r="57" spans="2:37" ht="16.5" x14ac:dyDescent="0.25">
      <c r="B57" s="1037" cm="1">
        <f t="array" ref="B57">INDEX($A$162:$DE$162,0,MATCH(B56,$A$162:$DE$162,0)-1)</f>
        <v>5.99</v>
      </c>
      <c r="C57" s="93">
        <f>100-VLOOKUP(B57,'[1]Pricing '!$A$6:$K$30,11,FALSE)</f>
        <v>0.69489670071487808</v>
      </c>
      <c r="D57" s="93">
        <f t="shared" si="36"/>
        <v>0.81989670071487808</v>
      </c>
      <c r="E57" s="111" cm="1">
        <f t="array" ref="E57">INDEX($A$162:$DE$162,0,MATCH(E56,$A$162:$DE$162,0)-1)</f>
        <v>6.125</v>
      </c>
      <c r="F57" s="93">
        <f>100-VLOOKUP(E57,'[1]Pricing '!$A$566:$K$590,11,FALSE)</f>
        <v>-8.4619382646167196E-3</v>
      </c>
      <c r="G57" s="94">
        <f t="shared" si="37"/>
        <v>0.11653806173538328</v>
      </c>
      <c r="H57" s="107">
        <f t="shared" si="49"/>
        <v>5.75</v>
      </c>
      <c r="I57" s="93">
        <f>100-VLOOKUP(H57,'[1]Pricing '!$A$59:$K$83,11,FALSE)</f>
        <v>1.173539565394222</v>
      </c>
      <c r="J57" s="1036">
        <f t="shared" si="38"/>
        <v>1.298539565394222</v>
      </c>
      <c r="K57" s="107">
        <f t="shared" si="50"/>
        <v>5.75</v>
      </c>
      <c r="L57" s="93">
        <f>100-VLOOKUP(K57,'[1]Pricing '!$A$593:$K$617,11,FALSE)</f>
        <v>1.173539565394222</v>
      </c>
      <c r="M57" s="1036">
        <f t="shared" si="39"/>
        <v>1.298539565394222</v>
      </c>
      <c r="N57" s="107">
        <f t="shared" si="51"/>
        <v>5.25</v>
      </c>
      <c r="O57" s="93">
        <f>100-VLOOKUP(N57,'[1]Pricing '!$A$86:$K$110,11,FALSE)</f>
        <v>0.8207904930487615</v>
      </c>
      <c r="P57" s="1036">
        <f t="shared" si="40"/>
        <v>0.9457904930487615</v>
      </c>
      <c r="Q57" s="107">
        <f t="shared" si="41"/>
        <v>5.25</v>
      </c>
      <c r="R57" s="93">
        <f>100-VLOOKUP(Q57,'[1]Pricing '!$A$620:$K$644,11,FALSE)</f>
        <v>0.8207904930487615</v>
      </c>
      <c r="S57" s="1036">
        <f t="shared" si="42"/>
        <v>0.9457904930487615</v>
      </c>
      <c r="T57" s="107">
        <f t="shared" si="41"/>
        <v>5.375</v>
      </c>
      <c r="U57" s="93">
        <f>100-VLOOKUP(T57,'[1]Pricing '!$A$113:$K$137,11,FALSE)</f>
        <v>-0.12682030861650162</v>
      </c>
      <c r="V57" s="1036">
        <f t="shared" si="43"/>
        <v>-1.8203086165016202E-3</v>
      </c>
      <c r="W57" s="107">
        <f t="shared" si="41"/>
        <v>5.625</v>
      </c>
      <c r="X57" s="93">
        <f>100-VLOOKUP(W57,'[1]Pricing '!$A$647:$K$671,11,FALSE)</f>
        <v>-0.19057641302292438</v>
      </c>
      <c r="Y57" s="1036">
        <f t="shared" si="44"/>
        <v>-6.5576413022924385E-2</v>
      </c>
      <c r="Z57" s="107">
        <f t="shared" si="52"/>
        <v>6</v>
      </c>
      <c r="AA57" s="93">
        <f>100-VLOOKUP(Z57,'[1]Pricing '!$A$167:$K$191,11,FALSE)</f>
        <v>0.82314480467989881</v>
      </c>
      <c r="AB57" s="1036">
        <f t="shared" si="45"/>
        <v>0.94814480467989881</v>
      </c>
      <c r="AC57" s="107">
        <f t="shared" si="53"/>
        <v>6.125</v>
      </c>
      <c r="AD57" s="93">
        <f>100-VLOOKUP(AC57,'[1]Pricing '!$A$674:$K$698,11,FALSE)</f>
        <v>0.41170709597282951</v>
      </c>
      <c r="AE57" s="1036">
        <f t="shared" si="46"/>
        <v>0.53670709597282951</v>
      </c>
      <c r="AF57" s="107">
        <f t="shared" si="54"/>
        <v>5.75</v>
      </c>
      <c r="AG57" s="93">
        <f>100-VLOOKUP(AF57,'[1]Pricing '!$A$194:$K$218,11,FALSE)</f>
        <v>0.59128593554268605</v>
      </c>
      <c r="AH57" s="1036">
        <f t="shared" si="47"/>
        <v>0.71628593554268605</v>
      </c>
      <c r="AI57" s="107">
        <f t="shared" si="55"/>
        <v>5.75</v>
      </c>
      <c r="AJ57" s="93">
        <f>100-VLOOKUP(AI57,'[1]Pricing '!$A$701:$K$725,11,FALSE)</f>
        <v>0.59128593554268605</v>
      </c>
      <c r="AK57" s="1036">
        <f t="shared" si="48"/>
        <v>0.71628593554268605</v>
      </c>
    </row>
    <row r="58" spans="2:37" ht="16.5" x14ac:dyDescent="0.25">
      <c r="B58" s="1037" cm="1">
        <f t="array" ref="B58">INDEX($A$162:$DE$162,0,MATCH(B57,$A$162:$DE$162,0)-1)</f>
        <v>5.875</v>
      </c>
      <c r="C58" s="93">
        <f>100-VLOOKUP(B58,'[1]Pricing '!$A$6:$K$30,11,FALSE)</f>
        <v>0.99174571703525771</v>
      </c>
      <c r="D58" s="93">
        <f t="shared" si="36"/>
        <v>1.1167457170352577</v>
      </c>
      <c r="E58" s="111" cm="1">
        <f t="array" ref="E58">INDEX($A$162:$DE$162,0,MATCH(E57,$A$162:$DE$162,0)-1)</f>
        <v>6</v>
      </c>
      <c r="F58" s="93">
        <f>100-VLOOKUP(E58,'[1]Pricing '!$A$566:$K$590,11,FALSE)</f>
        <v>0.5448967007148724</v>
      </c>
      <c r="G58" s="94">
        <f t="shared" si="37"/>
        <v>0.6698967007148724</v>
      </c>
      <c r="H58" s="107">
        <f t="shared" si="49"/>
        <v>5.625</v>
      </c>
      <c r="I58" s="93">
        <f>100-VLOOKUP(H58,'[1]Pricing '!$A$59:$K$83,11,FALSE)</f>
        <v>1.578647684029761</v>
      </c>
      <c r="J58" s="1036">
        <f t="shared" si="38"/>
        <v>1.703647684029761</v>
      </c>
      <c r="K58" s="107">
        <f t="shared" si="50"/>
        <v>5.625</v>
      </c>
      <c r="L58" s="93">
        <f>100-VLOOKUP(K58,'[1]Pricing '!$A$593:$K$617,11,FALSE)</f>
        <v>1.578647684029761</v>
      </c>
      <c r="M58" s="1036">
        <f t="shared" si="39"/>
        <v>1.703647684029761</v>
      </c>
      <c r="N58" s="107">
        <f t="shared" si="51"/>
        <v>5.125</v>
      </c>
      <c r="O58" s="93">
        <f>100-VLOOKUP(N58,'[1]Pricing '!$A$86:$K$110,11,FALSE)</f>
        <v>1.1420258742828651</v>
      </c>
      <c r="P58" s="1036">
        <f t="shared" si="40"/>
        <v>1.2670258742828651</v>
      </c>
      <c r="Q58" s="107">
        <f t="shared" si="41"/>
        <v>5.125</v>
      </c>
      <c r="R58" s="93">
        <f>100-VLOOKUP(Q58,'[1]Pricing '!$A$620:$K$644,11,FALSE)</f>
        <v>1.1420258742828651</v>
      </c>
      <c r="S58" s="1036">
        <f t="shared" si="42"/>
        <v>1.2670258742828651</v>
      </c>
      <c r="T58" s="107">
        <f t="shared" si="41"/>
        <v>5.25</v>
      </c>
      <c r="U58" s="93">
        <f>100-VLOOKUP(T58,'[1]Pricing '!$A$113:$K$137,11,FALSE)</f>
        <v>0.21179049304875264</v>
      </c>
      <c r="V58" s="1036">
        <f t="shared" si="43"/>
        <v>0.33679049304875264</v>
      </c>
      <c r="W58" s="107">
        <f t="shared" si="41"/>
        <v>5.5</v>
      </c>
      <c r="X58" s="93">
        <f>100-VLOOKUP(W58,'[1]Pricing '!$A$647:$K$671,11,FALSE)</f>
        <v>-0.47275711880624272</v>
      </c>
      <c r="Y58" s="1036">
        <f t="shared" si="44"/>
        <v>-0.34775711880624272</v>
      </c>
      <c r="Z58" s="107">
        <f t="shared" si="52"/>
        <v>5.875</v>
      </c>
      <c r="AA58" s="93">
        <f>100-VLOOKUP(Z58,'[1]Pricing '!$A$167:$K$191,11,FALSE)</f>
        <v>1.2778091467877886</v>
      </c>
      <c r="AB58" s="1036">
        <f t="shared" si="45"/>
        <v>1.4028091467877886</v>
      </c>
      <c r="AC58" s="107">
        <f t="shared" si="53"/>
        <v>6</v>
      </c>
      <c r="AD58" s="93">
        <f>100-VLOOKUP(AC58,'[1]Pricing '!$A$674:$K$698,11,FALSE)</f>
        <v>0.82314480467989881</v>
      </c>
      <c r="AE58" s="1036">
        <f t="shared" si="46"/>
        <v>0.94814480467989881</v>
      </c>
      <c r="AF58" s="107">
        <f t="shared" si="54"/>
        <v>5.625</v>
      </c>
      <c r="AG58" s="93">
        <f>100-VLOOKUP(AF58,'[1]Pricing '!$A$194:$K$218,11,FALSE)</f>
        <v>0.90887747092475024</v>
      </c>
      <c r="AH58" s="1036">
        <f t="shared" si="47"/>
        <v>1.0338774709247502</v>
      </c>
      <c r="AI58" s="107">
        <f t="shared" si="55"/>
        <v>5.625</v>
      </c>
      <c r="AJ58" s="93">
        <f>100-VLOOKUP(AI58,'[1]Pricing '!$A$701:$K$725,11,FALSE)</f>
        <v>0.65887747092475024</v>
      </c>
      <c r="AK58" s="1036">
        <f t="shared" si="48"/>
        <v>0.78387747092475024</v>
      </c>
    </row>
    <row r="59" spans="2:37" ht="16.5" x14ac:dyDescent="0.25">
      <c r="B59" s="1037" cm="1">
        <f t="array" ref="B59">INDEX($A$162:$DE$162,0,MATCH(B58,$A$162:$DE$162,0)-1)</f>
        <v>5.75</v>
      </c>
      <c r="C59" s="93">
        <f>100-VLOOKUP(B59,'[1]Pricing '!$A$6:$K$30,11,FALSE)</f>
        <v>1.5245395653942211</v>
      </c>
      <c r="D59" s="93">
        <f t="shared" si="36"/>
        <v>1.6495395653942211</v>
      </c>
      <c r="E59" s="111" cm="1">
        <f t="array" ref="E59">INDEX($A$162:$DE$162,0,MATCH(E58,$A$162:$DE$162,0)-1)</f>
        <v>5.99</v>
      </c>
      <c r="F59" s="93">
        <f>100-VLOOKUP(E59,'[1]Pricing '!$A$566:$K$590,11,FALSE)</f>
        <v>0.69489670071487808</v>
      </c>
      <c r="G59" s="94">
        <f t="shared" si="37"/>
        <v>0.81989670071487808</v>
      </c>
      <c r="H59" s="107">
        <f t="shared" si="49"/>
        <v>5.5</v>
      </c>
      <c r="I59" s="93">
        <f>100-VLOOKUP(H59,'[1]Pricing '!$A$59:$K$83,11,FALSE)</f>
        <v>2.0599002302383838</v>
      </c>
      <c r="J59" s="1036">
        <f t="shared" si="38"/>
        <v>2.1849002302383838</v>
      </c>
      <c r="K59" s="107">
        <f t="shared" si="50"/>
        <v>5.5</v>
      </c>
      <c r="L59" s="93">
        <f>100-VLOOKUP(K59,'[1]Pricing '!$A$593:$K$617,11,FALSE)</f>
        <v>2.0599002302383838</v>
      </c>
      <c r="M59" s="1036">
        <f t="shared" si="39"/>
        <v>2.1849002302383838</v>
      </c>
      <c r="N59" s="107">
        <f t="shared" si="51"/>
        <v>5</v>
      </c>
      <c r="O59" s="93">
        <f>100-VLOOKUP(N59,'[1]Pricing '!$A$86:$K$110,11,FALSE)</f>
        <v>1.6822188465542212</v>
      </c>
      <c r="P59" s="1036">
        <f t="shared" si="40"/>
        <v>1.8072188465542212</v>
      </c>
      <c r="Q59" s="107">
        <f t="shared" si="41"/>
        <v>5</v>
      </c>
      <c r="R59" s="93">
        <f>100-VLOOKUP(Q59,'[1]Pricing '!$A$620:$K$644,11,FALSE)</f>
        <v>1.6822188465542212</v>
      </c>
      <c r="S59" s="1036">
        <f t="shared" si="42"/>
        <v>1.8072188465542212</v>
      </c>
      <c r="T59" s="107">
        <f t="shared" si="41"/>
        <v>5.125</v>
      </c>
      <c r="U59" s="93">
        <f>100-VLOOKUP(T59,'[1]Pricing '!$A$113:$K$137,11,FALSE)</f>
        <v>0.52802587428287495</v>
      </c>
      <c r="V59" s="1036">
        <f t="shared" si="43"/>
        <v>0.65302587428287495</v>
      </c>
      <c r="W59" s="107">
        <f t="shared" si="41"/>
        <v>5.375</v>
      </c>
      <c r="X59" s="93">
        <f>100-VLOOKUP(W59,'[1]Pricing '!$A$647:$K$671,11,FALSE)</f>
        <v>-0.12682030861650162</v>
      </c>
      <c r="Y59" s="1036">
        <f t="shared" si="44"/>
        <v>-1.8203086165016202E-3</v>
      </c>
      <c r="Z59" s="107">
        <f t="shared" si="52"/>
        <v>5.75</v>
      </c>
      <c r="AA59" s="93">
        <f>100-VLOOKUP(Z59,'[1]Pricing '!$A$167:$K$191,11,FALSE)</f>
        <v>1.8189593426186406</v>
      </c>
      <c r="AB59" s="1036">
        <f t="shared" si="45"/>
        <v>1.9439593426186406</v>
      </c>
      <c r="AC59" s="107">
        <f t="shared" si="53"/>
        <v>5.875</v>
      </c>
      <c r="AD59" s="93">
        <f>100-VLOOKUP(AC59,'[1]Pricing '!$A$674:$K$698,11,FALSE)</f>
        <v>1.2778091467877886</v>
      </c>
      <c r="AE59" s="1036">
        <f t="shared" si="46"/>
        <v>1.4028091467877886</v>
      </c>
      <c r="AF59" s="107">
        <f t="shared" si="54"/>
        <v>5.5</v>
      </c>
      <c r="AG59" s="93">
        <f>100-VLOOKUP(AF59,'[1]Pricing '!$A$194:$K$218,11,FALSE)</f>
        <v>1.2315498733122325</v>
      </c>
      <c r="AH59" s="1036">
        <f t="shared" si="47"/>
        <v>1.3565498733122325</v>
      </c>
      <c r="AI59" s="107">
        <f t="shared" si="55"/>
        <v>5.5</v>
      </c>
      <c r="AJ59" s="93">
        <f>100-VLOOKUP(AI59,'[1]Pricing '!$A$701:$K$725,11,FALSE)</f>
        <v>1.2315498733122325</v>
      </c>
      <c r="AK59" s="1036">
        <f t="shared" si="48"/>
        <v>1.3565498733122325</v>
      </c>
    </row>
    <row r="60" spans="2:37" ht="16.5" x14ac:dyDescent="0.25">
      <c r="B60" s="1037" cm="1">
        <f t="array" ref="B60">INDEX($A$162:$DE$162,0,MATCH(B59,$A$162:$DE$162,0)-1)</f>
        <v>5.625</v>
      </c>
      <c r="C60" s="93">
        <f>100-VLOOKUP(B60,'[1]Pricing '!$A$6:$K$30,11,FALSE)</f>
        <v>2.0566476840297696</v>
      </c>
      <c r="D60" s="93">
        <f t="shared" si="36"/>
        <v>2.1816476840297696</v>
      </c>
      <c r="E60" s="111" cm="1">
        <f t="array" ref="E60">INDEX($A$162:$DE$162,0,MATCH(E59,$A$162:$DE$162,0)-1)</f>
        <v>5.875</v>
      </c>
      <c r="F60" s="93">
        <f>100-VLOOKUP(E60,'[1]Pricing '!$A$566:$K$590,11,FALSE)</f>
        <v>0.99174571703525771</v>
      </c>
      <c r="G60" s="94">
        <f t="shared" si="37"/>
        <v>1.1167457170352577</v>
      </c>
      <c r="H60" s="107">
        <f t="shared" si="49"/>
        <v>5.375</v>
      </c>
      <c r="I60" s="93">
        <f>100-VLOOKUP(H60,'[1]Pricing '!$A$59:$K$83,11,FALSE)</f>
        <v>2.553603491229353</v>
      </c>
      <c r="J60" s="1036">
        <f t="shared" si="38"/>
        <v>2.678603491229353</v>
      </c>
      <c r="K60" s="107">
        <f t="shared" si="50"/>
        <v>5.375</v>
      </c>
      <c r="L60" s="93">
        <f>100-VLOOKUP(K60,'[1]Pricing '!$A$593:$K$617,11,FALSE)</f>
        <v>2.553603491229353</v>
      </c>
      <c r="M60" s="1036">
        <f t="shared" si="39"/>
        <v>2.678603491229353</v>
      </c>
      <c r="N60" s="107">
        <f t="shared" si="51"/>
        <v>4.875</v>
      </c>
      <c r="O60" s="93">
        <f>100-VLOOKUP(N60,'[1]Pricing '!$A$86:$K$110,11,FALSE)</f>
        <v>2.0503599737149329</v>
      </c>
      <c r="P60" s="1036">
        <f t="shared" si="40"/>
        <v>2.1753599737149329</v>
      </c>
      <c r="Q60" s="107">
        <f t="shared" si="41"/>
        <v>4.875</v>
      </c>
      <c r="R60" s="93">
        <f>100-VLOOKUP(Q60,'[1]Pricing '!$A$620:$K$644,11,FALSE)</f>
        <v>2.0503599737149329</v>
      </c>
      <c r="S60" s="1036">
        <f t="shared" si="42"/>
        <v>2.1753599737149329</v>
      </c>
      <c r="T60" s="107">
        <f t="shared" si="41"/>
        <v>5</v>
      </c>
      <c r="U60" s="93">
        <f>100-VLOOKUP(T60,'[1]Pricing '!$A$113:$K$137,11,FALSE)</f>
        <v>0.68621884655421184</v>
      </c>
      <c r="V60" s="1036">
        <f t="shared" si="43"/>
        <v>0.81121884655421184</v>
      </c>
      <c r="W60" s="107">
        <f t="shared" si="41"/>
        <v>5.25</v>
      </c>
      <c r="X60" s="93">
        <f>100-VLOOKUP(W60,'[1]Pricing '!$A$647:$K$671,11,FALSE)</f>
        <v>0.21179049304875264</v>
      </c>
      <c r="Y60" s="1036">
        <f t="shared" si="44"/>
        <v>0.33679049304875264</v>
      </c>
      <c r="Z60" s="107">
        <f t="shared" si="52"/>
        <v>5.625</v>
      </c>
      <c r="AA60" s="93">
        <f>100-VLOOKUP(Z60,'[1]Pricing '!$A$167:$K$191,11,FALSE)</f>
        <v>2.4235852680912728</v>
      </c>
      <c r="AB60" s="1036">
        <f t="shared" si="45"/>
        <v>2.5485852680912728</v>
      </c>
      <c r="AC60" s="107">
        <f t="shared" si="53"/>
        <v>5.75</v>
      </c>
      <c r="AD60" s="93">
        <f>100-VLOOKUP(AC60,'[1]Pricing '!$A$674:$K$698,11,FALSE)</f>
        <v>1.8189593426186406</v>
      </c>
      <c r="AE60" s="1036">
        <f t="shared" si="46"/>
        <v>1.9439593426186406</v>
      </c>
      <c r="AF60" s="107">
        <f t="shared" si="54"/>
        <v>5.375</v>
      </c>
      <c r="AG60" s="93">
        <f>100-VLOOKUP(AF60,'[1]Pricing '!$A$194:$K$218,11,FALSE)</f>
        <v>1.5989706694894465</v>
      </c>
      <c r="AH60" s="1036">
        <f t="shared" si="47"/>
        <v>1.7239706694894465</v>
      </c>
      <c r="AI60" s="107">
        <f t="shared" si="55"/>
        <v>5.375</v>
      </c>
      <c r="AJ60" s="93">
        <f>100-VLOOKUP(AI60,'[1]Pricing '!$A$701:$K$725,11,FALSE)</f>
        <v>1.5989706694894465</v>
      </c>
      <c r="AK60" s="1036">
        <f t="shared" si="48"/>
        <v>1.7239706694894465</v>
      </c>
    </row>
    <row r="61" spans="2:37" ht="16.5" x14ac:dyDescent="0.25">
      <c r="B61" s="1037" cm="1">
        <f t="array" ref="B61">INDEX($A$162:$DE$162,0,MATCH(B60,$A$162:$DE$162,0)-1)</f>
        <v>5.5</v>
      </c>
      <c r="C61" s="93">
        <f>100-VLOOKUP(B61,'[1]Pricing '!$A$6:$K$30,11,FALSE)</f>
        <v>2.6369002302383819</v>
      </c>
      <c r="D61" s="93">
        <f t="shared" si="36"/>
        <v>2.7619002302383819</v>
      </c>
      <c r="E61" s="111" cm="1">
        <f t="array" ref="E61">INDEX($A$162:$DE$162,0,MATCH(E60,$A$162:$DE$162,0)-1)</f>
        <v>5.75</v>
      </c>
      <c r="F61" s="93">
        <f>100-VLOOKUP(E61,'[1]Pricing '!$A$566:$K$590,11,FALSE)</f>
        <v>1.5245395653942211</v>
      </c>
      <c r="G61" s="94">
        <f t="shared" si="37"/>
        <v>1.6495395653942211</v>
      </c>
      <c r="H61" s="107">
        <f t="shared" si="49"/>
        <v>5.25</v>
      </c>
      <c r="I61" s="93">
        <f>100-VLOOKUP(H61,'[1]Pricing '!$A$59:$K$83,11,FALSE)</f>
        <v>3.2900679677513551</v>
      </c>
      <c r="J61" s="1036">
        <f t="shared" si="38"/>
        <v>3.4150679677513551</v>
      </c>
      <c r="K61" s="107">
        <f t="shared" si="50"/>
        <v>5.25</v>
      </c>
      <c r="L61" s="93">
        <f>100-VLOOKUP(K61,'[1]Pricing '!$A$593:$K$617,11,FALSE)</f>
        <v>3.2900679677513551</v>
      </c>
      <c r="M61" s="1036">
        <f t="shared" si="39"/>
        <v>3.4150679677513551</v>
      </c>
      <c r="N61" s="107">
        <f t="shared" si="51"/>
        <v>4.75</v>
      </c>
      <c r="O61" s="93">
        <f>100-VLOOKUP(N61,'[1]Pricing '!$A$86:$K$110,11,FALSE)</f>
        <v>2.4388163986093332</v>
      </c>
      <c r="P61" s="1036">
        <f t="shared" si="40"/>
        <v>2.5638163986093332</v>
      </c>
      <c r="Q61" s="107">
        <f t="shared" si="41"/>
        <v>4.75</v>
      </c>
      <c r="R61" s="93">
        <f>100-VLOOKUP(Q61,'[1]Pricing '!$A$620:$K$644,11,FALSE)</f>
        <v>2.4388163986093332</v>
      </c>
      <c r="S61" s="1036">
        <f t="shared" si="42"/>
        <v>2.5638163986093332</v>
      </c>
      <c r="T61" s="107">
        <f t="shared" si="41"/>
        <v>4.875</v>
      </c>
      <c r="U61" s="93">
        <f>100-VLOOKUP(T61,'[1]Pricing '!$A$113:$K$137,11,FALSE)</f>
        <v>1.0523599737149283</v>
      </c>
      <c r="V61" s="1036">
        <f t="shared" si="43"/>
        <v>1.1773599737149283</v>
      </c>
      <c r="W61" s="107">
        <f t="shared" si="41"/>
        <v>5.125</v>
      </c>
      <c r="X61" s="93">
        <f>100-VLOOKUP(W61,'[1]Pricing '!$A$647:$K$671,11,FALSE)</f>
        <v>0.52802587428287495</v>
      </c>
      <c r="Y61" s="1036">
        <f t="shared" si="44"/>
        <v>0.65302587428287495</v>
      </c>
      <c r="Z61" s="107">
        <f t="shared" si="52"/>
        <v>5.5</v>
      </c>
      <c r="AA61" s="93">
        <f>100-VLOOKUP(Z61,'[1]Pricing '!$A$167:$K$191,11,FALSE)</f>
        <v>3.0148426550775582</v>
      </c>
      <c r="AB61" s="1036">
        <f t="shared" si="45"/>
        <v>3.1398426550775582</v>
      </c>
      <c r="AC61" s="107">
        <f t="shared" si="53"/>
        <v>5.625</v>
      </c>
      <c r="AD61" s="93">
        <f>100-VLOOKUP(AC61,'[1]Pricing '!$A$674:$K$698,11,FALSE)</f>
        <v>2.4235852680912728</v>
      </c>
      <c r="AE61" s="1036">
        <f t="shared" si="46"/>
        <v>2.5485852680912728</v>
      </c>
      <c r="AF61" s="107">
        <f t="shared" si="54"/>
        <v>5.25</v>
      </c>
      <c r="AG61" s="93">
        <f>100-VLOOKUP(AF61,'[1]Pricing '!$A$194:$K$218,11,FALSE)</f>
        <v>2.0172315723943086</v>
      </c>
      <c r="AH61" s="1036">
        <f t="shared" si="47"/>
        <v>2.1422315723943086</v>
      </c>
      <c r="AI61" s="107">
        <f t="shared" si="55"/>
        <v>5.25</v>
      </c>
      <c r="AJ61" s="93">
        <f>100-VLOOKUP(AI61,'[1]Pricing '!$A$701:$K$725,11,FALSE)</f>
        <v>2.0172315723943086</v>
      </c>
      <c r="AK61" s="1036">
        <f t="shared" si="48"/>
        <v>2.1422315723943086</v>
      </c>
    </row>
    <row r="62" spans="2:37" ht="16.5" x14ac:dyDescent="0.25">
      <c r="B62" s="1037" cm="1">
        <f t="array" ref="B62">INDEX($A$162:$DE$162,0,MATCH(B61,$A$162:$DE$162,0)-1)</f>
        <v>5.375</v>
      </c>
      <c r="C62" s="93">
        <f>IFERROR(100-VLOOKUP(B62,'[1]Pricing '!$A$6:$K$30,11,FALSE),"NA")</f>
        <v>3.2056034912293541</v>
      </c>
      <c r="D62" s="93">
        <f t="shared" si="36"/>
        <v>3.3306034912293541</v>
      </c>
      <c r="E62" s="111" cm="1">
        <f t="array" ref="E62">INDEX($A$162:$DE$162,0,MATCH(E61,$A$162:$DE$162,0)-1)</f>
        <v>5.625</v>
      </c>
      <c r="F62" s="93">
        <f>100-VLOOKUP(E62,'[1]Pricing '!$A$566:$K$590,11,FALSE)</f>
        <v>2.0566476840297696</v>
      </c>
      <c r="G62" s="94">
        <f t="shared" si="37"/>
        <v>2.1816476840297696</v>
      </c>
      <c r="H62" s="107">
        <f>H61-0.125</f>
        <v>5.125</v>
      </c>
      <c r="I62" s="93">
        <f>100-VLOOKUP(H62,'[1]Pricing '!$A$59:$K$83,11,FALSE)</f>
        <v>3.6180319855246807</v>
      </c>
      <c r="J62" s="1036">
        <f t="shared" si="38"/>
        <v>3.7430319855246807</v>
      </c>
      <c r="K62" s="107">
        <f t="shared" si="50"/>
        <v>5.125</v>
      </c>
      <c r="L62" s="93">
        <f>100-VLOOKUP(K62,'[1]Pricing '!$A$593:$K$617,11,FALSE)</f>
        <v>3.6180319855246807</v>
      </c>
      <c r="M62" s="1036">
        <f t="shared" si="39"/>
        <v>3.7430319855246807</v>
      </c>
      <c r="N62" s="107">
        <f t="shared" si="51"/>
        <v>4.625</v>
      </c>
      <c r="O62" s="93">
        <f>100-VLOOKUP(N62,'[1]Pricing '!$A$86:$K$110,11,FALSE)</f>
        <v>2.8945451611110684</v>
      </c>
      <c r="P62" s="1036">
        <f t="shared" si="40"/>
        <v>3.0195451611110684</v>
      </c>
      <c r="Q62" s="107">
        <f t="shared" si="41"/>
        <v>4.625</v>
      </c>
      <c r="R62" s="93">
        <f>100-VLOOKUP(Q62,'[1]Pricing '!$A$620:$K$644,11,FALSE)</f>
        <v>2.8945451611110684</v>
      </c>
      <c r="S62" s="1036">
        <f t="shared" si="42"/>
        <v>3.0195451611110684</v>
      </c>
      <c r="T62" s="107">
        <f t="shared" si="41"/>
        <v>4.75</v>
      </c>
      <c r="U62" s="93">
        <f>100-VLOOKUP(T62,'[1]Pricing '!$A$113:$K$137,11,FALSE)</f>
        <v>1.4398163986093238</v>
      </c>
      <c r="V62" s="1036">
        <f t="shared" si="43"/>
        <v>1.5648163986093238</v>
      </c>
      <c r="W62" s="107">
        <f t="shared" si="41"/>
        <v>5</v>
      </c>
      <c r="X62" s="93">
        <f>100-VLOOKUP(W62,'[1]Pricing '!$A$647:$K$671,11,FALSE)</f>
        <v>0.68621884655421184</v>
      </c>
      <c r="Y62" s="1036">
        <f t="shared" si="44"/>
        <v>0.81121884655421184</v>
      </c>
      <c r="Z62" s="107">
        <f t="shared" si="52"/>
        <v>5.375</v>
      </c>
      <c r="AA62" s="93">
        <f>100-VLOOKUP(Z62,'[1]Pricing '!$A$167:$K$191,11,FALSE)</f>
        <v>3.5867835237788483</v>
      </c>
      <c r="AB62" s="1036">
        <f t="shared" si="45"/>
        <v>3.7117835237788483</v>
      </c>
      <c r="AC62" s="107">
        <f t="shared" si="53"/>
        <v>5.5</v>
      </c>
      <c r="AD62" s="93">
        <f>100-VLOOKUP(AC62,'[1]Pricing '!$A$674:$K$698,11,FALSE)</f>
        <v>3.0148426550775582</v>
      </c>
      <c r="AE62" s="1036">
        <f t="shared" si="46"/>
        <v>3.1398426550775582</v>
      </c>
      <c r="AF62" s="107">
        <f t="shared" si="54"/>
        <v>5.125</v>
      </c>
      <c r="AG62" s="93">
        <f>100-VLOOKUP(AF62,'[1]Pricing '!$A$194:$K$218,11,FALSE)</f>
        <v>2.2103840582150838</v>
      </c>
      <c r="AH62" s="1036">
        <f t="shared" si="47"/>
        <v>2.3353840582150838</v>
      </c>
      <c r="AI62" s="107">
        <f t="shared" si="55"/>
        <v>5.125</v>
      </c>
      <c r="AJ62" s="93">
        <f>100-VLOOKUP(AI62,'[1]Pricing '!$A$701:$K$725,11,FALSE)</f>
        <v>2.2103840582150838</v>
      </c>
      <c r="AK62" s="1036">
        <f t="shared" si="48"/>
        <v>2.3353840582150838</v>
      </c>
    </row>
    <row r="63" spans="2:37" ht="16.5" x14ac:dyDescent="0.25">
      <c r="B63" s="1037" cm="1">
        <f t="array" ref="B63">INDEX($A$162:$DE$162,0,MATCH(B62,$A$162:$DE$162,0)-1)</f>
        <v>5.25</v>
      </c>
      <c r="C63" s="93">
        <f>IFERROR(100-VLOOKUP(B63,'[1]Pricing '!$A$6:$K$30,11,FALSE),"NA")</f>
        <v>4.1970679677513658</v>
      </c>
      <c r="D63" s="93">
        <f t="shared" si="36"/>
        <v>4.3220679677513658</v>
      </c>
      <c r="E63" s="111" cm="1">
        <f t="array" ref="E63">INDEX($A$162:$DE$162,0,MATCH(E62,$A$162:$DE$162,0)-1)</f>
        <v>5.5</v>
      </c>
      <c r="F63" s="93">
        <f>100-VLOOKUP(E63,'[1]Pricing '!$A$566:$K$590,11,FALSE)</f>
        <v>2.6369002302383819</v>
      </c>
      <c r="G63" s="94">
        <f t="shared" si="37"/>
        <v>2.7619002302383819</v>
      </c>
      <c r="H63" s="107">
        <f t="shared" si="49"/>
        <v>5</v>
      </c>
      <c r="I63" s="93">
        <f>100-VLOOKUP(H63,'[1]Pricing '!$A$59:$K$83,11,FALSE)</f>
        <v>4.1210553347075205</v>
      </c>
      <c r="J63" s="1036">
        <f t="shared" si="38"/>
        <v>4.2460553347075205</v>
      </c>
      <c r="K63" s="107">
        <f>K62-0.125</f>
        <v>5</v>
      </c>
      <c r="L63" s="93">
        <f>100-VLOOKUP(K63,'[1]Pricing '!$A$593:$K$617,11,FALSE)</f>
        <v>4.1210553347075205</v>
      </c>
      <c r="M63" s="1036">
        <f t="shared" si="39"/>
        <v>4.2460553347075205</v>
      </c>
      <c r="N63" s="107">
        <f t="shared" si="51"/>
        <v>4.5</v>
      </c>
      <c r="O63" s="93">
        <f>100-VLOOKUP(N63,'[1]Pricing '!$A$86:$K$110,11,FALSE)</f>
        <v>3.0965591377905497</v>
      </c>
      <c r="P63" s="1036">
        <f t="shared" si="40"/>
        <v>3.2215591377905497</v>
      </c>
      <c r="Q63" s="107">
        <f t="shared" si="41"/>
        <v>4.5</v>
      </c>
      <c r="R63" s="93">
        <f>100-VLOOKUP(Q63,'[1]Pricing '!$A$620:$K$644,11,FALSE)</f>
        <v>3.0965591377905497</v>
      </c>
      <c r="S63" s="1036">
        <f t="shared" si="42"/>
        <v>3.2215591377905497</v>
      </c>
      <c r="T63" s="107">
        <f t="shared" si="41"/>
        <v>4.625</v>
      </c>
      <c r="U63" s="93">
        <f>100-VLOOKUP(T63,'[1]Pricing '!$A$113:$K$137,11,FALSE)</f>
        <v>1.8775451611110725</v>
      </c>
      <c r="V63" s="1036">
        <f t="shared" si="43"/>
        <v>2.0025451611110725</v>
      </c>
      <c r="W63" s="107">
        <f t="shared" si="41"/>
        <v>4.875</v>
      </c>
      <c r="X63" s="93">
        <f>100-VLOOKUP(W63,'[1]Pricing '!$A$647:$K$671,11,FALSE)</f>
        <v>1.0523599737149283</v>
      </c>
      <c r="Y63" s="1036">
        <f t="shared" si="44"/>
        <v>1.1773599737149283</v>
      </c>
      <c r="Z63" s="107">
        <f>Z62-0.125</f>
        <v>5.25</v>
      </c>
      <c r="AA63" s="93">
        <f>100-VLOOKUP(Z63,'[1]Pricing '!$A$167:$K$191,11,FALSE)</f>
        <v>4.5069670476087254</v>
      </c>
      <c r="AB63" s="1036">
        <f t="shared" si="45"/>
        <v>4.6319670476087254</v>
      </c>
      <c r="AC63" s="107">
        <f>AC62-0.125</f>
        <v>5.375</v>
      </c>
      <c r="AD63" s="93">
        <f>100-VLOOKUP(AC63,'[1]Pricing '!$A$674:$K$698,11,FALSE)</f>
        <v>3.5867835237788483</v>
      </c>
      <c r="AE63" s="1036">
        <f t="shared" si="46"/>
        <v>3.7117835237788483</v>
      </c>
      <c r="AF63" s="107">
        <f t="shared" si="54"/>
        <v>5</v>
      </c>
      <c r="AG63" s="93">
        <f>100-VLOOKUP(AF63,'[1]Pricing '!$A$194:$K$218,11,FALSE)</f>
        <v>2.9187311419422883</v>
      </c>
      <c r="AH63" s="1036">
        <f t="shared" si="47"/>
        <v>3.0437311419422883</v>
      </c>
      <c r="AI63" s="107">
        <f t="shared" si="55"/>
        <v>5</v>
      </c>
      <c r="AJ63" s="93">
        <f>100-VLOOKUP(AI63,'[1]Pricing '!$A$701:$K$725,11,FALSE)</f>
        <v>2.9187311419422883</v>
      </c>
      <c r="AK63" s="1036">
        <f t="shared" si="48"/>
        <v>3.0437311419422883</v>
      </c>
    </row>
    <row r="64" spans="2:37" ht="16.5" x14ac:dyDescent="0.25">
      <c r="B64" s="1037" cm="1">
        <f t="array" ref="B64">INDEX($A$162:$DE$162,0,MATCH(B63,$A$162:$DE$162,0)-1)</f>
        <v>5.125</v>
      </c>
      <c r="C64" s="93">
        <f>IFERROR(100-VLOOKUP(B64,'[1]Pricing '!$A$6:$K$30,11,FALSE),"NA")</f>
        <v>4.2040319855246793</v>
      </c>
      <c r="D64" s="93">
        <f t="shared" si="36"/>
        <v>4.3290319855246793</v>
      </c>
      <c r="E64" s="111" cm="1">
        <f t="array" ref="E64">INDEX($A$162:$DE$162,0,MATCH(E63,$A$162:$DE$162,0)-1)</f>
        <v>5.375</v>
      </c>
      <c r="F64" s="93">
        <f>100-VLOOKUP(E64,'[1]Pricing '!$A$566:$K$590,11,FALSE)</f>
        <v>3.2056034912293541</v>
      </c>
      <c r="G64" s="94">
        <f t="shared" si="37"/>
        <v>3.3306034912293541</v>
      </c>
      <c r="H64" s="107">
        <f t="shared" si="49"/>
        <v>4.875</v>
      </c>
      <c r="I64" s="93">
        <f>100-VLOOKUP(H64,'[1]Pricing '!$A$59:$K$83,11,FALSE)</f>
        <v>4.7359011701163354</v>
      </c>
      <c r="J64" s="1036">
        <f t="shared" si="38"/>
        <v>4.8609011701163354</v>
      </c>
      <c r="K64" s="107">
        <f t="shared" si="50"/>
        <v>4.875</v>
      </c>
      <c r="L64" s="93">
        <f>100-VLOOKUP(K64,'[1]Pricing '!$A$593:$K$617,11,FALSE)</f>
        <v>4.7359011701163354</v>
      </c>
      <c r="M64" s="1036">
        <f t="shared" si="39"/>
        <v>4.8609011701163354</v>
      </c>
      <c r="N64" s="107">
        <f t="shared" si="51"/>
        <v>4.375</v>
      </c>
      <c r="O64" s="93">
        <f>100-VLOOKUP(N64,'[1]Pricing '!$A$86:$K$110,11,FALSE)</f>
        <v>3.5423055197991289</v>
      </c>
      <c r="P64" s="1036">
        <f t="shared" si="40"/>
        <v>3.6673055197991289</v>
      </c>
      <c r="Q64" s="107">
        <f t="shared" ref="Q64:Q67" si="83">Q63-0.125</f>
        <v>4.375</v>
      </c>
      <c r="R64" s="93">
        <f>100-VLOOKUP(Q64,'[1]Pricing '!$A$620:$K$644,11,FALSE)</f>
        <v>3.5423055197991289</v>
      </c>
      <c r="S64" s="1036">
        <f t="shared" si="42"/>
        <v>3.6673055197991289</v>
      </c>
      <c r="T64" s="107">
        <f t="shared" ref="T64:T67" si="84">T63-0.125</f>
        <v>4.5</v>
      </c>
      <c r="U64" s="93">
        <f>100-VLOOKUP(T64,'[1]Pricing '!$A$113:$K$137,11,FALSE)</f>
        <v>2.7325591377905454</v>
      </c>
      <c r="V64" s="1036">
        <f t="shared" si="43"/>
        <v>2.8575591377905454</v>
      </c>
      <c r="W64" s="107">
        <f t="shared" ref="W64:W67" si="85">W63-0.125</f>
        <v>4.75</v>
      </c>
      <c r="X64" s="93">
        <f>100-VLOOKUP(W64,'[1]Pricing '!$A$647:$K$671,11,FALSE)</f>
        <v>1.4398163986093238</v>
      </c>
      <c r="Y64" s="1036">
        <f t="shared" si="44"/>
        <v>1.5648163986093238</v>
      </c>
      <c r="Z64" s="107">
        <f t="shared" si="52"/>
        <v>5.125</v>
      </c>
      <c r="AA64" s="93">
        <f>100-VLOOKUP(Z64,'[1]Pricing '!$A$167:$K$191,11,FALSE)</f>
        <v>5.6274668004402315</v>
      </c>
      <c r="AB64" s="1036">
        <f t="shared" si="45"/>
        <v>5.7524668004402315</v>
      </c>
      <c r="AC64" s="107">
        <f t="shared" si="53"/>
        <v>5.25</v>
      </c>
      <c r="AD64" s="93">
        <f>100-VLOOKUP(AC64,'[1]Pricing '!$A$674:$K$698,11,FALSE)</f>
        <v>4.5069670476087254</v>
      </c>
      <c r="AE64" s="1036">
        <f t="shared" si="46"/>
        <v>4.6319670476087254</v>
      </c>
      <c r="AF64" s="107">
        <f t="shared" si="54"/>
        <v>4.875</v>
      </c>
      <c r="AG64" s="93">
        <f>100-VLOOKUP(AF64,'[1]Pricing '!$A$194:$K$218,11,FALSE)</f>
        <v>3.2982716668581133</v>
      </c>
      <c r="AH64" s="1036">
        <f t="shared" si="47"/>
        <v>3.4232716668581133</v>
      </c>
      <c r="AI64" s="107">
        <f t="shared" si="55"/>
        <v>4.875</v>
      </c>
      <c r="AJ64" s="93">
        <f>100-VLOOKUP(AI64,'[1]Pricing '!$A$701:$K$725,11,FALSE)</f>
        <v>3.2982716668581133</v>
      </c>
      <c r="AK64" s="1036">
        <f t="shared" si="48"/>
        <v>3.4232716668581133</v>
      </c>
    </row>
    <row r="65" spans="2:37" ht="16.5" x14ac:dyDescent="0.25">
      <c r="B65" s="1037" cm="1">
        <f t="array" ref="B65">INDEX($A$162:$DE$162,0,MATCH(B64,$A$162:$DE$162,0)-1)</f>
        <v>5</v>
      </c>
      <c r="C65" s="93">
        <f>IFERROR(100-VLOOKUP(B65,'[1]Pricing '!$A$6:$K$30,11,FALSE),"NA")</f>
        <v>4.9040553347075218</v>
      </c>
      <c r="D65" s="93">
        <f t="shared" si="36"/>
        <v>5.0290553347075218</v>
      </c>
      <c r="E65" s="111" cm="1">
        <f t="array" ref="E65">INDEX($A$162:$DE$162,0,MATCH(E64,$A$162:$DE$162,0)-1)</f>
        <v>5.25</v>
      </c>
      <c r="F65" s="93">
        <f>100-VLOOKUP(E65,'[1]Pricing '!$A$566:$K$590,11,FALSE)</f>
        <v>4.1970679677513658</v>
      </c>
      <c r="G65" s="94">
        <f t="shared" si="37"/>
        <v>4.3220679677513658</v>
      </c>
      <c r="H65" s="107">
        <f t="shared" si="49"/>
        <v>4.75</v>
      </c>
      <c r="I65" s="93">
        <f>100-VLOOKUP(H65,'[1]Pricing '!$A$59:$K$83,11,FALSE)</f>
        <v>5.3515774174463502</v>
      </c>
      <c r="J65" s="1036">
        <f t="shared" si="38"/>
        <v>5.4765774174463502</v>
      </c>
      <c r="K65" s="107">
        <f t="shared" si="50"/>
        <v>4.75</v>
      </c>
      <c r="L65" s="93">
        <f>100-VLOOKUP(K65,'[1]Pricing '!$A$593:$K$617,11,FALSE)</f>
        <v>5.3515774174463502</v>
      </c>
      <c r="M65" s="1036">
        <f t="shared" si="39"/>
        <v>5.4765774174463502</v>
      </c>
      <c r="N65" s="107">
        <f t="shared" si="51"/>
        <v>4.25</v>
      </c>
      <c r="O65" s="93">
        <f>100-VLOOKUP(N65,'[1]Pricing '!$A$86:$K$110,11,FALSE)</f>
        <v>3.9897495130096985</v>
      </c>
      <c r="P65" s="1036">
        <f t="shared" si="40"/>
        <v>4.1147495130096985</v>
      </c>
      <c r="Q65" s="107">
        <f t="shared" si="83"/>
        <v>4.25</v>
      </c>
      <c r="R65" s="93">
        <f>100-VLOOKUP(Q65,'[1]Pricing '!$A$620:$K$644,11,FALSE)</f>
        <v>3.9897495130096985</v>
      </c>
      <c r="S65" s="1036">
        <f t="shared" si="42"/>
        <v>4.1147495130096985</v>
      </c>
      <c r="T65" s="107">
        <f t="shared" si="84"/>
        <v>4.375</v>
      </c>
      <c r="U65" s="93">
        <f>100-VLOOKUP(T65,'[1]Pricing '!$A$113:$K$137,11,FALSE)</f>
        <v>3.2743055197991282</v>
      </c>
      <c r="V65" s="1036">
        <f t="shared" si="43"/>
        <v>3.3993055197991282</v>
      </c>
      <c r="W65" s="107">
        <f t="shared" si="85"/>
        <v>4.625</v>
      </c>
      <c r="X65" s="93">
        <f>100-VLOOKUP(W65,'[1]Pricing '!$A$647:$K$671,11,FALSE)</f>
        <v>1.8775451611110725</v>
      </c>
      <c r="Y65" s="1036">
        <f t="shared" si="44"/>
        <v>2.0025451611110725</v>
      </c>
      <c r="Z65" s="107">
        <f t="shared" si="52"/>
        <v>5</v>
      </c>
      <c r="AA65" s="93">
        <f>100-VLOOKUP(Z65,'[1]Pricing '!$A$167:$K$191,11,FALSE)</f>
        <v>6.3340383118207058</v>
      </c>
      <c r="AB65" s="1036">
        <f t="shared" si="45"/>
        <v>6.4590383118207058</v>
      </c>
      <c r="AC65" s="107">
        <f t="shared" si="53"/>
        <v>5.125</v>
      </c>
      <c r="AD65" s="93">
        <f>100-VLOOKUP(AC65,'[1]Pricing '!$A$674:$K$698,11,FALSE)</f>
        <v>5.6274668004402315</v>
      </c>
      <c r="AE65" s="1036">
        <f t="shared" si="46"/>
        <v>5.7524668004402315</v>
      </c>
      <c r="AF65" s="107">
        <f t="shared" si="54"/>
        <v>4.75</v>
      </c>
      <c r="AG65" s="93">
        <f>100-VLOOKUP(AF65,'[1]Pricing '!$A$194:$K$218,11,FALSE)</f>
        <v>3.9392770496301779</v>
      </c>
      <c r="AH65" s="1036">
        <f t="shared" si="47"/>
        <v>4.0642770496301779</v>
      </c>
      <c r="AI65" s="107">
        <f t="shared" si="55"/>
        <v>4.75</v>
      </c>
      <c r="AJ65" s="93">
        <f>100-VLOOKUP(AI65,'[1]Pricing '!$A$701:$K$725,11,FALSE)</f>
        <v>3.9392770496301779</v>
      </c>
      <c r="AK65" s="1036">
        <f t="shared" si="48"/>
        <v>4.0642770496301779</v>
      </c>
    </row>
    <row r="66" spans="2:37" ht="16.5" x14ac:dyDescent="0.25">
      <c r="B66" s="1037" cm="1">
        <f t="array" ref="B66">INDEX($A$162:$DE$162,0,MATCH(B65,$A$162:$DE$162,0)-1)</f>
        <v>4.875</v>
      </c>
      <c r="C66" s="93">
        <f>IFERROR(100-VLOOKUP(B66,'[1]Pricing '!$A$6:$K$30,11,FALSE),"NA")</f>
        <v>5.6669011701163328</v>
      </c>
      <c r="D66" s="93">
        <f t="shared" si="36"/>
        <v>5.7919011701163328</v>
      </c>
      <c r="E66" s="111" cm="1">
        <f t="array" ref="E66">INDEX($A$162:$DE$162,0,MATCH(E65,$A$162:$DE$162,0)-1)</f>
        <v>5.125</v>
      </c>
      <c r="F66" s="93">
        <f>100-VLOOKUP(E66,'[1]Pricing '!$A$566:$K$590,11,FALSE)</f>
        <v>4.2040319855246793</v>
      </c>
      <c r="G66" s="94">
        <f t="shared" si="37"/>
        <v>4.3290319855246793</v>
      </c>
      <c r="H66" s="107">
        <f t="shared" si="49"/>
        <v>4.625</v>
      </c>
      <c r="I66" s="93">
        <f>100-VLOOKUP(H66,'[1]Pricing '!$A$59:$K$83,11,FALSE)</f>
        <v>6.1495100511789076</v>
      </c>
      <c r="J66" s="1036">
        <f t="shared" si="38"/>
        <v>6.2745100511789076</v>
      </c>
      <c r="K66" s="107">
        <f t="shared" si="50"/>
        <v>4.625</v>
      </c>
      <c r="L66" s="93">
        <f>100-VLOOKUP(K66,'[1]Pricing '!$A$593:$K$617,11,FALSE)</f>
        <v>6.1495100511789076</v>
      </c>
      <c r="M66" s="1036">
        <f t="shared" si="39"/>
        <v>6.2745100511789076</v>
      </c>
      <c r="N66" s="107">
        <f t="shared" si="51"/>
        <v>4.125</v>
      </c>
      <c r="O66" s="93">
        <f>100-VLOOKUP(N66,'[1]Pricing '!$A$86:$K$110,11,FALSE)</f>
        <v>4.3512277576561189</v>
      </c>
      <c r="P66" s="1036">
        <f t="shared" si="40"/>
        <v>4.4762277576561189</v>
      </c>
      <c r="Q66" s="107">
        <f t="shared" si="83"/>
        <v>4.125</v>
      </c>
      <c r="R66" s="93">
        <f>100-VLOOKUP(Q66,'[1]Pricing '!$A$620:$K$644,11,FALSE)</f>
        <v>4.3512277576561189</v>
      </c>
      <c r="S66" s="1036">
        <f t="shared" si="42"/>
        <v>4.4762277576561189</v>
      </c>
      <c r="T66" s="107">
        <f t="shared" si="84"/>
        <v>4.25</v>
      </c>
      <c r="U66" s="93">
        <f>100-VLOOKUP(T66,'[1]Pricing '!$A$113:$K$137,11,FALSE)</f>
        <v>3.8177495130097014</v>
      </c>
      <c r="V66" s="1036">
        <f t="shared" si="43"/>
        <v>3.9427495130097014</v>
      </c>
      <c r="W66" s="107">
        <f t="shared" si="85"/>
        <v>4.5</v>
      </c>
      <c r="X66" s="93">
        <f>100-VLOOKUP(W66,'[1]Pricing '!$A$647:$K$671,11,FALSE)</f>
        <v>2.7325591377905454</v>
      </c>
      <c r="Y66" s="1036">
        <f t="shared" si="44"/>
        <v>2.8575591377905454</v>
      </c>
      <c r="Z66" s="107">
        <f t="shared" si="52"/>
        <v>4.875</v>
      </c>
      <c r="AA66" s="93">
        <f>100-VLOOKUP(Z66,'[1]Pricing '!$A$167:$K$191,11,FALSE)</f>
        <v>6.6016623455876982</v>
      </c>
      <c r="AB66" s="1036">
        <f t="shared" si="45"/>
        <v>6.7266623455876982</v>
      </c>
      <c r="AC66" s="107">
        <f t="shared" si="53"/>
        <v>5</v>
      </c>
      <c r="AD66" s="93">
        <f>100-VLOOKUP(AC66,'[1]Pricing '!$A$674:$K$698,11,FALSE)</f>
        <v>6.3340383118207058</v>
      </c>
      <c r="AE66" s="1036">
        <f t="shared" si="46"/>
        <v>6.4590383118207058</v>
      </c>
      <c r="AF66" s="107">
        <f t="shared" si="54"/>
        <v>4.625</v>
      </c>
      <c r="AG66" s="93">
        <f>100-VLOOKUP(AF66,'[1]Pricing '!$A$194:$K$218,11,FALSE)</f>
        <v>3.9184098369319855</v>
      </c>
      <c r="AH66" s="1036">
        <f t="shared" si="47"/>
        <v>4.0434098369319855</v>
      </c>
      <c r="AI66" s="1037">
        <f t="shared" si="55"/>
        <v>4.625</v>
      </c>
      <c r="AJ66" s="93">
        <f>100-VLOOKUP(AI66,'[1]Pricing '!$A$701:$K$725,11,FALSE)</f>
        <v>3.9184098369319855</v>
      </c>
      <c r="AK66" s="1036">
        <f t="shared" si="48"/>
        <v>4.0434098369319855</v>
      </c>
    </row>
    <row r="67" spans="2:37" ht="17.25" thickBot="1" x14ac:dyDescent="0.3">
      <c r="B67" s="1037" cm="1">
        <f t="array" ref="B67">INDEX($A$162:$DE$162,0,MATCH(B66,$A$162:$DE$162,0)-1)</f>
        <v>4.75</v>
      </c>
      <c r="C67" s="1041">
        <f>IFERROR(100-VLOOKUP(B67,'[1]Pricing '!$A$6:$K$30,11,FALSE),"NA")</f>
        <v>6.531577417446357</v>
      </c>
      <c r="D67" s="1041">
        <f t="shared" si="36"/>
        <v>6.656577417446357</v>
      </c>
      <c r="E67" s="1135" cm="1">
        <f t="array" ref="E67">INDEX($A$162:$DE$162,0,MATCH(E66,$A$162:$DE$162,0)-1)</f>
        <v>5</v>
      </c>
      <c r="F67" s="539">
        <f>100-VLOOKUP(E67,'[1]Pricing '!$A$566:$K$590,11,FALSE)</f>
        <v>4.9040553347075218</v>
      </c>
      <c r="G67" s="256">
        <f t="shared" si="37"/>
        <v>5.0290553347075218</v>
      </c>
      <c r="H67" s="1047">
        <f t="shared" si="49"/>
        <v>4.5</v>
      </c>
      <c r="I67" s="1041">
        <f>100-VLOOKUP(H67,'[1]Pricing '!$A$59:$K$83,11,FALSE)</f>
        <v>6.7494107509491528</v>
      </c>
      <c r="J67" s="1042">
        <f t="shared" si="38"/>
        <v>6.8744107509491528</v>
      </c>
      <c r="K67" s="1047">
        <f>K66-0.125</f>
        <v>4.5</v>
      </c>
      <c r="L67" s="1041">
        <f>100-VLOOKUP(K67,'[1]Pricing '!$A$593:$K$617,11,FALSE)</f>
        <v>6.7494107509491528</v>
      </c>
      <c r="M67" s="1042">
        <f t="shared" si="39"/>
        <v>6.8744107509491528</v>
      </c>
      <c r="N67" s="1047">
        <f t="shared" si="51"/>
        <v>4</v>
      </c>
      <c r="O67" s="1041">
        <f>100-VLOOKUP(N67,'[1]Pricing '!$A$86:$K$110,11,FALSE)</f>
        <v>3.5834823195122851</v>
      </c>
      <c r="P67" s="1042">
        <f t="shared" si="40"/>
        <v>3.7084823195122851</v>
      </c>
      <c r="Q67" s="1047">
        <f t="shared" si="83"/>
        <v>4</v>
      </c>
      <c r="R67" s="1041">
        <f>100-VLOOKUP(Q67,'[1]Pricing '!$A$620:$K$644,11,FALSE)</f>
        <v>3.5834823195122851</v>
      </c>
      <c r="S67" s="1042">
        <f t="shared" si="42"/>
        <v>3.7084823195122851</v>
      </c>
      <c r="T67" s="1047">
        <f t="shared" si="84"/>
        <v>4.125</v>
      </c>
      <c r="U67" s="1041">
        <f>100-VLOOKUP(T67,'[1]Pricing '!$A$113:$K$137,11,FALSE)</f>
        <v>4.361227757656124</v>
      </c>
      <c r="V67" s="1042">
        <f t="shared" si="43"/>
        <v>4.486227757656124</v>
      </c>
      <c r="W67" s="1047">
        <f t="shared" si="85"/>
        <v>4.375</v>
      </c>
      <c r="X67" s="1041">
        <f>100-VLOOKUP(W67,'[1]Pricing '!$A$647:$K$671,11,FALSE)</f>
        <v>3.2743055197991282</v>
      </c>
      <c r="Y67" s="1042">
        <f t="shared" si="44"/>
        <v>3.3993055197991282</v>
      </c>
      <c r="Z67" s="1047">
        <f t="shared" si="52"/>
        <v>4.75</v>
      </c>
      <c r="AA67" s="1041">
        <f>100-VLOOKUP(Z67,'[1]Pricing '!$A$167:$K$191,11,FALSE)</f>
        <v>7.3836638076177366</v>
      </c>
      <c r="AB67" s="1042">
        <f t="shared" si="45"/>
        <v>7.5086638076177366</v>
      </c>
      <c r="AC67" s="1047">
        <f t="shared" si="53"/>
        <v>4.875</v>
      </c>
      <c r="AD67" s="1041">
        <f>100-VLOOKUP(AC67,'[1]Pricing '!$A$674:$K$698,11,FALSE)</f>
        <v>6.6016623455876982</v>
      </c>
      <c r="AE67" s="1042">
        <f t="shared" si="46"/>
        <v>6.7266623455876982</v>
      </c>
      <c r="AF67" s="1047">
        <f>AF66-0.125</f>
        <v>4.5</v>
      </c>
      <c r="AG67" s="1041">
        <f>100-VLOOKUP(AF67,'[1]Pricing '!$A$194:$K$218,11,FALSE)</f>
        <v>4.638538833329207</v>
      </c>
      <c r="AH67" s="1042">
        <f t="shared" si="47"/>
        <v>4.763538833329207</v>
      </c>
      <c r="AI67" s="1047">
        <f t="shared" si="55"/>
        <v>4.5</v>
      </c>
      <c r="AJ67" s="1041">
        <f>100-VLOOKUP(AI67,'[1]Pricing '!$A$701:$K$725,11,FALSE)</f>
        <v>4.638538833329207</v>
      </c>
      <c r="AK67" s="1042">
        <f t="shared" si="48"/>
        <v>4.763538833329207</v>
      </c>
    </row>
    <row r="68" spans="2:37" ht="18" customHeight="1" thickTop="1" thickBot="1" x14ac:dyDescent="0.3">
      <c r="B68" s="1048"/>
      <c r="C68" s="1045"/>
      <c r="AK68" s="1049"/>
    </row>
    <row r="69" spans="2:37" ht="33" customHeight="1" thickTop="1" thickBot="1" x14ac:dyDescent="0.3">
      <c r="B69" s="1050"/>
      <c r="C69" s="1051"/>
      <c r="D69" s="1051"/>
      <c r="E69" s="1051"/>
      <c r="F69" s="1051"/>
      <c r="G69" s="1051"/>
      <c r="H69" s="1051"/>
      <c r="I69" s="1051"/>
      <c r="J69" s="1051"/>
      <c r="K69" s="1051"/>
      <c r="L69" s="1051"/>
      <c r="M69" s="1051"/>
      <c r="N69" s="1051" t="s">
        <v>711</v>
      </c>
      <c r="O69" s="1051"/>
      <c r="P69" s="1051"/>
      <c r="Q69" s="1051"/>
      <c r="R69" s="1051"/>
      <c r="S69" s="1051"/>
      <c r="T69" s="1051"/>
      <c r="U69" s="1051"/>
      <c r="V69" s="1051"/>
      <c r="W69" s="1051"/>
      <c r="X69" s="1051"/>
      <c r="Y69" s="1051"/>
      <c r="Z69" s="1051"/>
      <c r="AA69" s="1051"/>
      <c r="AB69" s="1051"/>
      <c r="AC69" s="1051"/>
      <c r="AD69" s="1051"/>
      <c r="AE69" s="1051"/>
      <c r="AF69" s="1051"/>
      <c r="AG69" s="1051"/>
      <c r="AH69" s="1051"/>
      <c r="AI69" s="1051"/>
      <c r="AJ69" s="1051"/>
      <c r="AK69" s="1052"/>
    </row>
    <row r="70" spans="2:37" ht="21" thickTop="1" thickBot="1" x14ac:dyDescent="0.35">
      <c r="B70" s="1238" t="s">
        <v>712</v>
      </c>
      <c r="C70" s="1233"/>
      <c r="D70" s="1233"/>
      <c r="E70" s="1233"/>
      <c r="F70" s="1233"/>
      <c r="G70" s="1234"/>
      <c r="K70" s="1238" t="s">
        <v>713</v>
      </c>
      <c r="L70" s="1233"/>
      <c r="M70" s="1233"/>
      <c r="N70" s="1233"/>
      <c r="O70" s="1233"/>
      <c r="P70" s="1234"/>
      <c r="W70" s="1239"/>
      <c r="X70" s="1240"/>
      <c r="Y70" s="1240"/>
      <c r="Z70" s="1240"/>
      <c r="AA70" s="1240"/>
      <c r="AB70" s="1241"/>
      <c r="AE70" s="1046"/>
      <c r="AF70" s="1233"/>
      <c r="AG70" s="1233"/>
      <c r="AH70" s="1233"/>
      <c r="AI70" s="1233"/>
      <c r="AJ70" s="1233"/>
      <c r="AK70" s="1234"/>
    </row>
    <row r="71" spans="2:37" ht="23.25" customHeight="1" thickBot="1" x14ac:dyDescent="0.3">
      <c r="B71" s="1222" t="s">
        <v>714</v>
      </c>
      <c r="C71" s="1211"/>
      <c r="D71" s="1212"/>
      <c r="E71" s="1211" t="s">
        <v>728</v>
      </c>
      <c r="F71" s="1211"/>
      <c r="G71" s="1212"/>
      <c r="J71" s="1049"/>
      <c r="K71" s="1211" t="s">
        <v>715</v>
      </c>
      <c r="L71" s="1211"/>
      <c r="M71" s="1212"/>
      <c r="N71" s="1222" t="s">
        <v>716</v>
      </c>
      <c r="O71" s="1211"/>
      <c r="P71" s="1212"/>
      <c r="V71" s="1049"/>
      <c r="W71" s="1211"/>
      <c r="X71" s="1211"/>
      <c r="Y71" s="1212"/>
      <c r="Z71" s="1211"/>
      <c r="AA71" s="1211"/>
      <c r="AB71" s="1212"/>
      <c r="AE71" s="1049"/>
      <c r="AF71" s="1211"/>
      <c r="AG71" s="1211"/>
      <c r="AH71" s="1212"/>
      <c r="AI71" s="1211"/>
      <c r="AJ71" s="1211"/>
      <c r="AK71" s="1212"/>
    </row>
    <row r="72" spans="2:37" ht="17.25" customHeight="1" x14ac:dyDescent="0.25">
      <c r="B72" s="1053" t="s">
        <v>14</v>
      </c>
      <c r="C72" s="646" t="s">
        <v>15</v>
      </c>
      <c r="D72" s="1054" t="s">
        <v>257</v>
      </c>
      <c r="E72" s="646" t="s">
        <v>14</v>
      </c>
      <c r="F72" s="646" t="s">
        <v>15</v>
      </c>
      <c r="G72" s="1054" t="s">
        <v>257</v>
      </c>
      <c r="J72" s="1049"/>
      <c r="K72" s="646" t="s">
        <v>14</v>
      </c>
      <c r="L72" s="646" t="s">
        <v>15</v>
      </c>
      <c r="M72" s="1054" t="s">
        <v>257</v>
      </c>
      <c r="N72" s="646" t="s">
        <v>14</v>
      </c>
      <c r="O72" s="646" t="s">
        <v>15</v>
      </c>
      <c r="P72" s="1054" t="s">
        <v>257</v>
      </c>
      <c r="V72" s="1049"/>
      <c r="W72" s="646"/>
      <c r="X72" s="646"/>
      <c r="Y72" s="1054"/>
      <c r="Z72" s="646"/>
      <c r="AA72" s="646"/>
      <c r="AB72" s="1055"/>
      <c r="AE72" s="1049"/>
      <c r="AF72" s="646"/>
      <c r="AG72" s="646"/>
      <c r="AH72" s="1054"/>
      <c r="AI72" s="646"/>
      <c r="AJ72" s="646"/>
      <c r="AK72" s="1054"/>
    </row>
    <row r="73" spans="2:37" ht="17.25" customHeight="1" x14ac:dyDescent="0.25">
      <c r="B73" s="1037">
        <f>LARGE('[1]Pricing '!$A$3347:$A$3371,1)</f>
        <v>7.75</v>
      </c>
      <c r="C73" s="93">
        <f>100-VLOOKUP(B73,'[1]Pricing '!$A$3347:$K$3371,11,FALSE)</f>
        <v>-4.3010265345003802</v>
      </c>
      <c r="D73" s="1036">
        <f>C73-$U$2</f>
        <v>-4.1760265345003802</v>
      </c>
      <c r="E73" s="107">
        <f>LARGE('[1]Pricing '!$A$86:$A$110,1)</f>
        <v>7</v>
      </c>
      <c r="F73" s="93">
        <f>100-VLOOKUP(E73,'[1]Pricing '!$A$86:$K$110,11,FALSE)</f>
        <v>-3.2350398200550075</v>
      </c>
      <c r="G73" s="1036">
        <f>F73-$U$2</f>
        <v>-3.1100398200550075</v>
      </c>
      <c r="K73" s="1037">
        <f>LARGE('[1]Pricing '!$A$3404:$A$3428,1)</f>
        <v>7.875</v>
      </c>
      <c r="L73" s="93">
        <f>100-VLOOKUP(K73,'[1]Pricing '!$A$3404:$K$3428,11,FALSE)</f>
        <v>-4.2503310273502422</v>
      </c>
      <c r="M73" s="1036">
        <f>L73-$U$2</f>
        <v>-4.1253310273502422</v>
      </c>
      <c r="N73" s="107">
        <f>LARGE('[1]Pricing '!$A$3431:$A$3456,1)</f>
        <v>7</v>
      </c>
      <c r="O73" s="93">
        <f>100-VLOOKUP(N73,'[1]Pricing '!$A$3431:$K$3456,11,FALSE)</f>
        <v>-2.9850398200550075</v>
      </c>
      <c r="P73" s="1036">
        <f>O73-$U$2</f>
        <v>-2.8600398200550075</v>
      </c>
      <c r="W73" s="1037"/>
      <c r="X73" s="93"/>
      <c r="Y73" s="1036"/>
      <c r="Z73" s="107"/>
      <c r="AA73" s="93"/>
      <c r="AB73" s="1036"/>
      <c r="AF73" s="1037"/>
      <c r="AG73" s="93"/>
      <c r="AH73" s="1036"/>
      <c r="AI73" s="107"/>
      <c r="AJ73" s="93"/>
      <c r="AK73" s="1036"/>
    </row>
    <row r="74" spans="2:37" ht="17.25" customHeight="1" x14ac:dyDescent="0.25">
      <c r="B74" s="1037">
        <f>B73-0.125</f>
        <v>7.625</v>
      </c>
      <c r="C74" s="93">
        <f>100-VLOOKUP(B74,'[1]Pricing '!$A$3347:$K$3371,11,FALSE)</f>
        <v>-4.3356203116761236</v>
      </c>
      <c r="D74" s="1036">
        <f t="shared" ref="D74:D93" si="86">C74-$U$2</f>
        <v>-4.2106203116761236</v>
      </c>
      <c r="E74" s="107">
        <f>E73-0.125</f>
        <v>6.875</v>
      </c>
      <c r="F74" s="93">
        <f>100-VLOOKUP(E74,'[1]Pricing '!$A$86:$K$110,11,FALSE)</f>
        <v>-3.0143409363082725</v>
      </c>
      <c r="G74" s="1036">
        <f t="shared" ref="G74:G96" si="87">F74-$U$2</f>
        <v>-2.8893409363082725</v>
      </c>
      <c r="K74" s="1037">
        <f>K73-0.125</f>
        <v>7.75</v>
      </c>
      <c r="L74" s="93">
        <f>100-VLOOKUP(K74,'[1]Pricing '!$A$3404:$K$3428,11,FALSE)</f>
        <v>-3.9891265345003717</v>
      </c>
      <c r="M74" s="1036">
        <f t="shared" ref="M74:M97" si="88">L74-$U$2</f>
        <v>-3.8641265345003717</v>
      </c>
      <c r="N74" s="107">
        <f>N73-0.125</f>
        <v>6.875</v>
      </c>
      <c r="O74" s="93">
        <f>100-VLOOKUP(N74,'[1]Pricing '!$A$3431:$K$3456,11,FALSE)</f>
        <v>-2.7643409363082725</v>
      </c>
      <c r="P74" s="1036">
        <f t="shared" ref="P74:P97" si="89">O74-$U$2</f>
        <v>-2.6393409363082725</v>
      </c>
      <c r="W74" s="1037"/>
      <c r="X74" s="93"/>
      <c r="Y74" s="1036"/>
      <c r="Z74" s="107"/>
      <c r="AA74" s="93"/>
      <c r="AB74" s="1036"/>
      <c r="AF74" s="1037"/>
      <c r="AG74" s="93"/>
      <c r="AH74" s="1036"/>
      <c r="AI74" s="107"/>
      <c r="AJ74" s="93"/>
      <c r="AK74" s="1036"/>
    </row>
    <row r="75" spans="2:37" ht="21.75" customHeight="1" x14ac:dyDescent="0.25">
      <c r="B75" s="1037">
        <f t="shared" ref="B75:B97" si="90">B74-0.125</f>
        <v>7.5</v>
      </c>
      <c r="C75" s="93">
        <f>100-VLOOKUP(B75,'[1]Pricing '!$A$3347:$K$3371,11,FALSE)</f>
        <v>-4.1091060180409897</v>
      </c>
      <c r="D75" s="1036">
        <f t="shared" si="86"/>
        <v>-3.9841060180409897</v>
      </c>
      <c r="E75" s="107">
        <f t="shared" ref="E75:E97" si="91">E74-0.125</f>
        <v>6.75</v>
      </c>
      <c r="F75" s="93">
        <f>100-VLOOKUP(E75,'[1]Pricing '!$A$86:$K$110,11,FALSE)</f>
        <v>-2.7662590836898886</v>
      </c>
      <c r="G75" s="1036">
        <f t="shared" si="87"/>
        <v>-2.6412590836898886</v>
      </c>
      <c r="K75" s="1037">
        <f t="shared" ref="K75:K97" si="92">K74-0.125</f>
        <v>7.625</v>
      </c>
      <c r="L75" s="93">
        <f>100-VLOOKUP(K75,'[1]Pricing '!$A$3404:$K$3428,11,FALSE)</f>
        <v>-4.0257203116761247</v>
      </c>
      <c r="M75" s="1036">
        <f t="shared" si="88"/>
        <v>-3.9007203116761247</v>
      </c>
      <c r="N75" s="107">
        <f t="shared" ref="N75:N86" si="93">N74-0.125</f>
        <v>6.75</v>
      </c>
      <c r="O75" s="93">
        <f>100-VLOOKUP(N75,'[1]Pricing '!$A$3431:$K$3456,11,FALSE)</f>
        <v>-2.5162590836898886</v>
      </c>
      <c r="P75" s="1036">
        <f t="shared" si="89"/>
        <v>-2.3912590836898886</v>
      </c>
      <c r="W75" s="1037"/>
      <c r="X75" s="93"/>
      <c r="Y75" s="1036"/>
      <c r="Z75" s="107"/>
      <c r="AA75" s="93"/>
      <c r="AB75" s="1036"/>
      <c r="AF75" s="1037"/>
      <c r="AG75" s="93"/>
      <c r="AH75" s="1036"/>
      <c r="AI75" s="107"/>
      <c r="AJ75" s="93"/>
      <c r="AK75" s="1036"/>
    </row>
    <row r="76" spans="2:37" ht="21.75" customHeight="1" x14ac:dyDescent="0.25">
      <c r="B76" s="1037">
        <f t="shared" si="90"/>
        <v>7.375</v>
      </c>
      <c r="C76" s="93">
        <f>100-VLOOKUP(B76,'[1]Pricing '!$A$3347:$K$3371,11,FALSE)</f>
        <v>-3.8406793530222529</v>
      </c>
      <c r="D76" s="1036">
        <f t="shared" si="86"/>
        <v>-3.7156793530222529</v>
      </c>
      <c r="E76" s="107">
        <f t="shared" si="91"/>
        <v>6.625</v>
      </c>
      <c r="F76" s="93">
        <f>100-VLOOKUP(E76,'[1]Pricing '!$A$86:$K$110,11,FALSE)</f>
        <v>-2.5121048496292531</v>
      </c>
      <c r="G76" s="1036">
        <f t="shared" si="87"/>
        <v>-2.3871048496292531</v>
      </c>
      <c r="K76" s="1037">
        <f t="shared" si="92"/>
        <v>7.5</v>
      </c>
      <c r="L76" s="93">
        <f>100-VLOOKUP(K76,'[1]Pricing '!$A$3404:$K$3428,11,FALSE)</f>
        <v>-3.8172060180409915</v>
      </c>
      <c r="M76" s="1036">
        <f t="shared" si="88"/>
        <v>-3.6922060180409915</v>
      </c>
      <c r="N76" s="107">
        <f t="shared" si="93"/>
        <v>6.625</v>
      </c>
      <c r="O76" s="93">
        <f>100-VLOOKUP(N76,'[1]Pricing '!$A$3431:$K$3456,11,FALSE)</f>
        <v>-2.2621048496292531</v>
      </c>
      <c r="P76" s="1036">
        <f t="shared" si="89"/>
        <v>-2.1371048496292531</v>
      </c>
      <c r="W76" s="1037"/>
      <c r="X76" s="93"/>
      <c r="Y76" s="1036"/>
      <c r="Z76" s="107"/>
      <c r="AA76" s="93"/>
      <c r="AB76" s="1036"/>
      <c r="AF76" s="1037"/>
      <c r="AG76" s="93"/>
      <c r="AH76" s="1036"/>
      <c r="AI76" s="107"/>
      <c r="AJ76" s="93"/>
      <c r="AK76" s="1036"/>
    </row>
    <row r="77" spans="2:37" ht="17.25" customHeight="1" x14ac:dyDescent="0.25">
      <c r="B77" s="1037">
        <f t="shared" si="90"/>
        <v>7.25</v>
      </c>
      <c r="C77" s="93">
        <f>100-VLOOKUP(B77,'[1]Pricing '!$A$3347:$K$3371,11,FALSE)</f>
        <v>-3.6941232180739263</v>
      </c>
      <c r="D77" s="1036">
        <f t="shared" si="86"/>
        <v>-3.5691232180739263</v>
      </c>
      <c r="E77" s="107">
        <f t="shared" si="91"/>
        <v>6.5</v>
      </c>
      <c r="F77" s="93">
        <f>100-VLOOKUP(E77,'[1]Pricing '!$A$86:$K$110,11,FALSE)</f>
        <v>-2.3369705107690493</v>
      </c>
      <c r="G77" s="1036">
        <f t="shared" si="87"/>
        <v>-2.2119705107690493</v>
      </c>
      <c r="K77" s="1037">
        <f t="shared" si="92"/>
        <v>7.375</v>
      </c>
      <c r="L77" s="93">
        <f>100-VLOOKUP(K77,'[1]Pricing '!$A$3404:$K$3428,11,FALSE)</f>
        <v>-3.5477793530222499</v>
      </c>
      <c r="M77" s="1036">
        <f t="shared" si="88"/>
        <v>-3.4227793530222499</v>
      </c>
      <c r="N77" s="107">
        <f t="shared" si="93"/>
        <v>6.5</v>
      </c>
      <c r="O77" s="93">
        <f>100-VLOOKUP(N77,'[1]Pricing '!$A$3431:$K$3456,11,FALSE)</f>
        <v>-2.0869705107690493</v>
      </c>
      <c r="P77" s="1036">
        <f t="shared" si="89"/>
        <v>-1.9619705107690493</v>
      </c>
      <c r="W77" s="1037"/>
      <c r="X77" s="93"/>
      <c r="Y77" s="1036"/>
      <c r="Z77" s="107"/>
      <c r="AA77" s="93"/>
      <c r="AB77" s="1036"/>
      <c r="AF77" s="1037"/>
      <c r="AG77" s="93"/>
      <c r="AH77" s="1036"/>
      <c r="AI77" s="107"/>
      <c r="AJ77" s="93"/>
      <c r="AK77" s="1036"/>
    </row>
    <row r="78" spans="2:37" ht="17.25" customHeight="1" x14ac:dyDescent="0.25">
      <c r="B78" s="1037">
        <f t="shared" si="90"/>
        <v>7.125</v>
      </c>
      <c r="C78" s="93">
        <f>100-VLOOKUP(B78,'[1]Pricing '!$A$3347:$K$3371,11,FALSE)</f>
        <v>-3.3120342986537565</v>
      </c>
      <c r="D78" s="1036">
        <f t="shared" si="86"/>
        <v>-3.1870342986537565</v>
      </c>
      <c r="E78" s="107">
        <f t="shared" si="91"/>
        <v>6.375</v>
      </c>
      <c r="F78" s="93">
        <f>100-VLOOKUP(E78,'[1]Pricing '!$A$86:$K$110,11,FALSE)</f>
        <v>-2.0965438397576435</v>
      </c>
      <c r="G78" s="1036">
        <f t="shared" si="87"/>
        <v>-1.9715438397576435</v>
      </c>
      <c r="K78" s="1037">
        <f t="shared" si="92"/>
        <v>7.25</v>
      </c>
      <c r="L78" s="93">
        <f>100-VLOOKUP(K78,'[1]Pricing '!$A$3404:$K$3428,11,FALSE)</f>
        <v>-3.0692232180739296</v>
      </c>
      <c r="M78" s="1036">
        <f t="shared" si="88"/>
        <v>-2.9442232180739296</v>
      </c>
      <c r="N78" s="107">
        <f t="shared" si="93"/>
        <v>6.375</v>
      </c>
      <c r="O78" s="93">
        <f>100-VLOOKUP(N78,'[1]Pricing '!$A$3431:$K$3456,11,FALSE)</f>
        <v>-1.8465438397576435</v>
      </c>
      <c r="P78" s="1036">
        <f t="shared" si="89"/>
        <v>-1.7215438397576435</v>
      </c>
      <c r="W78" s="1037"/>
      <c r="X78" s="93"/>
      <c r="Y78" s="1036"/>
      <c r="Z78" s="107"/>
      <c r="AA78" s="93"/>
      <c r="AB78" s="1036"/>
      <c r="AF78" s="1037"/>
      <c r="AG78" s="93"/>
      <c r="AH78" s="1036"/>
      <c r="AI78" s="107"/>
      <c r="AJ78" s="93"/>
      <c r="AK78" s="1036"/>
    </row>
    <row r="79" spans="2:37" ht="17.25" customHeight="1" x14ac:dyDescent="0.25">
      <c r="B79" s="1037">
        <f t="shared" si="90"/>
        <v>7</v>
      </c>
      <c r="C79" s="93">
        <f>100-VLOOKUP(B79,'[1]Pricing '!$A$3347:$K$3371,11,FALSE)</f>
        <v>-3.0116188214809796</v>
      </c>
      <c r="D79" s="1036">
        <f t="shared" si="86"/>
        <v>-2.8866188214809796</v>
      </c>
      <c r="E79" s="107">
        <f t="shared" si="91"/>
        <v>6.25</v>
      </c>
      <c r="F79" s="93">
        <f>100-VLOOKUP(E79,'[1]Pricing '!$A$86:$K$110,11,FALSE)</f>
        <v>-1.8050741952660445</v>
      </c>
      <c r="G79" s="1036">
        <f t="shared" si="87"/>
        <v>-1.6800741952660445</v>
      </c>
      <c r="K79" s="1037">
        <f t="shared" si="92"/>
        <v>7.125</v>
      </c>
      <c r="L79" s="93">
        <f>100-VLOOKUP(K79,'[1]Pricing '!$A$3404:$K$3428,11,FALSE)</f>
        <v>-2.8556342986537686</v>
      </c>
      <c r="M79" s="1036">
        <f t="shared" si="88"/>
        <v>-2.7306342986537686</v>
      </c>
      <c r="N79" s="107">
        <f t="shared" si="93"/>
        <v>6.25</v>
      </c>
      <c r="O79" s="93">
        <f>100-VLOOKUP(N79,'[1]Pricing '!$A$3431:$K$3456,11,FALSE)</f>
        <v>-1.5550741952660445</v>
      </c>
      <c r="P79" s="1036">
        <f t="shared" si="89"/>
        <v>-1.4300741952660445</v>
      </c>
      <c r="W79" s="1037"/>
      <c r="X79" s="93"/>
      <c r="Y79" s="1036"/>
      <c r="Z79" s="107"/>
      <c r="AA79" s="93"/>
      <c r="AB79" s="1036"/>
      <c r="AF79" s="1037"/>
      <c r="AG79" s="93"/>
      <c r="AH79" s="1036"/>
      <c r="AI79" s="107"/>
      <c r="AJ79" s="93"/>
      <c r="AK79" s="1036"/>
    </row>
    <row r="80" spans="2:37" ht="16.5" x14ac:dyDescent="0.25">
      <c r="B80" s="1037">
        <f t="shared" si="90"/>
        <v>6.875</v>
      </c>
      <c r="C80" s="93">
        <f>100-VLOOKUP(B80,'[1]Pricing '!$A$3347:$K$3371,11,FALSE)</f>
        <v>-2.6455370702999659</v>
      </c>
      <c r="D80" s="1036">
        <f t="shared" si="86"/>
        <v>-2.5205370702999659</v>
      </c>
      <c r="E80" s="107">
        <f t="shared" si="91"/>
        <v>6.125</v>
      </c>
      <c r="F80" s="93">
        <f>100-VLOOKUP(E80,'[1]Pricing '!$A$86:$K$110,11,FALSE)</f>
        <v>-1.469931596937883</v>
      </c>
      <c r="G80" s="1036">
        <f t="shared" si="87"/>
        <v>-1.344931596937883</v>
      </c>
      <c r="K80" s="1037">
        <f t="shared" si="92"/>
        <v>7</v>
      </c>
      <c r="L80" s="93">
        <f>100-VLOOKUP(K80,'[1]Pricing '!$A$3404:$K$3428,11,FALSE)</f>
        <v>-2.5284188214809831</v>
      </c>
      <c r="M80" s="1036">
        <f t="shared" si="88"/>
        <v>-2.4034188214809831</v>
      </c>
      <c r="N80" s="107">
        <f t="shared" si="93"/>
        <v>6.125</v>
      </c>
      <c r="O80" s="93">
        <f>100-VLOOKUP(N80,'[1]Pricing '!$A$3431:$K$3456,11,FALSE)</f>
        <v>-1.219931596937883</v>
      </c>
      <c r="P80" s="1036">
        <f t="shared" si="89"/>
        <v>-1.094931596937883</v>
      </c>
      <c r="W80" s="1037"/>
      <c r="X80" s="93"/>
      <c r="Y80" s="1036"/>
      <c r="Z80" s="107"/>
      <c r="AA80" s="93"/>
      <c r="AB80" s="1036"/>
      <c r="AF80" s="1037"/>
      <c r="AG80" s="93"/>
      <c r="AH80" s="1036"/>
      <c r="AI80" s="107"/>
      <c r="AJ80" s="93"/>
      <c r="AK80" s="1036"/>
    </row>
    <row r="81" spans="2:37" ht="16.5" customHeight="1" x14ac:dyDescent="0.25">
      <c r="B81" s="1037">
        <f t="shared" si="90"/>
        <v>6.75</v>
      </c>
      <c r="C81" s="93">
        <f>100-VLOOKUP(B81,'[1]Pricing '!$A$3347:$K$3371,11,FALSE)</f>
        <v>-2.2252353823492541</v>
      </c>
      <c r="D81" s="1036">
        <f t="shared" si="86"/>
        <v>-2.1002353823492541</v>
      </c>
      <c r="E81" s="107">
        <f t="shared" si="91"/>
        <v>6</v>
      </c>
      <c r="F81" s="93">
        <f>100-VLOOKUP(E81,'[1]Pricing '!$A$86:$K$110,11,FALSE)</f>
        <v>-1.2045453709175007</v>
      </c>
      <c r="G81" s="1036">
        <f t="shared" si="87"/>
        <v>-1.0795453709175007</v>
      </c>
      <c r="K81" s="1037">
        <f t="shared" si="92"/>
        <v>6.875</v>
      </c>
      <c r="L81" s="93">
        <f>100-VLOOKUP(K81,'[1]Pricing '!$A$3404:$K$3428,11,FALSE)</f>
        <v>-2.0666370702999757</v>
      </c>
      <c r="M81" s="1036">
        <f t="shared" si="88"/>
        <v>-1.9416370702999757</v>
      </c>
      <c r="N81" s="107">
        <f t="shared" si="93"/>
        <v>6</v>
      </c>
      <c r="O81" s="93">
        <f>100-VLOOKUP(N81,'[1]Pricing '!$A$3431:$K$3456,11,FALSE)</f>
        <v>-0.95454537091750069</v>
      </c>
      <c r="P81" s="1036">
        <f t="shared" si="89"/>
        <v>-0.82954537091750069</v>
      </c>
      <c r="W81" s="1037"/>
      <c r="X81" s="93"/>
      <c r="Y81" s="1036"/>
      <c r="Z81" s="107"/>
      <c r="AA81" s="93"/>
      <c r="AB81" s="1036"/>
      <c r="AF81" s="1037"/>
      <c r="AG81" s="93"/>
      <c r="AH81" s="1036"/>
      <c r="AI81" s="107"/>
      <c r="AJ81" s="93"/>
      <c r="AK81" s="1036"/>
    </row>
    <row r="82" spans="2:37" ht="16.5" customHeight="1" x14ac:dyDescent="0.25">
      <c r="B82" s="1037">
        <f t="shared" si="90"/>
        <v>6.625</v>
      </c>
      <c r="C82" s="93">
        <f>100-VLOOKUP(B82,'[1]Pricing '!$A$3347:$K$3371,11,FALSE)</f>
        <v>-1.7969419487640863</v>
      </c>
      <c r="D82" s="1036">
        <f t="shared" si="86"/>
        <v>-1.6719419487640863</v>
      </c>
      <c r="E82" s="107">
        <f t="shared" si="91"/>
        <v>5.875</v>
      </c>
      <c r="F82" s="93">
        <f>100-VLOOKUP(E82,'[1]Pricing '!$A$86:$K$110,11,FALSE)</f>
        <v>-0.93241864753889558</v>
      </c>
      <c r="G82" s="1036">
        <f t="shared" si="87"/>
        <v>-0.80741864753889558</v>
      </c>
      <c r="K82" s="1037">
        <f t="shared" si="92"/>
        <v>6.75</v>
      </c>
      <c r="L82" s="93">
        <f>100-VLOOKUP(K82,'[1]Pricing '!$A$3404:$K$3428,11,FALSE)</f>
        <v>-1.5260353823492636</v>
      </c>
      <c r="M82" s="1036">
        <f t="shared" si="88"/>
        <v>-1.4010353823492636</v>
      </c>
      <c r="N82" s="107">
        <f t="shared" si="93"/>
        <v>5.875</v>
      </c>
      <c r="O82" s="93">
        <f>100-VLOOKUP(N82,'[1]Pricing '!$A$3431:$K$3456,11,FALSE)</f>
        <v>-0.68241864753889558</v>
      </c>
      <c r="P82" s="1036">
        <f t="shared" si="89"/>
        <v>-0.55741864753889558</v>
      </c>
      <c r="W82" s="1037"/>
      <c r="X82" s="93"/>
      <c r="Y82" s="1036"/>
      <c r="Z82" s="107"/>
      <c r="AA82" s="93"/>
      <c r="AB82" s="1036"/>
      <c r="AF82" s="1037"/>
      <c r="AG82" s="93"/>
      <c r="AH82" s="1036"/>
      <c r="AI82" s="107"/>
      <c r="AJ82" s="93"/>
      <c r="AK82" s="1036"/>
    </row>
    <row r="83" spans="2:37" ht="16.5" x14ac:dyDescent="0.25">
      <c r="B83" s="1037">
        <f t="shared" si="90"/>
        <v>6.5</v>
      </c>
      <c r="C83" s="93">
        <f>100-VLOOKUP(B83,'[1]Pricing '!$A$3347:$K$3371,11,FALSE)</f>
        <v>-1.3660579725934241</v>
      </c>
      <c r="D83" s="1036">
        <f t="shared" si="86"/>
        <v>-1.2410579725934241</v>
      </c>
      <c r="E83" s="107">
        <f t="shared" si="91"/>
        <v>5.75</v>
      </c>
      <c r="F83" s="93">
        <f>100-VLOOKUP(E83,'[1]Pricing '!$A$86:$K$110,11,FALSE)</f>
        <v>-0.52905740022148962</v>
      </c>
      <c r="G83" s="1036">
        <f t="shared" si="87"/>
        <v>-0.40405740022148962</v>
      </c>
      <c r="K83" s="1037">
        <f t="shared" si="92"/>
        <v>6.625</v>
      </c>
      <c r="L83" s="93">
        <f>100-VLOOKUP(K83,'[1]Pricing '!$A$3404:$K$3428,11,FALSE)</f>
        <v>-1.3501419487640902</v>
      </c>
      <c r="M83" s="1036">
        <f t="shared" si="88"/>
        <v>-1.2251419487640902</v>
      </c>
      <c r="N83" s="107">
        <f t="shared" si="93"/>
        <v>5.75</v>
      </c>
      <c r="O83" s="93">
        <f>100-VLOOKUP(N83,'[1]Pricing '!$A$3431:$K$3456,11,FALSE)</f>
        <v>-0.27905740022148962</v>
      </c>
      <c r="P83" s="1036">
        <f t="shared" si="89"/>
        <v>-0.15405740022148962</v>
      </c>
      <c r="W83" s="1037"/>
      <c r="X83" s="93"/>
      <c r="Y83" s="1036"/>
      <c r="Z83" s="107"/>
      <c r="AA83" s="93"/>
      <c r="AB83" s="1036"/>
      <c r="AF83" s="1037"/>
      <c r="AG83" s="93"/>
      <c r="AH83" s="1036"/>
      <c r="AI83" s="107"/>
      <c r="AJ83" s="93"/>
      <c r="AK83" s="1036"/>
    </row>
    <row r="84" spans="2:37" ht="17.25" customHeight="1" x14ac:dyDescent="0.25">
      <c r="B84" s="1037">
        <f t="shared" si="90"/>
        <v>6.375</v>
      </c>
      <c r="C84" s="93">
        <f>100-VLOOKUP(B84,'[1]Pricing '!$A$3347:$K$3371,11,FALSE)</f>
        <v>-0.94347310891402003</v>
      </c>
      <c r="D84" s="1036">
        <f t="shared" si="86"/>
        <v>-0.81847310891402003</v>
      </c>
      <c r="E84" s="107">
        <f t="shared" si="91"/>
        <v>5.625</v>
      </c>
      <c r="F84" s="93">
        <f>100-VLOOKUP(E84,'[1]Pricing '!$A$86:$K$110,11,FALSE)</f>
        <v>-0.19157641302291495</v>
      </c>
      <c r="G84" s="1036">
        <f t="shared" si="87"/>
        <v>-6.6576413022914949E-2</v>
      </c>
      <c r="K84" s="1037">
        <f t="shared" si="92"/>
        <v>6.5</v>
      </c>
      <c r="L84" s="93">
        <f>100-VLOOKUP(K84,'[1]Pricing '!$A$3404:$K$3428,11,FALSE)</f>
        <v>-0.97855797259342125</v>
      </c>
      <c r="M84" s="1036">
        <f t="shared" si="88"/>
        <v>-0.85355797259342125</v>
      </c>
      <c r="N84" s="107">
        <f t="shared" si="93"/>
        <v>5.625</v>
      </c>
      <c r="O84" s="93">
        <f>100-VLOOKUP(N84,'[1]Pricing '!$A$3431:$K$3456,11,FALSE)</f>
        <v>5.8423586977085051E-2</v>
      </c>
      <c r="P84" s="1036">
        <f t="shared" si="89"/>
        <v>0.18342358697708505</v>
      </c>
      <c r="W84" s="1037"/>
      <c r="X84" s="93"/>
      <c r="Y84" s="1036"/>
      <c r="Z84" s="107"/>
      <c r="AA84" s="93"/>
      <c r="AB84" s="1036"/>
      <c r="AF84" s="1037"/>
      <c r="AG84" s="93"/>
      <c r="AH84" s="1036"/>
      <c r="AI84" s="107"/>
      <c r="AJ84" s="93"/>
      <c r="AK84" s="1036"/>
    </row>
    <row r="85" spans="2:37" ht="17.25" customHeight="1" x14ac:dyDescent="0.25">
      <c r="B85" s="1037">
        <f t="shared" si="90"/>
        <v>6.25</v>
      </c>
      <c r="C85" s="93">
        <f>100-VLOOKUP(B85,'[1]Pricing '!$A$3347:$K$3371,11,FALSE)</f>
        <v>-0.50613415441047493</v>
      </c>
      <c r="D85" s="1036">
        <f t="shared" si="86"/>
        <v>-0.38113415441047493</v>
      </c>
      <c r="E85" s="107">
        <f t="shared" si="91"/>
        <v>5.5</v>
      </c>
      <c r="F85" s="93">
        <f>100-VLOOKUP(E85,'[1]Pricing '!$A$86:$K$110,11,FALSE)</f>
        <v>0.13124288119375649</v>
      </c>
      <c r="G85" s="1036">
        <f t="shared" si="87"/>
        <v>0.25624288119375649</v>
      </c>
      <c r="K85" s="1037">
        <f t="shared" si="92"/>
        <v>6.375</v>
      </c>
      <c r="L85" s="93">
        <f>100-VLOOKUP(K85,'[1]Pricing '!$A$3404:$K$3428,11,FALSE)</f>
        <v>-0.6465731089140121</v>
      </c>
      <c r="M85" s="1036">
        <f t="shared" si="88"/>
        <v>-0.5215731089140121</v>
      </c>
      <c r="N85" s="107">
        <f t="shared" si="93"/>
        <v>5.5</v>
      </c>
      <c r="O85" s="93">
        <f>100-VLOOKUP(N85,'[1]Pricing '!$A$3431:$K$3456,11,FALSE)</f>
        <v>0.38124288119375649</v>
      </c>
      <c r="P85" s="1036">
        <f t="shared" si="89"/>
        <v>0.50624288119375649</v>
      </c>
      <c r="W85" s="1037"/>
      <c r="X85" s="93"/>
      <c r="Y85" s="1036"/>
      <c r="Z85" s="107"/>
      <c r="AA85" s="93"/>
      <c r="AB85" s="1036"/>
      <c r="AF85" s="1037"/>
      <c r="AG85" s="93"/>
      <c r="AH85" s="1036"/>
      <c r="AI85" s="107"/>
      <c r="AJ85" s="93"/>
      <c r="AK85" s="1036"/>
    </row>
    <row r="86" spans="2:37" ht="16.5" x14ac:dyDescent="0.25">
      <c r="B86" s="1037">
        <f t="shared" si="90"/>
        <v>6.125</v>
      </c>
      <c r="C86" s="93">
        <f>100-VLOOKUP(B86,'[1]Pricing '!$A$3347:$K$3371,11,FALSE)</f>
        <v>-0.16986193826461715</v>
      </c>
      <c r="D86" s="1036">
        <f t="shared" si="86"/>
        <v>-4.4861938264617152E-2</v>
      </c>
      <c r="E86" s="107">
        <f t="shared" si="91"/>
        <v>5.375</v>
      </c>
      <c r="F86" s="93">
        <f>100-VLOOKUP(E86,'[1]Pricing '!$A$86:$K$110,11,FALSE)</f>
        <v>0.4801796913834977</v>
      </c>
      <c r="G86" s="1036">
        <f t="shared" si="87"/>
        <v>0.6051796913834977</v>
      </c>
      <c r="K86" s="1037">
        <f t="shared" si="92"/>
        <v>6.25</v>
      </c>
      <c r="L86" s="93">
        <f>100-VLOOKUP(K86,'[1]Pricing '!$A$3404:$K$3428,11,FALSE)</f>
        <v>-0.19793415441047557</v>
      </c>
      <c r="M86" s="1036">
        <f t="shared" si="88"/>
        <v>-7.2934154410475571E-2</v>
      </c>
      <c r="N86" s="107">
        <f t="shared" si="93"/>
        <v>5.375</v>
      </c>
      <c r="O86" s="93">
        <f>100-VLOOKUP(N86,'[1]Pricing '!$A$3431:$K$3456,11,FALSE)</f>
        <v>0.7301796913834977</v>
      </c>
      <c r="P86" s="1036">
        <f t="shared" si="89"/>
        <v>0.8551796913834977</v>
      </c>
      <c r="W86" s="1037"/>
      <c r="X86" s="93"/>
      <c r="Y86" s="1036"/>
      <c r="Z86" s="107"/>
      <c r="AA86" s="93"/>
      <c r="AB86" s="1036"/>
      <c r="AF86" s="1037"/>
      <c r="AG86" s="93"/>
      <c r="AH86" s="1036"/>
      <c r="AI86" s="107"/>
      <c r="AJ86" s="93"/>
      <c r="AK86" s="1036"/>
    </row>
    <row r="87" spans="2:37" ht="17.25" customHeight="1" x14ac:dyDescent="0.25">
      <c r="B87" s="1037">
        <f t="shared" si="90"/>
        <v>6</v>
      </c>
      <c r="C87" s="93">
        <f>100-VLOOKUP(B87,'[1]Pricing '!$A$3347:$K$3371,11,FALSE)</f>
        <v>0.44919670071487872</v>
      </c>
      <c r="D87" s="1036">
        <f t="shared" si="86"/>
        <v>0.57419670071487872</v>
      </c>
      <c r="E87" s="107">
        <f t="shared" si="91"/>
        <v>5.25</v>
      </c>
      <c r="F87" s="93">
        <f>100-VLOOKUP(E87,'[1]Pricing '!$A$86:$K$110,11,FALSE)</f>
        <v>0.8207904930487615</v>
      </c>
      <c r="G87" s="1036">
        <f t="shared" si="87"/>
        <v>0.9457904930487615</v>
      </c>
      <c r="K87" s="1037">
        <f t="shared" si="92"/>
        <v>6.125</v>
      </c>
      <c r="L87" s="93">
        <f>100-VLOOKUP(K87,'[1]Pricing '!$A$3404:$K$3428,11,FALSE)</f>
        <v>0.24153806173538328</v>
      </c>
      <c r="M87" s="1036">
        <f t="shared" si="88"/>
        <v>0.36653806173538328</v>
      </c>
      <c r="N87" s="107">
        <f>N86-0.125</f>
        <v>5.25</v>
      </c>
      <c r="O87" s="93">
        <f>100-VLOOKUP(N87,'[1]Pricing '!$A$3431:$K$3456,11,FALSE)</f>
        <v>1.0707904930487615</v>
      </c>
      <c r="P87" s="1036">
        <f t="shared" si="89"/>
        <v>1.1957904930487615</v>
      </c>
      <c r="W87" s="1037"/>
      <c r="X87" s="93"/>
      <c r="Y87" s="1036"/>
      <c r="Z87" s="107"/>
      <c r="AA87" s="93"/>
      <c r="AB87" s="1036"/>
      <c r="AF87" s="1037"/>
      <c r="AG87" s="93"/>
      <c r="AH87" s="1036"/>
      <c r="AI87" s="107"/>
      <c r="AJ87" s="93"/>
      <c r="AK87" s="1036"/>
    </row>
    <row r="88" spans="2:37" ht="17.25" customHeight="1" x14ac:dyDescent="0.25">
      <c r="B88" s="1037">
        <f t="shared" si="90"/>
        <v>5.875</v>
      </c>
      <c r="C88" s="93">
        <f>100-VLOOKUP(B88,'[1]Pricing '!$A$3347:$K$3371,11,FALSE)</f>
        <v>0.95864571703525314</v>
      </c>
      <c r="D88" s="1036">
        <f t="shared" si="86"/>
        <v>1.0836457170352531</v>
      </c>
      <c r="E88" s="107">
        <f t="shared" si="91"/>
        <v>5.125</v>
      </c>
      <c r="F88" s="93">
        <f>100-VLOOKUP(E88,'[1]Pricing '!$A$86:$K$110,11,FALSE)</f>
        <v>1.1420258742828651</v>
      </c>
      <c r="G88" s="1036">
        <f t="shared" si="87"/>
        <v>1.2670258742828651</v>
      </c>
      <c r="K88" s="1037">
        <f t="shared" si="92"/>
        <v>6</v>
      </c>
      <c r="L88" s="93">
        <f>100-VLOOKUP(K88,'[1]Pricing '!$A$3404:$K$3428,11,FALSE)</f>
        <v>0.7948967007148724</v>
      </c>
      <c r="M88" s="1036">
        <f t="shared" si="88"/>
        <v>0.9198967007148724</v>
      </c>
      <c r="N88" s="107">
        <f>N87-0.125</f>
        <v>5.125</v>
      </c>
      <c r="O88" s="93">
        <f>100-VLOOKUP(N88,'[1]Pricing '!$A$3431:$K$3456,11,FALSE)</f>
        <v>1.3920258742828651</v>
      </c>
      <c r="P88" s="1036">
        <f t="shared" si="89"/>
        <v>1.5170258742828651</v>
      </c>
      <c r="W88" s="1037"/>
      <c r="X88" s="93"/>
      <c r="Y88" s="1036"/>
      <c r="Z88" s="107"/>
      <c r="AA88" s="93"/>
      <c r="AB88" s="1036"/>
      <c r="AF88" s="1037"/>
      <c r="AG88" s="93"/>
      <c r="AH88" s="1036"/>
      <c r="AI88" s="107"/>
      <c r="AJ88" s="93"/>
      <c r="AK88" s="1036"/>
    </row>
    <row r="89" spans="2:37" ht="17.25" customHeight="1" x14ac:dyDescent="0.25">
      <c r="B89" s="1037">
        <f t="shared" si="90"/>
        <v>5.75</v>
      </c>
      <c r="C89" s="93">
        <f>100-VLOOKUP(B89,'[1]Pricing '!$A$3347:$K$3371,11,FALSE)</f>
        <v>1.475639565394232</v>
      </c>
      <c r="D89" s="1036">
        <f t="shared" si="86"/>
        <v>1.600639565394232</v>
      </c>
      <c r="E89" s="107">
        <f t="shared" si="91"/>
        <v>5</v>
      </c>
      <c r="F89" s="93">
        <f>100-VLOOKUP(E89,'[1]Pricing '!$A$86:$K$110,11,FALSE)</f>
        <v>1.6822188465542212</v>
      </c>
      <c r="G89" s="1036">
        <f t="shared" si="87"/>
        <v>1.8072188465542212</v>
      </c>
      <c r="K89" s="1037">
        <f t="shared" si="92"/>
        <v>5.875</v>
      </c>
      <c r="L89" s="93">
        <f>100-VLOOKUP(K89,'[1]Pricing '!$A$3404:$K$3428,11,FALSE)</f>
        <v>1.2417457170352577</v>
      </c>
      <c r="M89" s="1036">
        <f t="shared" si="88"/>
        <v>1.3667457170352577</v>
      </c>
      <c r="N89" s="107">
        <f t="shared" ref="N89:N97" si="94">N88-0.125</f>
        <v>5</v>
      </c>
      <c r="O89" s="93">
        <f>100-VLOOKUP(N89,'[1]Pricing '!$A$3431:$K$3456,11,FALSE)</f>
        <v>1.9322188465542212</v>
      </c>
      <c r="P89" s="1036">
        <f t="shared" si="89"/>
        <v>2.0572188465542212</v>
      </c>
      <c r="W89" s="1037"/>
      <c r="X89" s="93"/>
      <c r="Y89" s="1036"/>
      <c r="Z89" s="107"/>
      <c r="AA89" s="93"/>
      <c r="AB89" s="1036"/>
      <c r="AF89" s="1037"/>
      <c r="AG89" s="93"/>
      <c r="AH89" s="1036"/>
      <c r="AI89" s="107"/>
      <c r="AJ89" s="93"/>
      <c r="AK89" s="1036"/>
    </row>
    <row r="90" spans="2:37" ht="17.25" customHeight="1" x14ac:dyDescent="0.25">
      <c r="B90" s="1037">
        <f t="shared" si="90"/>
        <v>5.625</v>
      </c>
      <c r="C90" s="93">
        <f>100-VLOOKUP(B90,'[1]Pricing '!$A$3347:$K$3371,11,FALSE)</f>
        <v>1.9934476840297606</v>
      </c>
      <c r="D90" s="1036">
        <f t="shared" si="86"/>
        <v>2.1184476840297606</v>
      </c>
      <c r="E90" s="107">
        <f t="shared" si="91"/>
        <v>4.875</v>
      </c>
      <c r="F90" s="93">
        <f>100-VLOOKUP(E90,'[1]Pricing '!$A$86:$K$110,11,FALSE)</f>
        <v>2.0503599737149329</v>
      </c>
      <c r="G90" s="1036">
        <f t="shared" si="87"/>
        <v>2.1753599737149329</v>
      </c>
      <c r="K90" s="1037">
        <f t="shared" si="92"/>
        <v>5.75</v>
      </c>
      <c r="L90" s="93">
        <f>100-VLOOKUP(K90,'[1]Pricing '!$A$3404:$K$3428,11,FALSE)</f>
        <v>1.7745395653942211</v>
      </c>
      <c r="M90" s="1036">
        <f t="shared" si="88"/>
        <v>1.8995395653942211</v>
      </c>
      <c r="N90" s="107">
        <f t="shared" si="94"/>
        <v>4.875</v>
      </c>
      <c r="O90" s="93">
        <f>100-VLOOKUP(N90,'[1]Pricing '!$A$3431:$K$3456,11,FALSE)</f>
        <v>2.3003599737149329</v>
      </c>
      <c r="P90" s="1036">
        <f t="shared" si="89"/>
        <v>2.4253599737149329</v>
      </c>
      <c r="W90" s="1037"/>
      <c r="X90" s="93"/>
      <c r="Y90" s="1036"/>
      <c r="Z90" s="107"/>
      <c r="AA90" s="93"/>
      <c r="AB90" s="1036"/>
      <c r="AF90" s="1037"/>
      <c r="AG90" s="93"/>
      <c r="AH90" s="1036"/>
      <c r="AI90" s="107"/>
      <c r="AJ90" s="93"/>
      <c r="AK90" s="1036"/>
    </row>
    <row r="91" spans="2:37" ht="17.25" customHeight="1" x14ac:dyDescent="0.25">
      <c r="B91" s="1037">
        <f t="shared" si="90"/>
        <v>5.5</v>
      </c>
      <c r="C91" s="93">
        <f>100-VLOOKUP(B91,'[1]Pricing '!$A$3347:$K$3371,11,FALSE)</f>
        <v>2.5279002302383873</v>
      </c>
      <c r="D91" s="1036">
        <f t="shared" si="86"/>
        <v>2.6529002302383873</v>
      </c>
      <c r="E91" s="107">
        <f t="shared" si="91"/>
        <v>4.75</v>
      </c>
      <c r="F91" s="93">
        <f>100-VLOOKUP(E91,'[1]Pricing '!$A$86:$K$110,11,FALSE)</f>
        <v>2.4388163986093332</v>
      </c>
      <c r="G91" s="1036">
        <f t="shared" si="87"/>
        <v>2.5638163986093332</v>
      </c>
      <c r="K91" s="1037">
        <f t="shared" si="92"/>
        <v>5.625</v>
      </c>
      <c r="L91" s="93">
        <f>100-VLOOKUP(K91,'[1]Pricing '!$A$3404:$K$3428,11,FALSE)</f>
        <v>2.3066476840297696</v>
      </c>
      <c r="M91" s="1036">
        <f t="shared" si="88"/>
        <v>2.4316476840297696</v>
      </c>
      <c r="N91" s="107">
        <f t="shared" si="94"/>
        <v>4.75</v>
      </c>
      <c r="O91" s="93">
        <f>100-VLOOKUP(N91,'[1]Pricing '!$A$3431:$K$3456,11,FALSE)</f>
        <v>2.6888163986093332</v>
      </c>
      <c r="P91" s="1036">
        <f t="shared" si="89"/>
        <v>2.8138163986093332</v>
      </c>
      <c r="W91" s="1037"/>
      <c r="X91" s="93"/>
      <c r="Y91" s="1036"/>
      <c r="Z91" s="107"/>
      <c r="AA91" s="93"/>
      <c r="AB91" s="1036"/>
      <c r="AF91" s="1037"/>
      <c r="AG91" s="93"/>
      <c r="AH91" s="1036"/>
      <c r="AI91" s="107"/>
      <c r="AJ91" s="93"/>
      <c r="AK91" s="1036"/>
    </row>
    <row r="92" spans="2:37" ht="17.25" customHeight="1" x14ac:dyDescent="0.25">
      <c r="B92" s="1037">
        <f t="shared" si="90"/>
        <v>5.375</v>
      </c>
      <c r="C92" s="93">
        <f>100-VLOOKUP(B92,'[1]Pricing '!$A$3347:$K$3371,11,FALSE)</f>
        <v>3.1056034912293597</v>
      </c>
      <c r="D92" s="1036">
        <f t="shared" si="86"/>
        <v>3.2306034912293597</v>
      </c>
      <c r="E92" s="107">
        <f t="shared" si="91"/>
        <v>4.625</v>
      </c>
      <c r="F92" s="93">
        <f>100-VLOOKUP(E92,'[1]Pricing '!$A$86:$K$110,11,FALSE)</f>
        <v>2.8945451611110684</v>
      </c>
      <c r="G92" s="1036">
        <f t="shared" si="87"/>
        <v>3.0195451611110684</v>
      </c>
      <c r="K92" s="1037">
        <f t="shared" si="92"/>
        <v>5.5</v>
      </c>
      <c r="L92" s="93">
        <f>100-VLOOKUP(K92,'[1]Pricing '!$A$3404:$K$3428,11,FALSE)</f>
        <v>2.8869002302383819</v>
      </c>
      <c r="M92" s="1036">
        <f t="shared" si="88"/>
        <v>3.0119002302383819</v>
      </c>
      <c r="N92" s="107">
        <f t="shared" si="94"/>
        <v>4.625</v>
      </c>
      <c r="O92" s="93">
        <f>100-VLOOKUP(N92,'[1]Pricing '!$A$3431:$K$3456,11,FALSE)</f>
        <v>3.1445451611110684</v>
      </c>
      <c r="P92" s="1036">
        <f t="shared" si="89"/>
        <v>3.2695451611110684</v>
      </c>
      <c r="W92" s="1037"/>
      <c r="X92" s="93"/>
      <c r="Y92" s="1036"/>
      <c r="Z92" s="107"/>
      <c r="AA92" s="93"/>
      <c r="AB92" s="1036"/>
      <c r="AF92" s="1037"/>
      <c r="AG92" s="93"/>
      <c r="AH92" s="1036"/>
      <c r="AI92" s="107"/>
      <c r="AJ92" s="93"/>
      <c r="AK92" s="1036"/>
    </row>
    <row r="93" spans="2:37" ht="16.5" customHeight="1" x14ac:dyDescent="0.25">
      <c r="B93" s="1037">
        <f t="shared" si="90"/>
        <v>5.25</v>
      </c>
      <c r="C93" s="93">
        <f>100-VLOOKUP(B93,'[1]Pricing '!$A$3347:$K$3371,11,FALSE)</f>
        <v>3.7230679677513763</v>
      </c>
      <c r="D93" s="1036">
        <f t="shared" si="86"/>
        <v>3.8480679677513763</v>
      </c>
      <c r="E93" s="107">
        <f t="shared" si="91"/>
        <v>4.5</v>
      </c>
      <c r="F93" s="93">
        <f>100-VLOOKUP(E93,'[1]Pricing '!$A$86:$K$110,11,FALSE)</f>
        <v>3.0965591377905497</v>
      </c>
      <c r="G93" s="1036">
        <f t="shared" si="87"/>
        <v>3.2215591377905497</v>
      </c>
      <c r="K93" s="1037">
        <f t="shared" si="92"/>
        <v>5.375</v>
      </c>
      <c r="L93" s="93">
        <f>100-VLOOKUP(K93,'[1]Pricing '!$A$3404:$K$3428,11,FALSE)</f>
        <v>3.4556034912293541</v>
      </c>
      <c r="M93" s="1036">
        <f t="shared" si="88"/>
        <v>3.5806034912293541</v>
      </c>
      <c r="N93" s="107">
        <f t="shared" si="94"/>
        <v>4.5</v>
      </c>
      <c r="O93" s="93">
        <f>100-VLOOKUP(N93,'[1]Pricing '!$A$3431:$K$3456,11,FALSE)</f>
        <v>3.3465591377905497</v>
      </c>
      <c r="P93" s="1036">
        <f t="shared" si="89"/>
        <v>3.4715591377905497</v>
      </c>
      <c r="W93" s="1037"/>
      <c r="X93" s="93"/>
      <c r="Y93" s="1036"/>
      <c r="Z93" s="107"/>
      <c r="AA93" s="93"/>
      <c r="AB93" s="1036"/>
      <c r="AF93" s="1037"/>
      <c r="AG93" s="93"/>
      <c r="AH93" s="1036"/>
      <c r="AI93" s="107"/>
      <c r="AJ93" s="93"/>
      <c r="AK93" s="1036"/>
    </row>
    <row r="94" spans="2:37" ht="19.5" customHeight="1" x14ac:dyDescent="0.25">
      <c r="B94" s="1037">
        <f t="shared" si="90"/>
        <v>5.125</v>
      </c>
      <c r="C94" s="93">
        <f>100-VLOOKUP(B94,'[1]Pricing '!$A$3347:$K$3371,11,FALSE)</f>
        <v>4.155831985524685</v>
      </c>
      <c r="D94" s="1036">
        <f t="shared" ref="D94:D97" si="95">C94-$U$2</f>
        <v>4.280831985524685</v>
      </c>
      <c r="E94" s="107">
        <f t="shared" si="91"/>
        <v>4.375</v>
      </c>
      <c r="F94" s="93">
        <f>100-VLOOKUP(E94,'[1]Pricing '!$A$86:$K$110,11,FALSE)</f>
        <v>3.5423055197991289</v>
      </c>
      <c r="G94" s="1036">
        <f t="shared" si="87"/>
        <v>3.6673055197991289</v>
      </c>
      <c r="K94" s="1037">
        <f t="shared" si="92"/>
        <v>5.25</v>
      </c>
      <c r="L94" s="93">
        <f>100-VLOOKUP(K94,'[1]Pricing '!$A$3404:$K$3428,11,FALSE)</f>
        <v>4.4470679677513658</v>
      </c>
      <c r="M94" s="1036">
        <f t="shared" si="88"/>
        <v>4.5720679677513658</v>
      </c>
      <c r="N94" s="107">
        <f t="shared" si="94"/>
        <v>4.375</v>
      </c>
      <c r="O94" s="93">
        <f>100-VLOOKUP(N94,'[1]Pricing '!$A$3431:$K$3456,11,FALSE)</f>
        <v>3.7923055197991289</v>
      </c>
      <c r="P94" s="1036">
        <f t="shared" si="89"/>
        <v>3.9173055197991289</v>
      </c>
      <c r="W94" s="1037"/>
      <c r="X94" s="93"/>
      <c r="Y94" s="1036"/>
      <c r="Z94" s="107"/>
      <c r="AA94" s="93"/>
      <c r="AB94" s="1036"/>
      <c r="AF94" s="1037"/>
      <c r="AG94" s="93"/>
      <c r="AH94" s="1036"/>
      <c r="AI94" s="107"/>
      <c r="AJ94" s="93"/>
      <c r="AK94" s="1036"/>
    </row>
    <row r="95" spans="2:37" ht="16.5" customHeight="1" x14ac:dyDescent="0.25">
      <c r="B95" s="1037">
        <f t="shared" si="90"/>
        <v>5</v>
      </c>
      <c r="C95" s="93">
        <f>100-VLOOKUP(B95,'[1]Pricing '!$A$3347:$K$3371,11,FALSE)</f>
        <v>4.7816553347075228</v>
      </c>
      <c r="D95" s="1036">
        <f t="shared" si="95"/>
        <v>4.9066553347075228</v>
      </c>
      <c r="E95" s="107">
        <f t="shared" si="91"/>
        <v>4.25</v>
      </c>
      <c r="F95" s="93">
        <f>100-VLOOKUP(E95,'[1]Pricing '!$A$86:$K$110,11,FALSE)</f>
        <v>3.9897495130096985</v>
      </c>
      <c r="G95" s="1036">
        <f t="shared" si="87"/>
        <v>4.1147495130096985</v>
      </c>
      <c r="K95" s="1037">
        <f t="shared" si="92"/>
        <v>5.125</v>
      </c>
      <c r="L95" s="93">
        <f>100-VLOOKUP(K95,'[1]Pricing '!$A$3404:$K$3428,11,FALSE)</f>
        <v>4.4540319855246793</v>
      </c>
      <c r="M95" s="1036">
        <f t="shared" si="88"/>
        <v>4.5790319855246793</v>
      </c>
      <c r="N95" s="107">
        <f t="shared" si="94"/>
        <v>4.25</v>
      </c>
      <c r="O95" s="93">
        <f>100-VLOOKUP(N95,'[1]Pricing '!$A$3431:$K$3456,11,FALSE)</f>
        <v>4.2397495130096985</v>
      </c>
      <c r="P95" s="1036">
        <f t="shared" si="89"/>
        <v>4.3647495130096985</v>
      </c>
      <c r="W95" s="1037"/>
      <c r="X95" s="93"/>
      <c r="Y95" s="1036"/>
      <c r="Z95" s="107"/>
      <c r="AA95" s="93"/>
      <c r="AB95" s="1036"/>
      <c r="AF95" s="1037"/>
      <c r="AG95" s="93"/>
      <c r="AH95" s="1036"/>
      <c r="AI95" s="107"/>
      <c r="AJ95" s="93"/>
      <c r="AK95" s="1036"/>
    </row>
    <row r="96" spans="2:37" ht="16.5" customHeight="1" x14ac:dyDescent="0.25">
      <c r="B96" s="1037">
        <f t="shared" si="90"/>
        <v>4.875</v>
      </c>
      <c r="C96" s="93">
        <f>100-VLOOKUP(B96,'[1]Pricing '!$A$3347:$K$3371,11,FALSE)</f>
        <v>5.4322011701163433</v>
      </c>
      <c r="D96" s="1036">
        <f t="shared" si="95"/>
        <v>5.5572011701163433</v>
      </c>
      <c r="E96" s="107">
        <f t="shared" si="91"/>
        <v>4.125</v>
      </c>
      <c r="F96" s="93">
        <f>100-VLOOKUP(E96,'[1]Pricing '!$A$86:$K$110,11,FALSE)</f>
        <v>4.3512277576561189</v>
      </c>
      <c r="G96" s="1036">
        <f t="shared" si="87"/>
        <v>4.4762277576561189</v>
      </c>
      <c r="K96" s="1037">
        <f t="shared" si="92"/>
        <v>5</v>
      </c>
      <c r="L96" s="93">
        <f>100-VLOOKUP(K96,'[1]Pricing '!$A$3404:$K$3428,11,FALSE)</f>
        <v>5.1540553347075218</v>
      </c>
      <c r="M96" s="1036">
        <f t="shared" si="88"/>
        <v>5.2790553347075218</v>
      </c>
      <c r="N96" s="107">
        <f t="shared" si="94"/>
        <v>4.125</v>
      </c>
      <c r="O96" s="93">
        <f>100-VLOOKUP(N96,'[1]Pricing '!$A$3431:$K$3456,11,FALSE)</f>
        <v>4.6012277576561189</v>
      </c>
      <c r="P96" s="1036">
        <f t="shared" si="89"/>
        <v>4.7262277576561189</v>
      </c>
      <c r="W96" s="1037"/>
      <c r="X96" s="93"/>
      <c r="Y96" s="1036"/>
      <c r="Z96" s="107"/>
      <c r="AA96" s="93"/>
      <c r="AB96" s="1036"/>
      <c r="AF96" s="1037"/>
      <c r="AG96" s="93"/>
      <c r="AH96" s="1036"/>
      <c r="AI96" s="107"/>
      <c r="AJ96" s="93"/>
      <c r="AK96" s="1036"/>
    </row>
    <row r="97" spans="2:37" ht="16.5" customHeight="1" x14ac:dyDescent="0.25">
      <c r="B97" s="1037">
        <f t="shared" si="90"/>
        <v>4.75</v>
      </c>
      <c r="C97" s="93">
        <f>100-VLOOKUP(B97,'[1]Pricing '!$A$3347:$K$3371,11,FALSE)</f>
        <v>6.1001774174463606</v>
      </c>
      <c r="D97" s="1036">
        <f t="shared" si="95"/>
        <v>6.2251774174463606</v>
      </c>
      <c r="E97" s="107">
        <f t="shared" si="91"/>
        <v>4</v>
      </c>
      <c r="F97" s="93">
        <f>100-VLOOKUP(E97,'[1]Pricing '!$A$86:$K$110,11,FALSE)</f>
        <v>3.5834823195122851</v>
      </c>
      <c r="G97" s="1036">
        <f t="shared" ref="G97" si="96">F97-$U$2</f>
        <v>3.7084823195122851</v>
      </c>
      <c r="K97" s="1037">
        <f t="shared" si="92"/>
        <v>4.875</v>
      </c>
      <c r="L97" s="93">
        <f>100-VLOOKUP(K97,'[1]Pricing '!$A$3404:$K$3428,11,FALSE)</f>
        <v>5.9169011701163328</v>
      </c>
      <c r="M97" s="1036">
        <f t="shared" si="88"/>
        <v>6.0419011701163328</v>
      </c>
      <c r="N97" s="107">
        <f t="shared" si="94"/>
        <v>4</v>
      </c>
      <c r="O97" s="93">
        <f>100-VLOOKUP(N97,'[1]Pricing '!$A$3431:$K$3456,11,FALSE)</f>
        <v>3.8334823195122851</v>
      </c>
      <c r="P97" s="1036">
        <f t="shared" si="89"/>
        <v>3.9584823195122851</v>
      </c>
      <c r="W97" s="1037"/>
      <c r="X97" s="93"/>
      <c r="Y97" s="1036"/>
      <c r="Z97" s="107"/>
      <c r="AA97" s="93"/>
      <c r="AB97" s="1036"/>
      <c r="AF97" s="1037"/>
      <c r="AG97" s="93"/>
      <c r="AH97" s="1036"/>
      <c r="AI97" s="107"/>
      <c r="AJ97" s="93"/>
      <c r="AK97" s="1049"/>
    </row>
    <row r="98" spans="2:37" ht="16.5" customHeight="1" thickBot="1" x14ac:dyDescent="0.3">
      <c r="B98" s="1056"/>
      <c r="C98" s="1057"/>
      <c r="D98" s="1058"/>
      <c r="E98" s="1047"/>
      <c r="F98" s="1041"/>
      <c r="G98" s="1042"/>
      <c r="K98" s="1056"/>
      <c r="L98" s="1057"/>
      <c r="M98" s="1058"/>
      <c r="N98" s="1056"/>
      <c r="O98" s="1057"/>
      <c r="P98" s="1058"/>
      <c r="W98" s="1040"/>
      <c r="X98" s="1041"/>
      <c r="Y98" s="1042"/>
      <c r="Z98" s="1056"/>
      <c r="AA98" s="1057"/>
      <c r="AB98" s="1058"/>
      <c r="AF98" s="1056"/>
      <c r="AG98" s="1057"/>
      <c r="AH98" s="1058"/>
      <c r="AI98" s="1056"/>
      <c r="AJ98" s="1057"/>
      <c r="AK98" s="1058"/>
    </row>
    <row r="99" spans="2:37" ht="16.5" thickTop="1" thickBot="1" x14ac:dyDescent="0.3">
      <c r="B99" s="1044"/>
      <c r="AK99" s="1049"/>
    </row>
    <row r="100" spans="2:37" ht="27.75" thickTop="1" thickBot="1" x14ac:dyDescent="0.3">
      <c r="B100" s="1224" t="s">
        <v>717</v>
      </c>
      <c r="C100" s="1225"/>
      <c r="D100" s="1225"/>
      <c r="E100" s="1225"/>
      <c r="F100" s="1225"/>
      <c r="G100" s="1225"/>
      <c r="H100" s="1225"/>
      <c r="I100" s="1225"/>
      <c r="J100" s="1225"/>
      <c r="K100" s="1225"/>
      <c r="L100" s="1225"/>
      <c r="M100" s="1225"/>
      <c r="N100" s="1225"/>
      <c r="O100" s="1225"/>
      <c r="P100" s="1225"/>
      <c r="Q100" s="1225"/>
      <c r="R100" s="1225"/>
      <c r="S100" s="1225"/>
      <c r="T100" s="1225"/>
      <c r="U100" s="1225"/>
      <c r="V100" s="1225"/>
      <c r="W100" s="1225"/>
      <c r="X100" s="1225"/>
      <c r="Y100" s="1225"/>
      <c r="Z100" s="1225"/>
      <c r="AA100" s="1225"/>
      <c r="AB100" s="1225"/>
      <c r="AC100" s="1225"/>
      <c r="AD100" s="1225"/>
      <c r="AE100" s="1225"/>
      <c r="AF100" s="1225"/>
      <c r="AG100" s="1225"/>
      <c r="AH100" s="1225"/>
      <c r="AI100" s="1225"/>
      <c r="AJ100" s="1225"/>
      <c r="AK100" s="1226"/>
    </row>
    <row r="101" spans="2:37" ht="21" thickTop="1" thickBot="1" x14ac:dyDescent="0.35">
      <c r="B101" s="1227" t="s">
        <v>344</v>
      </c>
      <c r="C101" s="1228"/>
      <c r="D101" s="1228"/>
      <c r="E101" s="1228"/>
      <c r="F101" s="1228"/>
      <c r="G101" s="1228"/>
      <c r="H101" s="1228"/>
      <c r="I101" s="1228"/>
      <c r="J101" s="1229"/>
      <c r="O101" s="1230" t="s">
        <v>344</v>
      </c>
      <c r="P101" s="1231"/>
      <c r="Q101" s="1231"/>
      <c r="R101" s="1231"/>
      <c r="S101" s="1231"/>
      <c r="T101" s="1231"/>
      <c r="U101" s="1231"/>
      <c r="V101" s="1231"/>
      <c r="W101" s="1232"/>
      <c r="AB101" s="1049"/>
      <c r="AC101" s="1233" t="s">
        <v>718</v>
      </c>
      <c r="AD101" s="1233"/>
      <c r="AE101" s="1233"/>
      <c r="AF101" s="1233"/>
      <c r="AG101" s="1233"/>
      <c r="AH101" s="1233"/>
      <c r="AI101" s="1233"/>
      <c r="AJ101" s="1233"/>
      <c r="AK101" s="1234"/>
    </row>
    <row r="102" spans="2:37" ht="23.25" customHeight="1" thickBot="1" x14ac:dyDescent="0.3">
      <c r="B102" s="1222" t="s">
        <v>24</v>
      </c>
      <c r="C102" s="1211"/>
      <c r="D102" s="1212"/>
      <c r="E102" s="1222" t="s">
        <v>25</v>
      </c>
      <c r="F102" s="1211"/>
      <c r="G102" s="1211"/>
      <c r="H102" s="1210" t="s">
        <v>26</v>
      </c>
      <c r="I102" s="1211"/>
      <c r="J102" s="1223"/>
      <c r="O102" s="1210" t="s">
        <v>16</v>
      </c>
      <c r="P102" s="1211"/>
      <c r="Q102" s="1212"/>
      <c r="R102" s="1211" t="s">
        <v>17</v>
      </c>
      <c r="S102" s="1211"/>
      <c r="T102" s="1211"/>
      <c r="U102" s="1210" t="s">
        <v>18</v>
      </c>
      <c r="V102" s="1211"/>
      <c r="W102" s="1212"/>
      <c r="X102" s="1044"/>
      <c r="AC102" s="1210" t="s">
        <v>19</v>
      </c>
      <c r="AD102" s="1211"/>
      <c r="AE102" s="1212"/>
      <c r="AF102" s="1211" t="s">
        <v>20</v>
      </c>
      <c r="AG102" s="1211"/>
      <c r="AH102" s="1211"/>
      <c r="AI102" s="1210" t="s">
        <v>21</v>
      </c>
      <c r="AJ102" s="1211"/>
      <c r="AK102" s="1212"/>
    </row>
    <row r="103" spans="2:37" ht="16.5" x14ac:dyDescent="0.25">
      <c r="B103" s="1053" t="s">
        <v>14</v>
      </c>
      <c r="C103" s="646" t="s">
        <v>15</v>
      </c>
      <c r="D103" s="1054" t="s">
        <v>257</v>
      </c>
      <c r="E103" s="1053" t="s">
        <v>14</v>
      </c>
      <c r="F103" s="646" t="s">
        <v>15</v>
      </c>
      <c r="G103" s="1054" t="s">
        <v>257</v>
      </c>
      <c r="H103" s="1053" t="s">
        <v>14</v>
      </c>
      <c r="I103" s="646" t="s">
        <v>15</v>
      </c>
      <c r="J103" s="1054" t="s">
        <v>257</v>
      </c>
      <c r="O103" s="1053" t="s">
        <v>14</v>
      </c>
      <c r="P103" s="646" t="s">
        <v>15</v>
      </c>
      <c r="Q103" s="1054" t="s">
        <v>257</v>
      </c>
      <c r="R103" s="646" t="s">
        <v>14</v>
      </c>
      <c r="S103" s="646" t="s">
        <v>15</v>
      </c>
      <c r="T103" s="1054" t="s">
        <v>257</v>
      </c>
      <c r="U103" s="646" t="s">
        <v>14</v>
      </c>
      <c r="V103" s="646" t="s">
        <v>15</v>
      </c>
      <c r="W103" s="1055" t="s">
        <v>257</v>
      </c>
      <c r="AB103" s="1049"/>
      <c r="AC103" s="646" t="s">
        <v>14</v>
      </c>
      <c r="AD103" s="646" t="s">
        <v>15</v>
      </c>
      <c r="AE103" s="1054" t="s">
        <v>257</v>
      </c>
      <c r="AF103" s="646" t="s">
        <v>14</v>
      </c>
      <c r="AG103" s="646" t="s">
        <v>15</v>
      </c>
      <c r="AH103" s="1054" t="s">
        <v>257</v>
      </c>
      <c r="AI103" s="646" t="s">
        <v>14</v>
      </c>
      <c r="AJ103" s="646" t="s">
        <v>15</v>
      </c>
      <c r="AK103" s="1054" t="s">
        <v>257</v>
      </c>
    </row>
    <row r="104" spans="2:37" ht="16.5" x14ac:dyDescent="0.25">
      <c r="B104" s="1037">
        <f>LARGE('[1]Pricing '!$A$419:$A$438,1)</f>
        <v>7.5</v>
      </c>
      <c r="C104" s="93">
        <f>100-VLOOKUP(B104,'[1]Pricing '!$A$419:$K$438,11,FALSE)</f>
        <v>-1.8771161280272395</v>
      </c>
      <c r="D104" s="1036">
        <f>C104-$U$2</f>
        <v>-1.7521161280272395</v>
      </c>
      <c r="E104" s="107">
        <f>LARGE('[1]Pricing '!$A$441:$A$460,1)</f>
        <v>7.5</v>
      </c>
      <c r="F104" s="93">
        <f>100-VLOOKUP(E104,'[1]Pricing '!$A$441:$K$460,11,FALSE)</f>
        <v>-1.4218289825493287</v>
      </c>
      <c r="G104" s="1036">
        <f>F104-$U$2</f>
        <v>-1.2968289825493287</v>
      </c>
      <c r="H104" s="107">
        <f>LARGE('[1]Pricing '!$A$463:$A$482,1)</f>
        <v>7.5</v>
      </c>
      <c r="I104" s="93">
        <f>100-VLOOKUP(H104,'[1]Pricing '!$A$463:$K$482,11,FALSE)</f>
        <v>-0.10092871054197872</v>
      </c>
      <c r="J104" s="1036">
        <f>I104-$U$2</f>
        <v>2.4071289458021283E-2</v>
      </c>
      <c r="O104" s="1037">
        <f>LARGE('[1]Pricing '!$A$221:$A$240,1)</f>
        <v>7.5</v>
      </c>
      <c r="P104" s="93">
        <f>100-VLOOKUP(O104,'[1]Pricing '!$A$221:$K$240,11,FALSE)</f>
        <v>-1.3693031511697598</v>
      </c>
      <c r="Q104" s="1036">
        <f>P104-$U$2</f>
        <v>-1.2443031511697598</v>
      </c>
      <c r="R104" s="107">
        <f>LARGE('[1]Pricing '!$A$243:$A$262,1)</f>
        <v>7.5</v>
      </c>
      <c r="S104" s="93">
        <f>100-VLOOKUP(R104,'[1]Pricing '!$A$243:$K$262,11,FALSE)</f>
        <v>-1.873018003387358</v>
      </c>
      <c r="T104" s="1036">
        <f>S104-$U$2</f>
        <v>-1.748018003387358</v>
      </c>
      <c r="U104" s="107">
        <f>LARGE('[1]Pricing '!$A$265:$A$284,1)</f>
        <v>7.5</v>
      </c>
      <c r="V104" s="93">
        <f>100-VLOOKUP(U104,'[1]Pricing '!$A$265:$K$284,11,FALSE)</f>
        <v>-1.4578673517776934</v>
      </c>
      <c r="W104" s="1036">
        <f>V104-$U$2</f>
        <v>-1.3328673517776934</v>
      </c>
      <c r="AB104" s="1049"/>
      <c r="AC104" s="107">
        <f>LARGE('[1]Pricing '!$A$287:$A$306,1)</f>
        <v>7.625</v>
      </c>
      <c r="AD104" s="93">
        <f>100-VLOOKUP(AC104,'[1]Pricing '!$A$287:$K$306,11,FALSE)</f>
        <v>-1.0323449275460774</v>
      </c>
      <c r="AE104" s="1036">
        <f>AD104-$U$2</f>
        <v>-0.90734492754607743</v>
      </c>
      <c r="AF104" s="107">
        <f>LARGE('[1]Pricing '!$A$309:$A$328,1)</f>
        <v>7.625</v>
      </c>
      <c r="AG104" s="93">
        <f>100-VLOOKUP(AF104,'[1]Pricing '!$A$309:$K$328,11,FALSE)</f>
        <v>-1.5795413003964711</v>
      </c>
      <c r="AH104" s="1036">
        <f>AG104-$U$2</f>
        <v>-1.4545413003964711</v>
      </c>
      <c r="AI104" s="107">
        <f>LARGE('[1]Pricing '!$A$331:$A$350,1)</f>
        <v>7.5</v>
      </c>
      <c r="AJ104" s="93">
        <f>100-VLOOKUP(AI104,'[1]Pricing '!$A$331:$K$350,11,FALSE)</f>
        <v>-1.0382797800716332</v>
      </c>
      <c r="AK104" s="1036">
        <f>AJ104-$U$2</f>
        <v>-0.91327978007163324</v>
      </c>
    </row>
    <row r="105" spans="2:37" ht="16.5" x14ac:dyDescent="0.25">
      <c r="B105" s="1059">
        <f>B104-0.125</f>
        <v>7.375</v>
      </c>
      <c r="C105" s="93">
        <f>100-VLOOKUP(B105,'[1]Pricing '!$A$419:$K$438,11,FALSE)</f>
        <v>-1.6808010379712073</v>
      </c>
      <c r="D105" s="1036">
        <f t="shared" ref="D105:D118" si="97">C105-$U$2</f>
        <v>-1.5558010379712073</v>
      </c>
      <c r="E105" s="1060">
        <f>E104-0.125</f>
        <v>7.375</v>
      </c>
      <c r="F105" s="93">
        <f>100-VLOOKUP(E105,'[1]Pricing '!$A$441:$K$460,11,FALSE)</f>
        <v>-1.4702180033873589</v>
      </c>
      <c r="G105" s="1036">
        <f t="shared" ref="G105:G118" si="98">F105-$U$2</f>
        <v>-1.3452180033873589</v>
      </c>
      <c r="H105" s="1060">
        <f>H104-0.125</f>
        <v>7.375</v>
      </c>
      <c r="I105" s="93">
        <f>100-VLOOKUP(H105,'[1]Pricing '!$A$463:$K$482,11,FALSE)</f>
        <v>-8.6067351777700196E-2</v>
      </c>
      <c r="J105" s="1036">
        <f t="shared" ref="J105:J118" si="99">I105-$U$2</f>
        <v>3.8932648222299804E-2</v>
      </c>
      <c r="O105" s="1059">
        <f>O104-0.125</f>
        <v>7.375</v>
      </c>
      <c r="P105" s="93">
        <f>100-VLOOKUP(O105,'[1]Pricing '!$A$221:$K$240,11,FALSE)</f>
        <v>-1.3804149878190941</v>
      </c>
      <c r="Q105" s="1036">
        <f t="shared" ref="Q105:Q118" si="100">P105-$U$2</f>
        <v>-1.2554149878190941</v>
      </c>
      <c r="R105" s="1060">
        <f>R104-0.125</f>
        <v>7.375</v>
      </c>
      <c r="S105" s="93">
        <f>100-VLOOKUP(R105,'[1]Pricing '!$A$243:$K$262,11,FALSE)</f>
        <v>-1.8052882532433614</v>
      </c>
      <c r="T105" s="1036">
        <f t="shared" ref="T105:T118" si="101">S105-$U$2</f>
        <v>-1.6802882532433614</v>
      </c>
      <c r="U105" s="1060">
        <f>U104-0.125</f>
        <v>7.375</v>
      </c>
      <c r="V105" s="93">
        <f>100-VLOOKUP(U105,'[1]Pricing '!$A$265:$K$284,11,FALSE)</f>
        <v>-1.4367517239145258</v>
      </c>
      <c r="W105" s="1036">
        <f t="shared" ref="W105:W118" si="102">V105-$U$2</f>
        <v>-1.3117517239145258</v>
      </c>
      <c r="AB105" s="1049"/>
      <c r="AC105" s="1060">
        <f>AC104-0.125</f>
        <v>7.5</v>
      </c>
      <c r="AD105" s="93">
        <f>100-VLOOKUP(AC105,'[1]Pricing '!$A$287:$K$306,11,FALSE)</f>
        <v>-1.0429016566287288</v>
      </c>
      <c r="AE105" s="1036">
        <f t="shared" ref="AE105:AE118" si="103">AD105-$U$2</f>
        <v>-0.9179016566287288</v>
      </c>
      <c r="AF105" s="1060">
        <f>AF104-0.125</f>
        <v>7.5</v>
      </c>
      <c r="AG105" s="93">
        <f>100-VLOOKUP(AF105,'[1]Pricing '!$A$309:$K$328,11,FALSE)</f>
        <v>-1.5429834075265916</v>
      </c>
      <c r="AH105" s="1036">
        <f t="shared" ref="AH105:AH118" si="104">AG105-$U$2</f>
        <v>-1.4179834075265916</v>
      </c>
      <c r="AI105" s="1060">
        <f>AI104-0.125</f>
        <v>7.375</v>
      </c>
      <c r="AJ105" s="93">
        <f>100-VLOOKUP(AI105,'[1]Pricing '!$A$331:$K$350,11,FALSE)</f>
        <v>-1.0172081824781287</v>
      </c>
      <c r="AK105" s="1036">
        <f t="shared" ref="AK105:AK118" si="105">AJ105-$U$2</f>
        <v>-0.89220818247812872</v>
      </c>
    </row>
    <row r="106" spans="2:37" ht="16.5" x14ac:dyDescent="0.25">
      <c r="B106" s="1059">
        <f t="shared" ref="B106:H118" si="106">B105-0.125</f>
        <v>7.25</v>
      </c>
      <c r="C106" s="93">
        <f>100-VLOOKUP(B106,'[1]Pricing '!$A$419:$K$438,11,FALSE)</f>
        <v>-1.4979031511697514</v>
      </c>
      <c r="D106" s="1036">
        <f t="shared" si="97"/>
        <v>-1.3729031511697514</v>
      </c>
      <c r="E106" s="1060">
        <f t="shared" si="106"/>
        <v>7.25</v>
      </c>
      <c r="F106" s="93">
        <f>100-VLOOKUP(E106,'[1]Pricing '!$A$441:$K$460,11,FALSE)</f>
        <v>-1.4998882532433555</v>
      </c>
      <c r="G106" s="1036">
        <f t="shared" si="98"/>
        <v>-1.3748882532433555</v>
      </c>
      <c r="H106" s="1060">
        <f t="shared" si="106"/>
        <v>7.25</v>
      </c>
      <c r="I106" s="93">
        <f>100-VLOOKUP(H106,'[1]Pricing '!$A$463:$K$482,11,FALSE)</f>
        <v>-5.78517239145242E-2</v>
      </c>
      <c r="J106" s="1036">
        <f t="shared" si="99"/>
        <v>6.71482760854758E-2</v>
      </c>
      <c r="O106" s="1059">
        <f t="shared" ref="O106:O123" si="107">O105-0.125</f>
        <v>7.25</v>
      </c>
      <c r="P106" s="93">
        <f>100-VLOOKUP(O106,'[1]Pricing '!$A$221:$K$240,11,FALSE)</f>
        <v>-1.400405541665819</v>
      </c>
      <c r="Q106" s="1036">
        <f t="shared" si="100"/>
        <v>-1.275405541665819</v>
      </c>
      <c r="R106" s="1060">
        <f t="shared" ref="R106:U118" si="108">R105-0.125</f>
        <v>7.25</v>
      </c>
      <c r="S106" s="93">
        <f>100-VLOOKUP(R106,'[1]Pricing '!$A$243:$K$262,11,FALSE)</f>
        <v>-1.7272828830432871</v>
      </c>
      <c r="T106" s="1036">
        <f t="shared" si="101"/>
        <v>-1.6022828830432871</v>
      </c>
      <c r="U106" s="1060">
        <f t="shared" si="108"/>
        <v>7.25</v>
      </c>
      <c r="V106" s="93">
        <f>100-VLOOKUP(U106,'[1]Pricing '!$A$265:$K$284,11,FALSE)</f>
        <v>-1.4087359342143912</v>
      </c>
      <c r="W106" s="1036">
        <f t="shared" si="102"/>
        <v>-1.2837359342143912</v>
      </c>
      <c r="AB106" s="1049"/>
      <c r="AC106" s="1060">
        <f t="shared" ref="AC106:AC123" si="109">AC105-0.125</f>
        <v>7.375</v>
      </c>
      <c r="AD106" s="93">
        <f>100-VLOOKUP(AC106,'[1]Pricing '!$A$287:$K$306,11,FALSE)</f>
        <v>-1.0537067000829552</v>
      </c>
      <c r="AE106" s="1036">
        <f t="shared" si="103"/>
        <v>-0.92870670008295519</v>
      </c>
      <c r="AF106" s="1060">
        <f t="shared" ref="AF106:AF123" si="110">AF105-0.125</f>
        <v>7.375</v>
      </c>
      <c r="AG106" s="93">
        <f>100-VLOOKUP(AF106,'[1]Pricing '!$A$309:$K$328,11,FALSE)</f>
        <v>-1.4746818097579393</v>
      </c>
      <c r="AH106" s="1036">
        <f t="shared" si="104"/>
        <v>-1.3496818097579393</v>
      </c>
      <c r="AI106" s="1060">
        <f t="shared" ref="AI106:AI123" si="111">AI105-0.125</f>
        <v>7.25</v>
      </c>
      <c r="AJ106" s="93">
        <f>100-VLOOKUP(AI106,'[1]Pricing '!$A$331:$K$350,11,FALSE)</f>
        <v>-0.98915242021321603</v>
      </c>
      <c r="AK106" s="1036">
        <f t="shared" si="105"/>
        <v>-0.86415242021321603</v>
      </c>
    </row>
    <row r="107" spans="2:37" ht="16.5" x14ac:dyDescent="0.25">
      <c r="B107" s="1059">
        <f t="shared" si="106"/>
        <v>7.125</v>
      </c>
      <c r="C107" s="93">
        <f>100-VLOOKUP(B107,'[1]Pricing '!$A$419:$K$438,11,FALSE)</f>
        <v>-1.4686149878190946</v>
      </c>
      <c r="D107" s="1036">
        <f t="shared" si="97"/>
        <v>-1.3436149878190946</v>
      </c>
      <c r="E107" s="1060">
        <f t="shared" si="106"/>
        <v>7.125</v>
      </c>
      <c r="F107" s="93">
        <f>100-VLOOKUP(E107,'[1]Pricing '!$A$441:$K$460,11,FALSE)</f>
        <v>-1.596682883043286</v>
      </c>
      <c r="G107" s="1036">
        <f t="shared" si="98"/>
        <v>-1.471682883043286</v>
      </c>
      <c r="H107" s="1060">
        <f t="shared" si="106"/>
        <v>7.125</v>
      </c>
      <c r="I107" s="93">
        <f>100-VLOOKUP(H107,'[1]Pricing '!$A$463:$K$482,11,FALSE)</f>
        <v>-0.30783593421439548</v>
      </c>
      <c r="J107" s="1036">
        <f t="shared" si="99"/>
        <v>-0.18283593421439548</v>
      </c>
      <c r="O107" s="1059">
        <f t="shared" si="107"/>
        <v>7.125</v>
      </c>
      <c r="P107" s="93">
        <f>100-VLOOKUP(O107,'[1]Pricing '!$A$221:$K$240,11,FALSE)</f>
        <v>-1.4058096749798494</v>
      </c>
      <c r="Q107" s="1036">
        <f t="shared" si="100"/>
        <v>-1.2808096749798494</v>
      </c>
      <c r="R107" s="1060">
        <f t="shared" si="108"/>
        <v>7.125</v>
      </c>
      <c r="S107" s="93">
        <f>100-VLOOKUP(R107,'[1]Pricing '!$A$243:$K$262,11,FALSE)</f>
        <v>-1.5782490732612331</v>
      </c>
      <c r="T107" s="1036">
        <f t="shared" si="101"/>
        <v>-1.4532490732612331</v>
      </c>
      <c r="U107" s="1060">
        <f t="shared" si="108"/>
        <v>7.125</v>
      </c>
      <c r="V107" s="93">
        <f>100-VLOOKUP(U107,'[1]Pricing '!$A$265:$K$284,11,FALSE)</f>
        <v>-1.3939608564752319</v>
      </c>
      <c r="W107" s="1036">
        <f t="shared" si="102"/>
        <v>-1.2689608564752319</v>
      </c>
      <c r="AB107" s="1049"/>
      <c r="AC107" s="1060">
        <f t="shared" si="109"/>
        <v>7.25</v>
      </c>
      <c r="AD107" s="93">
        <f>100-VLOOKUP(AC107,'[1]Pricing '!$A$287:$K$306,11,FALSE)</f>
        <v>-1.0734562104687342</v>
      </c>
      <c r="AE107" s="1036">
        <f t="shared" si="103"/>
        <v>-0.94845621046873418</v>
      </c>
      <c r="AF107" s="1060">
        <f t="shared" si="110"/>
        <v>7.25</v>
      </c>
      <c r="AG107" s="93">
        <f>100-VLOOKUP(AF107,'[1]Pricing '!$A$309:$K$328,11,FALSE)</f>
        <v>-1.396260410943384</v>
      </c>
      <c r="AH107" s="1036">
        <f t="shared" si="104"/>
        <v>-1.271260410943384</v>
      </c>
      <c r="AI107" s="1060">
        <f t="shared" si="111"/>
        <v>7.125</v>
      </c>
      <c r="AJ107" s="93">
        <f>100-VLOOKUP(AI107,'[1]Pricing '!$A$331:$K$350,11,FALSE)</f>
        <v>-0.97442351132139038</v>
      </c>
      <c r="AK107" s="1036">
        <f t="shared" si="105"/>
        <v>-0.84942351132139038</v>
      </c>
    </row>
    <row r="108" spans="2:37" ht="16.5" x14ac:dyDescent="0.25">
      <c r="B108" s="1059">
        <f t="shared" si="106"/>
        <v>7</v>
      </c>
      <c r="C108" s="93">
        <f>100-VLOOKUP(B108,'[1]Pricing '!$A$419:$K$438,11,FALSE)</f>
        <v>-1.5338055416658278</v>
      </c>
      <c r="D108" s="1036">
        <f t="shared" si="97"/>
        <v>-1.4088055416658278</v>
      </c>
      <c r="E108" s="1060">
        <f t="shared" si="106"/>
        <v>7</v>
      </c>
      <c r="F108" s="93">
        <f>100-VLOOKUP(E108,'[1]Pricing '!$A$441:$K$460,11,FALSE)</f>
        <v>-1.7296490732612284</v>
      </c>
      <c r="G108" s="1036">
        <f t="shared" si="98"/>
        <v>-1.6046490732612284</v>
      </c>
      <c r="H108" s="1060">
        <f t="shared" si="106"/>
        <v>7</v>
      </c>
      <c r="I108" s="93">
        <f>100-VLOOKUP(H108,'[1]Pricing '!$A$463:$K$482,11,FALSE)</f>
        <v>-0.71406085647522843</v>
      </c>
      <c r="J108" s="1036">
        <f t="shared" si="99"/>
        <v>-0.58906085647522843</v>
      </c>
      <c r="O108" s="1059">
        <f t="shared" si="107"/>
        <v>7</v>
      </c>
      <c r="P108" s="93">
        <f>100-VLOOKUP(O108,'[1]Pricing '!$A$221:$K$240,11,FALSE)</f>
        <v>-1.4124090246507564</v>
      </c>
      <c r="Q108" s="1036">
        <f t="shared" si="100"/>
        <v>-1.2874090246507564</v>
      </c>
      <c r="R108" s="1060">
        <f t="shared" si="108"/>
        <v>7</v>
      </c>
      <c r="S108" s="93">
        <f>100-VLOOKUP(R108,'[1]Pricing '!$A$243:$K$262,11,FALSE)</f>
        <v>-1.3954256783015779</v>
      </c>
      <c r="T108" s="1036">
        <f t="shared" si="101"/>
        <v>-1.2704256783015779</v>
      </c>
      <c r="U108" s="1060">
        <f t="shared" si="108"/>
        <v>7</v>
      </c>
      <c r="V108" s="93">
        <f>100-VLOOKUP(U108,'[1]Pricing '!$A$265:$K$284,11,FALSE)</f>
        <v>-1.3978822427550028</v>
      </c>
      <c r="W108" s="1036">
        <f t="shared" si="102"/>
        <v>-1.2728822427550028</v>
      </c>
      <c r="AB108" s="1049"/>
      <c r="AC108" s="1060">
        <f t="shared" si="109"/>
        <v>7.125</v>
      </c>
      <c r="AD108" s="93">
        <f>100-VLOOKUP(AC108,'[1]Pricing '!$A$287:$K$306,11,FALSE)</f>
        <v>-1.0787099101205513</v>
      </c>
      <c r="AE108" s="1036">
        <f t="shared" si="103"/>
        <v>-0.95370991012055129</v>
      </c>
      <c r="AF108" s="1060">
        <f t="shared" si="110"/>
        <v>7.125</v>
      </c>
      <c r="AG108" s="93">
        <f>100-VLOOKUP(AF108,'[1]Pricing '!$A$309:$K$328,11,FALSE)</f>
        <v>-1.2469810126329293</v>
      </c>
      <c r="AH108" s="1036">
        <f t="shared" si="104"/>
        <v>-1.1219810126329293</v>
      </c>
      <c r="AI108" s="1060">
        <f t="shared" si="111"/>
        <v>7</v>
      </c>
      <c r="AJ108" s="93">
        <f>100-VLOOKUP(AI108,'[1]Pricing '!$A$331:$K$350,11,FALSE)</f>
        <v>-0.97841525219519099</v>
      </c>
      <c r="AK108" s="1036">
        <f t="shared" si="105"/>
        <v>-0.85341525219519099</v>
      </c>
    </row>
    <row r="109" spans="2:37" ht="16.5" x14ac:dyDescent="0.25">
      <c r="B109" s="1059">
        <f t="shared" si="106"/>
        <v>6.875</v>
      </c>
      <c r="C109" s="93">
        <f>100-VLOOKUP(B109,'[1]Pricing '!$A$419:$K$438,11,FALSE)</f>
        <v>-1.599409674979853</v>
      </c>
      <c r="D109" s="1036">
        <f t="shared" si="97"/>
        <v>-1.474409674979853</v>
      </c>
      <c r="E109" s="1060">
        <f t="shared" si="106"/>
        <v>6.875</v>
      </c>
      <c r="F109" s="93">
        <f>100-VLOOKUP(E109,'[1]Pricing '!$A$441:$K$460,11,FALSE)</f>
        <v>-1.9048256783015773</v>
      </c>
      <c r="G109" s="1036">
        <f t="shared" si="98"/>
        <v>-1.7798256783015773</v>
      </c>
      <c r="H109" s="1060">
        <f t="shared" si="106"/>
        <v>6.875</v>
      </c>
      <c r="I109" s="93">
        <f>100-VLOOKUP(H109,'[1]Pricing '!$A$463:$K$482,11,FALSE)</f>
        <v>-1.1295822427550064</v>
      </c>
      <c r="J109" s="1036">
        <f t="shared" si="99"/>
        <v>-1.0045822427550064</v>
      </c>
      <c r="O109" s="1059">
        <f t="shared" si="107"/>
        <v>6.875</v>
      </c>
      <c r="P109" s="93">
        <f>100-VLOOKUP(O109,'[1]Pricing '!$A$221:$K$240,11,FALSE)</f>
        <v>-1.4112902820291851</v>
      </c>
      <c r="Q109" s="1036">
        <f t="shared" si="100"/>
        <v>-1.2862902820291851</v>
      </c>
      <c r="R109" s="1060">
        <f t="shared" si="108"/>
        <v>6.875</v>
      </c>
      <c r="S109" s="93">
        <f>100-VLOOKUP(R109,'[1]Pricing '!$A$243:$K$262,11,FALSE)</f>
        <v>-1.272000024363507</v>
      </c>
      <c r="T109" s="1036">
        <f t="shared" si="101"/>
        <v>-1.147000024363507</v>
      </c>
      <c r="U109" s="1060">
        <f t="shared" si="108"/>
        <v>6.875</v>
      </c>
      <c r="V109" s="93">
        <f>100-VLOOKUP(U109,'[1]Pricing '!$A$265:$K$284,11,FALSE)</f>
        <v>-1.3860469599994332</v>
      </c>
      <c r="W109" s="1036">
        <f t="shared" si="102"/>
        <v>-1.2610469599994332</v>
      </c>
      <c r="AB109" s="1049"/>
      <c r="AC109" s="1060">
        <f t="shared" si="109"/>
        <v>7</v>
      </c>
      <c r="AD109" s="93">
        <f>100-VLOOKUP(AC109,'[1]Pricing '!$A$287:$K$306,11,FALSE)</f>
        <v>-1.0850755206318325</v>
      </c>
      <c r="AE109" s="1036">
        <f t="shared" si="103"/>
        <v>-0.96007552063183255</v>
      </c>
      <c r="AF109" s="1060">
        <f t="shared" si="110"/>
        <v>7</v>
      </c>
      <c r="AG109" s="93">
        <f>100-VLOOKUP(AF109,'[1]Pricing '!$A$309:$K$328,11,FALSE)</f>
        <v>-1.0636495727095507</v>
      </c>
      <c r="AH109" s="1036">
        <f t="shared" si="104"/>
        <v>-0.93864957270955074</v>
      </c>
      <c r="AI109" s="1060">
        <f t="shared" si="111"/>
        <v>6.875</v>
      </c>
      <c r="AJ109" s="93">
        <f>100-VLOOKUP(AI109,'[1]Pricing '!$A$331:$K$350,11,FALSE)</f>
        <v>-0.96682044622518504</v>
      </c>
      <c r="AK109" s="1036">
        <f t="shared" si="105"/>
        <v>-0.84182044622518504</v>
      </c>
    </row>
    <row r="110" spans="2:37" ht="16.5" x14ac:dyDescent="0.25">
      <c r="B110" s="1059">
        <f>B109-0.125</f>
        <v>6.75</v>
      </c>
      <c r="C110" s="93">
        <f>100-VLOOKUP(B110,'[1]Pricing '!$A$419:$K$438,11,FALSE)</f>
        <v>-1.6746090246507634</v>
      </c>
      <c r="D110" s="1036">
        <f t="shared" si="97"/>
        <v>-1.5496090246507634</v>
      </c>
      <c r="E110" s="1060">
        <f>E109-0.125</f>
        <v>6.75</v>
      </c>
      <c r="F110" s="93">
        <f>100-VLOOKUP(E110,'[1]Pricing '!$A$441:$K$460,11,FALSE)</f>
        <v>-2.0443000243635083</v>
      </c>
      <c r="G110" s="1036">
        <f t="shared" si="98"/>
        <v>-1.9193000243635083</v>
      </c>
      <c r="H110" s="1060">
        <f>H109-0.125</f>
        <v>6.75</v>
      </c>
      <c r="I110" s="93">
        <f>100-VLOOKUP(H110,'[1]Pricing '!$A$463:$K$482,11,FALSE)</f>
        <v>-1.5341469599994326</v>
      </c>
      <c r="J110" s="1036">
        <f t="shared" si="99"/>
        <v>-1.4091469599994326</v>
      </c>
      <c r="O110" s="1059">
        <f>O109-0.125</f>
        <v>6.75</v>
      </c>
      <c r="P110" s="93">
        <f>100-VLOOKUP(O110,'[1]Pricing '!$A$221:$K$240,11,FALSE)</f>
        <v>-1.4127349604006838</v>
      </c>
      <c r="Q110" s="1036">
        <f t="shared" si="100"/>
        <v>-1.2877349604006838</v>
      </c>
      <c r="R110" s="1060">
        <f>R109-0.125</f>
        <v>6.75</v>
      </c>
      <c r="S110" s="93">
        <f>100-VLOOKUP(R110,'[1]Pricing '!$A$243:$K$262,11,FALSE)</f>
        <v>-1.1978747500063065</v>
      </c>
      <c r="T110" s="1036">
        <f t="shared" si="101"/>
        <v>-1.0728747500063065</v>
      </c>
      <c r="U110" s="1060">
        <f>U109-0.125</f>
        <v>6.75</v>
      </c>
      <c r="V110" s="93">
        <f>100-VLOOKUP(U110,'[1]Pricing '!$A$265:$K$284,11,FALSE)</f>
        <v>-1.37085094141284</v>
      </c>
      <c r="W110" s="1036">
        <f t="shared" si="102"/>
        <v>-1.24585094141284</v>
      </c>
      <c r="AB110" s="1049"/>
      <c r="AC110" s="1060">
        <f>AC109-0.125</f>
        <v>6.875</v>
      </c>
      <c r="AD110" s="93">
        <f>100-VLOOKUP(AC110,'[1]Pricing '!$A$287:$K$306,11,FALSE)</f>
        <v>-1.0839710863482992</v>
      </c>
      <c r="AE110" s="1036">
        <f t="shared" si="103"/>
        <v>-0.9589710863482992</v>
      </c>
      <c r="AF110" s="1060">
        <f>AF109-0.125</f>
        <v>6.875</v>
      </c>
      <c r="AG110" s="93">
        <f>100-VLOOKUP(AF110,'[1]Pricing '!$A$309:$K$328,11,FALSE)</f>
        <v>-0.9402501639845724</v>
      </c>
      <c r="AH110" s="1036">
        <f t="shared" si="104"/>
        <v>-0.8152501639845724</v>
      </c>
      <c r="AI110" s="1060">
        <f>AI109-0.125</f>
        <v>6.75</v>
      </c>
      <c r="AJ110" s="93">
        <f>100-VLOOKUP(AI110,'[1]Pricing '!$A$331:$K$350,11,FALSE)</f>
        <v>-0.9519006649079671</v>
      </c>
      <c r="AK110" s="1036">
        <f t="shared" si="105"/>
        <v>-0.8269006649079671</v>
      </c>
    </row>
    <row r="111" spans="2:37" ht="16.5" x14ac:dyDescent="0.25">
      <c r="B111" s="1059">
        <f t="shared" si="106"/>
        <v>6.625</v>
      </c>
      <c r="C111" s="93">
        <f>100-VLOOKUP(B111,'[1]Pricing '!$A$419:$K$438,11,FALSE)</f>
        <v>-1.6744902820291827</v>
      </c>
      <c r="D111" s="1036">
        <f t="shared" si="97"/>
        <v>-1.5494902820291827</v>
      </c>
      <c r="E111" s="1060">
        <f t="shared" si="106"/>
        <v>6.625</v>
      </c>
      <c r="F111" s="93">
        <f>100-VLOOKUP(E111,'[1]Pricing '!$A$441:$K$460,11,FALSE)</f>
        <v>-1.891074750006311</v>
      </c>
      <c r="G111" s="1036">
        <f t="shared" si="98"/>
        <v>-1.766074750006311</v>
      </c>
      <c r="H111" s="1060">
        <f t="shared" si="106"/>
        <v>6.625</v>
      </c>
      <c r="I111" s="93">
        <f>100-VLOOKUP(H111,'[1]Pricing '!$A$463:$K$482,11,FALSE)</f>
        <v>-1.6103509414128325</v>
      </c>
      <c r="J111" s="1036">
        <f t="shared" si="99"/>
        <v>-1.4853509414128325</v>
      </c>
      <c r="O111" s="1059">
        <f t="shared" si="107"/>
        <v>6.625</v>
      </c>
      <c r="P111" s="93">
        <f>100-VLOOKUP(O111,'[1]Pricing '!$A$221:$K$240,11,FALSE)</f>
        <v>-1.3667034786747791</v>
      </c>
      <c r="Q111" s="1036">
        <f t="shared" si="100"/>
        <v>-1.2417034786747791</v>
      </c>
      <c r="R111" s="1060">
        <f t="shared" si="108"/>
        <v>6.625</v>
      </c>
      <c r="S111" s="93">
        <f>100-VLOOKUP(R111,'[1]Pricing '!$A$243:$K$262,11,FALSE)</f>
        <v>-1.08545899452686</v>
      </c>
      <c r="T111" s="1036">
        <f t="shared" si="101"/>
        <v>-0.96045899452686001</v>
      </c>
      <c r="U111" s="1060">
        <f t="shared" si="108"/>
        <v>6.625</v>
      </c>
      <c r="V111" s="93">
        <f>100-VLOOKUP(U111,'[1]Pricing '!$A$265:$K$284,11,FALSE)</f>
        <v>-1.2664158364673739</v>
      </c>
      <c r="W111" s="1036">
        <f t="shared" si="102"/>
        <v>-1.1414158364673739</v>
      </c>
      <c r="AB111" s="1049"/>
      <c r="AC111" s="1060">
        <f t="shared" si="109"/>
        <v>6.75</v>
      </c>
      <c r="AD111" s="93">
        <f>100-VLOOKUP(AC111,'[1]Pricing '!$A$287:$K$306,11,FALSE)</f>
        <v>-1.0855362135128956</v>
      </c>
      <c r="AE111" s="1036">
        <f t="shared" si="103"/>
        <v>-0.96053621351289564</v>
      </c>
      <c r="AF111" s="1060">
        <f t="shared" si="110"/>
        <v>6.75</v>
      </c>
      <c r="AG111" s="93">
        <f>100-VLOOKUP(AF111,'[1]Pricing '!$A$309:$K$328,11,FALSE)</f>
        <v>-0.86613766417714544</v>
      </c>
      <c r="AH111" s="1036">
        <f t="shared" si="104"/>
        <v>-0.74113766417714544</v>
      </c>
      <c r="AI111" s="1060">
        <f t="shared" si="111"/>
        <v>6.625</v>
      </c>
      <c r="AJ111" s="93">
        <f>100-VLOOKUP(AI111,'[1]Pricing '!$A$331:$K$350,11,FALSE)</f>
        <v>-0.84775115887313746</v>
      </c>
      <c r="AK111" s="1036">
        <f t="shared" si="105"/>
        <v>-0.72275115887313746</v>
      </c>
    </row>
    <row r="112" spans="2:37" ht="16.5" x14ac:dyDescent="0.25">
      <c r="B112" s="1059">
        <f t="shared" si="106"/>
        <v>6.5</v>
      </c>
      <c r="C112" s="93">
        <f>100-VLOOKUP(B112,'[1]Pricing '!$A$419:$K$438,11,FALSE)</f>
        <v>-1.6387349604006829</v>
      </c>
      <c r="D112" s="1036">
        <f t="shared" si="97"/>
        <v>-1.5137349604006829</v>
      </c>
      <c r="E112" s="1060">
        <f t="shared" si="106"/>
        <v>6.5</v>
      </c>
      <c r="F112" s="93">
        <f>100-VLOOKUP(E112,'[1]Pricing '!$A$441:$K$460,11,FALSE)</f>
        <v>-1.7251589945268506</v>
      </c>
      <c r="G112" s="1036">
        <f t="shared" si="98"/>
        <v>-1.6001589945268506</v>
      </c>
      <c r="H112" s="1060">
        <f t="shared" si="106"/>
        <v>6.5</v>
      </c>
      <c r="I112" s="93">
        <f>100-VLOOKUP(H112,'[1]Pricing '!$A$463:$K$482,11,FALSE)</f>
        <v>-1.5024158364673781</v>
      </c>
      <c r="J112" s="1036">
        <f t="shared" si="99"/>
        <v>-1.3774158364673781</v>
      </c>
      <c r="O112" s="1059">
        <f t="shared" si="107"/>
        <v>6.5</v>
      </c>
      <c r="P112" s="93">
        <f>100-VLOOKUP(O112,'[1]Pricing '!$A$221:$K$240,11,FALSE)</f>
        <v>-1.2970811326311349</v>
      </c>
      <c r="Q112" s="1036">
        <f t="shared" si="100"/>
        <v>-1.1720811326311349</v>
      </c>
      <c r="R112" s="1060">
        <f t="shared" si="108"/>
        <v>6.5</v>
      </c>
      <c r="S112" s="93">
        <f>100-VLOOKUP(R112,'[1]Pricing '!$A$243:$K$262,11,FALSE)</f>
        <v>-0.95866035851911136</v>
      </c>
      <c r="T112" s="1036">
        <f t="shared" si="101"/>
        <v>-0.83366035851911136</v>
      </c>
      <c r="U112" s="1060">
        <f t="shared" si="108"/>
        <v>6.5</v>
      </c>
      <c r="V112" s="93">
        <f>100-VLOOKUP(U112,'[1]Pricing '!$A$265:$K$284,11,FALSE)</f>
        <v>-1.1118526120463343</v>
      </c>
      <c r="W112" s="1036">
        <f t="shared" si="102"/>
        <v>-0.98685261204633434</v>
      </c>
      <c r="AB112" s="1049"/>
      <c r="AC112" s="1060">
        <f t="shared" si="109"/>
        <v>6.625</v>
      </c>
      <c r="AD112" s="93">
        <f>100-VLOOKUP(AC112,'[1]Pricing '!$A$287:$K$306,11,FALSE)</f>
        <v>-1.0395954931473455</v>
      </c>
      <c r="AE112" s="1036">
        <f t="shared" si="103"/>
        <v>-0.91459549314734545</v>
      </c>
      <c r="AF112" s="1060">
        <f t="shared" si="110"/>
        <v>6.625</v>
      </c>
      <c r="AG112" s="93">
        <f>100-VLOOKUP(AF112,'[1]Pricing '!$A$309:$K$328,11,FALSE)</f>
        <v>-0.75388690615592679</v>
      </c>
      <c r="AH112" s="1036">
        <f t="shared" si="104"/>
        <v>-0.62888690615592679</v>
      </c>
      <c r="AI112" s="1060">
        <f t="shared" si="111"/>
        <v>6.5</v>
      </c>
      <c r="AJ112" s="93">
        <f>100-VLOOKUP(AI112,'[1]Pricing '!$A$331:$K$350,11,FALSE)</f>
        <v>-0.693575342422875</v>
      </c>
      <c r="AK112" s="1036">
        <f t="shared" si="105"/>
        <v>-0.568575342422875</v>
      </c>
    </row>
    <row r="113" spans="2:37" ht="16.5" x14ac:dyDescent="0.25">
      <c r="B113" s="1059">
        <f t="shared" si="106"/>
        <v>6.375</v>
      </c>
      <c r="C113" s="93">
        <f>100-VLOOKUP(B113,'[1]Pricing '!$A$419:$K$438,11,FALSE)</f>
        <v>-1.6024034786747734</v>
      </c>
      <c r="D113" s="1036">
        <f t="shared" si="97"/>
        <v>-1.4774034786747734</v>
      </c>
      <c r="E113" s="1060">
        <f t="shared" si="106"/>
        <v>6.375</v>
      </c>
      <c r="F113" s="93">
        <f>100-VLOOKUP(E113,'[1]Pricing '!$A$441:$K$460,11,FALSE)</f>
        <v>-1.5617603585191091</v>
      </c>
      <c r="G113" s="1036">
        <f t="shared" si="98"/>
        <v>-1.4367603585191091</v>
      </c>
      <c r="H113" s="1060">
        <f t="shared" si="106"/>
        <v>6.375</v>
      </c>
      <c r="I113" s="93">
        <f>100-VLOOKUP(H113,'[1]Pricing '!$A$463:$K$482,11,FALSE)</f>
        <v>-1.4027526120463278</v>
      </c>
      <c r="J113" s="1036">
        <f t="shared" si="99"/>
        <v>-1.2777526120463278</v>
      </c>
      <c r="O113" s="1059">
        <f t="shared" si="107"/>
        <v>6.375</v>
      </c>
      <c r="P113" s="93">
        <f>100-VLOOKUP(O113,'[1]Pricing '!$A$221:$K$240,11,FALSE)</f>
        <v>-1.1988540695410705</v>
      </c>
      <c r="Q113" s="1036">
        <f t="shared" si="100"/>
        <v>-1.0738540695410705</v>
      </c>
      <c r="R113" s="1060">
        <f t="shared" si="108"/>
        <v>6.375</v>
      </c>
      <c r="S113" s="93">
        <f>100-VLOOKUP(R113,'[1]Pricing '!$A$243:$K$262,11,FALSE)</f>
        <v>-0.8566918237178669</v>
      </c>
      <c r="T113" s="1036">
        <f t="shared" si="101"/>
        <v>-0.7316918237178669</v>
      </c>
      <c r="U113" s="1060">
        <f t="shared" si="108"/>
        <v>6.375</v>
      </c>
      <c r="V113" s="93">
        <f>100-VLOOKUP(U113,'[1]Pricing '!$A$265:$K$284,11,FALSE)</f>
        <v>-0.93405185438832916</v>
      </c>
      <c r="W113" s="1036">
        <f t="shared" si="102"/>
        <v>-0.80905185438832916</v>
      </c>
      <c r="AB113" s="1049"/>
      <c r="AC113" s="1060">
        <f t="shared" si="109"/>
        <v>6.5</v>
      </c>
      <c r="AD113" s="93">
        <f>100-VLOOKUP(AC113,'[1]Pricing '!$A$287:$K$306,11,FALSE)</f>
        <v>-0.97017490356651592</v>
      </c>
      <c r="AE113" s="1036">
        <f t="shared" si="103"/>
        <v>-0.84517490356651592</v>
      </c>
      <c r="AF113" s="1060">
        <f t="shared" si="110"/>
        <v>6.5</v>
      </c>
      <c r="AG113" s="93">
        <f>100-VLOOKUP(AF113,'[1]Pricing '!$A$309:$K$328,11,FALSE)</f>
        <v>-0.62729333507704155</v>
      </c>
      <c r="AH113" s="1036">
        <f t="shared" si="104"/>
        <v>-0.50229333507704155</v>
      </c>
      <c r="AI113" s="1060">
        <f t="shared" si="111"/>
        <v>6.375</v>
      </c>
      <c r="AJ113" s="93">
        <f>100-VLOOKUP(AI113,'[1]Pricing '!$A$331:$K$350,11,FALSE)</f>
        <v>-0.51610943388976693</v>
      </c>
      <c r="AK113" s="1036">
        <f t="shared" si="105"/>
        <v>-0.39110943388976693</v>
      </c>
    </row>
    <row r="114" spans="2:37" ht="16.5" x14ac:dyDescent="0.25">
      <c r="B114" s="1059">
        <f t="shared" si="106"/>
        <v>6.25</v>
      </c>
      <c r="C114" s="93">
        <f>100-VLOOKUP(B114,'[1]Pricing '!$A$419:$K$438,11,FALSE)</f>
        <v>-1.5736811326311368</v>
      </c>
      <c r="D114" s="1036">
        <f t="shared" si="97"/>
        <v>-1.4486811326311368</v>
      </c>
      <c r="E114" s="1060">
        <f t="shared" si="106"/>
        <v>6.25</v>
      </c>
      <c r="F114" s="93">
        <f>100-VLOOKUP(E114,'[1]Pricing '!$A$441:$K$460,11,FALSE)</f>
        <v>-1.370791823717866</v>
      </c>
      <c r="G114" s="1036">
        <f t="shared" si="98"/>
        <v>-1.245791823717866</v>
      </c>
      <c r="H114" s="1060">
        <f t="shared" si="106"/>
        <v>6.25</v>
      </c>
      <c r="I114" s="93">
        <f>100-VLOOKUP(H114,'[1]Pricing '!$A$463:$K$482,11,FALSE)</f>
        <v>-1.2938518543883362</v>
      </c>
      <c r="J114" s="1036">
        <f t="shared" si="99"/>
        <v>-1.1688518543883362</v>
      </c>
      <c r="O114" s="1059">
        <f t="shared" si="107"/>
        <v>6.25</v>
      </c>
      <c r="P114" s="93">
        <f>100-VLOOKUP(O114,'[1]Pricing '!$A$221:$K$240,11,FALSE)</f>
        <v>-1.0867580337182687</v>
      </c>
      <c r="Q114" s="1036">
        <f t="shared" si="100"/>
        <v>-0.96175803371826873</v>
      </c>
      <c r="R114" s="1060">
        <f t="shared" si="108"/>
        <v>6.25</v>
      </c>
      <c r="S114" s="93">
        <f>100-VLOOKUP(R114,'[1]Pricing '!$A$243:$K$262,11,FALSE)</f>
        <v>-0.77818396092021658</v>
      </c>
      <c r="T114" s="1036">
        <f t="shared" si="101"/>
        <v>-0.65318396092021658</v>
      </c>
      <c r="U114" s="1060">
        <f t="shared" si="108"/>
        <v>6.25</v>
      </c>
      <c r="V114" s="93">
        <f>100-VLOOKUP(U114,'[1]Pricing '!$A$265:$K$284,11,FALSE)</f>
        <v>-0.746341079115453</v>
      </c>
      <c r="W114" s="1036">
        <f t="shared" si="102"/>
        <v>-0.621341079115453</v>
      </c>
      <c r="AB114" s="1049"/>
      <c r="AC114" s="1060">
        <f t="shared" si="109"/>
        <v>6.375</v>
      </c>
      <c r="AD114" s="93">
        <f>100-VLOOKUP(AC114,'[1]Pricing '!$A$287:$K$306,11,FALSE)</f>
        <v>-0.87219465918992967</v>
      </c>
      <c r="AE114" s="1036">
        <f t="shared" si="103"/>
        <v>-0.74719465918992967</v>
      </c>
      <c r="AF114" s="1060">
        <f t="shared" si="110"/>
        <v>6.375</v>
      </c>
      <c r="AG114" s="93">
        <f>100-VLOOKUP(AF114,'[1]Pricing '!$A$309:$K$328,11,FALSE)</f>
        <v>-0.5256110250304431</v>
      </c>
      <c r="AH114" s="1036">
        <f t="shared" si="104"/>
        <v>-0.4006110250304431</v>
      </c>
      <c r="AI114" s="1060">
        <f t="shared" si="111"/>
        <v>6.25</v>
      </c>
      <c r="AJ114" s="93">
        <f>100-VLOOKUP(AI114,'[1]Pricing '!$A$331:$K$350,11,FALSE)</f>
        <v>-0.32875042050659431</v>
      </c>
      <c r="AK114" s="1036">
        <f t="shared" si="105"/>
        <v>-0.20375042050659431</v>
      </c>
    </row>
    <row r="115" spans="2:37" ht="16.5" x14ac:dyDescent="0.25">
      <c r="B115" s="1059">
        <f t="shared" si="106"/>
        <v>6.125</v>
      </c>
      <c r="C115" s="93">
        <f>100-VLOOKUP(B115,'[1]Pricing '!$A$419:$K$438,11,FALSE)</f>
        <v>-1.3731540695410729</v>
      </c>
      <c r="D115" s="1036">
        <f t="shared" si="97"/>
        <v>-1.2481540695410729</v>
      </c>
      <c r="E115" s="1060">
        <f t="shared" si="106"/>
        <v>6.125</v>
      </c>
      <c r="F115" s="93">
        <f>100-VLOOKUP(E115,'[1]Pricing '!$A$441:$K$460,11,FALSE)</f>
        <v>-1.1461839609202258</v>
      </c>
      <c r="G115" s="1036">
        <f t="shared" si="98"/>
        <v>-1.0211839609202258</v>
      </c>
      <c r="H115" s="1060">
        <f t="shared" si="106"/>
        <v>6.125</v>
      </c>
      <c r="I115" s="93">
        <f>100-VLOOKUP(H115,'[1]Pricing '!$A$463:$K$482,11,FALSE)</f>
        <v>-1.0134410791154522</v>
      </c>
      <c r="J115" s="1036">
        <f t="shared" si="99"/>
        <v>-0.88844107911545223</v>
      </c>
      <c r="O115" s="1059">
        <f t="shared" si="107"/>
        <v>6.125</v>
      </c>
      <c r="P115" s="93">
        <f>100-VLOOKUP(O115,'[1]Pricing '!$A$221:$K$240,11,FALSE)</f>
        <v>-0.94546310495159958</v>
      </c>
      <c r="Q115" s="1036">
        <f t="shared" si="100"/>
        <v>-0.82046310495159958</v>
      </c>
      <c r="R115" s="1060">
        <f t="shared" si="108"/>
        <v>6.125</v>
      </c>
      <c r="S115" s="93">
        <f>100-VLOOKUP(R115,'[1]Pricing '!$A$243:$K$262,11,FALSE)</f>
        <v>-0.71690182646993605</v>
      </c>
      <c r="T115" s="1036">
        <f t="shared" si="101"/>
        <v>-0.59190182646993605</v>
      </c>
      <c r="U115" s="1060">
        <f t="shared" si="108"/>
        <v>6.125</v>
      </c>
      <c r="V115" s="93">
        <f>100-VLOOKUP(U115,'[1]Pricing '!$A$265:$K$284,11,FALSE)</f>
        <v>-0.59107427107394983</v>
      </c>
      <c r="W115" s="1036">
        <f t="shared" si="102"/>
        <v>-0.46607427107394983</v>
      </c>
      <c r="AB115" s="1049"/>
      <c r="AC115" s="1060">
        <f t="shared" si="109"/>
        <v>6.25</v>
      </c>
      <c r="AD115" s="93">
        <f>100-VLOOKUP(AC115,'[1]Pricing '!$A$287:$K$306,11,FALSE)</f>
        <v>-0.76036624709331591</v>
      </c>
      <c r="AE115" s="1036">
        <f t="shared" si="103"/>
        <v>-0.63536624709331591</v>
      </c>
      <c r="AF115" s="1060">
        <f t="shared" si="110"/>
        <v>6.25</v>
      </c>
      <c r="AG115" s="93">
        <f>100-VLOOKUP(AF115,'[1]Pricing '!$A$309:$K$328,11,FALSE)</f>
        <v>-0.44737206258390927</v>
      </c>
      <c r="AH115" s="1036">
        <f t="shared" si="104"/>
        <v>-0.32237206258390927</v>
      </c>
      <c r="AI115" s="1060">
        <f t="shared" si="111"/>
        <v>6.125</v>
      </c>
      <c r="AJ115" s="93">
        <f>100-VLOOKUP(AI115,'[1]Pricing '!$A$331:$K$350,11,FALSE)</f>
        <v>-0.17383684843676406</v>
      </c>
      <c r="AK115" s="1036">
        <f t="shared" si="105"/>
        <v>-4.8836848436764058E-2</v>
      </c>
    </row>
    <row r="116" spans="2:37" ht="16.5" x14ac:dyDescent="0.25">
      <c r="B116" s="1059">
        <f t="shared" si="106"/>
        <v>6</v>
      </c>
      <c r="C116" s="93">
        <f>100-VLOOKUP(B116,'[1]Pricing '!$A$419:$K$438,11,FALSE)</f>
        <v>-1.0802580337182661</v>
      </c>
      <c r="D116" s="1036">
        <f t="shared" si="97"/>
        <v>-0.95525803371826612</v>
      </c>
      <c r="E116" s="1060">
        <f t="shared" si="106"/>
        <v>6</v>
      </c>
      <c r="F116" s="93">
        <f>100-VLOOKUP(E116,'[1]Pricing '!$A$441:$K$460,11,FALSE)</f>
        <v>-0.86010182646994338</v>
      </c>
      <c r="G116" s="1036">
        <f t="shared" si="98"/>
        <v>-0.73510182646994338</v>
      </c>
      <c r="H116" s="1060">
        <f t="shared" si="106"/>
        <v>6</v>
      </c>
      <c r="I116" s="93">
        <f>100-VLOOKUP(H116,'[1]Pricing '!$A$463:$K$482,11,FALSE)</f>
        <v>-0.63567427107395247</v>
      </c>
      <c r="J116" s="1036">
        <f t="shared" si="99"/>
        <v>-0.51067427107395247</v>
      </c>
      <c r="O116" s="1059">
        <f t="shared" si="107"/>
        <v>6</v>
      </c>
      <c r="P116" s="93">
        <f>100-VLOOKUP(O116,'[1]Pricing '!$A$221:$K$240,11,FALSE)</f>
        <v>-0.78523004948736741</v>
      </c>
      <c r="Q116" s="1036">
        <f t="shared" si="100"/>
        <v>-0.66023004948736741</v>
      </c>
      <c r="R116" s="1060">
        <f t="shared" si="108"/>
        <v>6</v>
      </c>
      <c r="S116" s="93">
        <f>100-VLOOKUP(R116,'[1]Pricing '!$A$243:$K$262,11,FALSE)</f>
        <v>-0.66935655993586352</v>
      </c>
      <c r="T116" s="1036">
        <f t="shared" si="101"/>
        <v>-0.54435655993586352</v>
      </c>
      <c r="U116" s="1060">
        <f t="shared" si="108"/>
        <v>6</v>
      </c>
      <c r="V116" s="93">
        <f>100-VLOOKUP(U116,'[1]Pricing '!$A$265:$K$284,11,FALSE)</f>
        <v>-0.46250463348195581</v>
      </c>
      <c r="W116" s="1036">
        <f t="shared" si="102"/>
        <v>-0.33750463348195581</v>
      </c>
      <c r="AB116" s="1049"/>
      <c r="AC116" s="1060">
        <f t="shared" si="109"/>
        <v>6.125</v>
      </c>
      <c r="AD116" s="93">
        <f>100-VLOOKUP(AC116,'[1]Pricing '!$A$287:$K$306,11,FALSE)</f>
        <v>-0.61926817658377331</v>
      </c>
      <c r="AE116" s="1036">
        <f t="shared" si="103"/>
        <v>-0.49426817658377331</v>
      </c>
      <c r="AF116" s="1060">
        <f t="shared" si="110"/>
        <v>6.125</v>
      </c>
      <c r="AG116" s="93">
        <f>100-VLOOKUP(AF116,'[1]Pricing '!$A$309:$K$328,11,FALSE)</f>
        <v>-0.38645279023691614</v>
      </c>
      <c r="AH116" s="1036">
        <f t="shared" si="104"/>
        <v>-0.26145279023691614</v>
      </c>
      <c r="AI116" s="1060">
        <f t="shared" si="111"/>
        <v>6</v>
      </c>
      <c r="AJ116" s="93">
        <f>100-VLOOKUP(AI116,'[1]Pricing '!$A$331:$K$350,11,FALSE)</f>
        <v>-4.5952036385529027E-2</v>
      </c>
      <c r="AK116" s="1036">
        <f t="shared" si="105"/>
        <v>7.9047963614470973E-2</v>
      </c>
    </row>
    <row r="117" spans="2:37" ht="16.5" x14ac:dyDescent="0.25">
      <c r="B117" s="1059">
        <f t="shared" si="106"/>
        <v>5.875</v>
      </c>
      <c r="C117" s="93">
        <f>100-VLOOKUP(B117,'[1]Pricing '!$A$419:$K$438,11,FALSE)</f>
        <v>-0.78626310495160112</v>
      </c>
      <c r="D117" s="1036">
        <f t="shared" si="97"/>
        <v>-0.66126310495160112</v>
      </c>
      <c r="E117" s="1060">
        <f t="shared" si="106"/>
        <v>5.875</v>
      </c>
      <c r="F117" s="93">
        <f>100-VLOOKUP(E117,'[1]Pricing '!$A$441:$K$460,11,FALSE)</f>
        <v>-0.60225655993586713</v>
      </c>
      <c r="G117" s="1036">
        <f t="shared" si="98"/>
        <v>-0.47725655993586713</v>
      </c>
      <c r="H117" s="1060">
        <f t="shared" si="106"/>
        <v>5.875</v>
      </c>
      <c r="I117" s="93">
        <f>100-VLOOKUP(H117,'[1]Pricing '!$A$463:$K$482,11,FALSE)</f>
        <v>-0.2627046334819596</v>
      </c>
      <c r="J117" s="1036">
        <f t="shared" si="99"/>
        <v>-0.1377046334819596</v>
      </c>
      <c r="O117" s="1059">
        <f t="shared" si="107"/>
        <v>5.875</v>
      </c>
      <c r="P117" s="93">
        <f>100-VLOOKUP(O117,'[1]Pricing '!$A$221:$K$240,11,FALSE)</f>
        <v>-0.6279544745253105</v>
      </c>
      <c r="Q117" s="1036">
        <f t="shared" si="100"/>
        <v>-0.5029544745253105</v>
      </c>
      <c r="R117" s="1060">
        <f t="shared" si="108"/>
        <v>5.875</v>
      </c>
      <c r="S117" s="93">
        <f>100-VLOOKUP(R117,'[1]Pricing '!$A$243:$K$262,11,FALSE)</f>
        <v>-0.49152907637055421</v>
      </c>
      <c r="T117" s="1036">
        <f t="shared" si="101"/>
        <v>-0.36652907637055421</v>
      </c>
      <c r="U117" s="1060">
        <f t="shared" si="108"/>
        <v>5.875</v>
      </c>
      <c r="V117" s="93">
        <f>100-VLOOKUP(U117,'[1]Pricing '!$A$265:$K$284,11,FALSE)</f>
        <v>-0.23927335327780952</v>
      </c>
      <c r="W117" s="1036">
        <f t="shared" si="102"/>
        <v>-0.11427335327780952</v>
      </c>
      <c r="AB117" s="1049"/>
      <c r="AC117" s="1060">
        <f t="shared" si="109"/>
        <v>6</v>
      </c>
      <c r="AD117" s="93">
        <f>100-VLOOKUP(AC117,'[1]Pricing '!$A$287:$K$306,11,FALSE)</f>
        <v>-0.45941487939610681</v>
      </c>
      <c r="AE117" s="1036">
        <f t="shared" si="103"/>
        <v>-0.33441487939610681</v>
      </c>
      <c r="AF117" s="1060">
        <f t="shared" si="110"/>
        <v>6</v>
      </c>
      <c r="AG117" s="93">
        <f>100-VLOOKUP(AF117,'[1]Pricing '!$A$309:$K$328,11,FALSE)</f>
        <v>-0.33928456637880799</v>
      </c>
      <c r="AH117" s="1036">
        <f t="shared" si="104"/>
        <v>-0.21428456637880799</v>
      </c>
      <c r="AI117" s="1060">
        <f t="shared" si="111"/>
        <v>5.875</v>
      </c>
      <c r="AJ117" s="93">
        <f>100-VLOOKUP(AI117,'[1]Pricing '!$A$331:$K$350,11,FALSE)</f>
        <v>0.17682577471995842</v>
      </c>
      <c r="AK117" s="1036">
        <f t="shared" si="105"/>
        <v>0.30182577471995842</v>
      </c>
    </row>
    <row r="118" spans="2:37" ht="16.5" x14ac:dyDescent="0.25">
      <c r="B118" s="1059">
        <f t="shared" si="106"/>
        <v>5.75</v>
      </c>
      <c r="C118" s="93">
        <f>100-VLOOKUP(B118,'[1]Pricing '!$A$419:$K$438,11,FALSE)</f>
        <v>-0.49113004948736716</v>
      </c>
      <c r="D118" s="1036">
        <f t="shared" si="97"/>
        <v>-0.36613004948736716</v>
      </c>
      <c r="E118" s="1060">
        <f t="shared" si="106"/>
        <v>5.75</v>
      </c>
      <c r="F118" s="93">
        <f>100-VLOOKUP(E118,'[1]Pricing '!$A$441:$K$460,11,FALSE)</f>
        <v>-0.31862907637055571</v>
      </c>
      <c r="G118" s="1036">
        <f t="shared" si="98"/>
        <v>-0.19362907637055571</v>
      </c>
      <c r="H118" s="1060">
        <f t="shared" si="106"/>
        <v>5.75</v>
      </c>
      <c r="I118" s="93">
        <f>100-VLOOKUP(H118,'[1]Pricing '!$A$463:$K$482,11,FALSE)</f>
        <v>0.11582664672218357</v>
      </c>
      <c r="J118" s="1036">
        <f t="shared" si="99"/>
        <v>0.24082664672218357</v>
      </c>
      <c r="O118" s="1059">
        <f t="shared" si="107"/>
        <v>5.75</v>
      </c>
      <c r="P118" s="93">
        <f>100-VLOOKUP(O118,'[1]Pricing '!$A$221:$K$240,11,FALSE)</f>
        <v>-0.47346296189077464</v>
      </c>
      <c r="Q118" s="1036">
        <f t="shared" si="100"/>
        <v>-0.34846296189077464</v>
      </c>
      <c r="R118" s="1060">
        <f t="shared" si="108"/>
        <v>5.75</v>
      </c>
      <c r="S118" s="93">
        <f>100-VLOOKUP(R118,'[1]Pricing '!$A$243:$K$262,11,FALSE)</f>
        <v>-0.2323343435041636</v>
      </c>
      <c r="T118" s="1036">
        <f t="shared" si="101"/>
        <v>-0.1073343435041636</v>
      </c>
      <c r="U118" s="1060">
        <f t="shared" si="108"/>
        <v>5.75</v>
      </c>
      <c r="V118" s="93">
        <f>100-VLOOKUP(U118,'[1]Pricing '!$A$265:$K$284,11,FALSE)</f>
        <v>4.9826646722195278E-2</v>
      </c>
      <c r="W118" s="1036">
        <f t="shared" si="102"/>
        <v>0.17482664672219528</v>
      </c>
      <c r="AB118" s="1049"/>
      <c r="AC118" s="1060">
        <f t="shared" si="109"/>
        <v>5.875</v>
      </c>
      <c r="AD118" s="93">
        <f>100-VLOOKUP(AC118,'[1]Pricing '!$A$287:$K$306,11,FALSE)</f>
        <v>-0.30228715123304539</v>
      </c>
      <c r="AE118" s="1036">
        <f t="shared" si="103"/>
        <v>-0.17728715123304539</v>
      </c>
      <c r="AF118" s="1060">
        <f t="shared" si="110"/>
        <v>5.875</v>
      </c>
      <c r="AG118" s="93">
        <f>100-VLOOKUP(AF118,'[1]Pricing '!$A$309:$K$328,11,FALSE)</f>
        <v>-0.16188243961474313</v>
      </c>
      <c r="AH118" s="1036">
        <f t="shared" si="104"/>
        <v>-3.6882439614743134E-2</v>
      </c>
      <c r="AI118" s="1060">
        <f t="shared" si="111"/>
        <v>5.75</v>
      </c>
      <c r="AJ118" s="93">
        <f>100-VLOOKUP(AI118,'[1]Pricing '!$A$331:$K$350,11,FALSE)</f>
        <v>0.4658257747199599</v>
      </c>
      <c r="AK118" s="1036">
        <f t="shared" si="105"/>
        <v>0.5908257747199599</v>
      </c>
    </row>
    <row r="119" spans="2:37" ht="16.5" x14ac:dyDescent="0.25">
      <c r="B119" s="1059">
        <f t="shared" ref="B119" si="112">B118-0.125</f>
        <v>5.625</v>
      </c>
      <c r="C119" s="93">
        <f>100-VLOOKUP(B119,'[1]Pricing '!$A$419:$K$438,11,FALSE)</f>
        <v>-0.1711544745253093</v>
      </c>
      <c r="D119" s="1036">
        <f t="shared" ref="D119:D123" si="113">C119-$U$2</f>
        <v>-4.6154474525309297E-2</v>
      </c>
      <c r="E119" s="1060">
        <f t="shared" ref="E119" si="114">E118-0.125</f>
        <v>5.625</v>
      </c>
      <c r="F119" s="93">
        <f>100-VLOOKUP(E119,'[1]Pricing '!$A$441:$K$460,11,FALSE)</f>
        <v>-4.4034343504165463E-2</v>
      </c>
      <c r="G119" s="1036">
        <f t="shared" ref="G119:G123" si="115">F119-$U$2</f>
        <v>8.0965656495834537E-2</v>
      </c>
      <c r="H119" s="1060">
        <f t="shared" ref="H119" si="116">H118-0.125</f>
        <v>5.625</v>
      </c>
      <c r="I119" s="93">
        <f>100-VLOOKUP(H119,'[1]Pricing '!$A$463:$K$482,11,FALSE)</f>
        <v>0.50682664672218891</v>
      </c>
      <c r="J119" s="1036">
        <f t="shared" ref="J119:J123" si="117">I119-$U$2</f>
        <v>0.63182664672218891</v>
      </c>
      <c r="O119" s="1059">
        <f t="shared" si="107"/>
        <v>5.625</v>
      </c>
      <c r="P119" s="93">
        <f>100-VLOOKUP(O119,'[1]Pricing '!$A$221:$K$240,11,FALSE)</f>
        <v>-0.26757125950037164</v>
      </c>
      <c r="Q119" s="1036">
        <f t="shared" ref="Q119:Q123" si="118">P119-$U$2</f>
        <v>-0.14257125950037164</v>
      </c>
      <c r="R119" s="1060">
        <f t="shared" ref="R119" si="119">R118-0.125</f>
        <v>5.625</v>
      </c>
      <c r="S119" s="93">
        <f>100-VLOOKUP(R119,'[1]Pricing '!$A$243:$K$262,11,FALSE)</f>
        <v>-1.3534343504161939E-2</v>
      </c>
      <c r="T119" s="1036">
        <f t="shared" ref="T119:T123" si="120">S119-$U$2</f>
        <v>0.11146565649583806</v>
      </c>
      <c r="U119" s="1060">
        <f t="shared" ref="U119" si="121">U118-0.125</f>
        <v>5.625</v>
      </c>
      <c r="V119" s="93">
        <f>100-VLOOKUP(U119,'[1]Pricing '!$A$265:$K$284,11,FALSE)</f>
        <v>0.32159726367409291</v>
      </c>
      <c r="W119" s="1036">
        <f t="shared" ref="W119:W123" si="122">V119-$U$2</f>
        <v>0.44659726367409291</v>
      </c>
      <c r="AB119" s="1049"/>
      <c r="AC119" s="1060">
        <f t="shared" si="109"/>
        <v>5.75</v>
      </c>
      <c r="AD119" s="93">
        <f>100-VLOOKUP(AC119,'[1]Pricing '!$A$287:$K$306,11,FALSE)</f>
        <v>-0.14808668900866451</v>
      </c>
      <c r="AE119" s="1036">
        <f t="shared" ref="AE119:AE123" si="123">AD119-$U$2</f>
        <v>-2.3086689008664507E-2</v>
      </c>
      <c r="AF119" s="1060">
        <f t="shared" si="110"/>
        <v>5.75</v>
      </c>
      <c r="AG119" s="93">
        <f>100-VLOOKUP(AF119,'[1]Pricing '!$A$309:$K$328,11,FALSE)</f>
        <v>9.6688980213016862E-2</v>
      </c>
      <c r="AH119" s="1036">
        <f t="shared" ref="AH119:AH123" si="124">AG119-$U$2</f>
        <v>0.22168898021301686</v>
      </c>
      <c r="AI119" s="1060">
        <f t="shared" si="111"/>
        <v>5.625</v>
      </c>
      <c r="AJ119" s="93">
        <f>100-VLOOKUP(AI119,'[1]Pricing '!$A$331:$K$350,11,FALSE)</f>
        <v>0.73654677742817398</v>
      </c>
      <c r="AK119" s="1036">
        <f t="shared" ref="AK119:AK123" si="125">AJ119-$U$2</f>
        <v>0.86154677742817398</v>
      </c>
    </row>
    <row r="120" spans="2:37" ht="16.5" x14ac:dyDescent="0.25">
      <c r="B120" s="1059">
        <f t="shared" ref="B120" si="126">B119-0.125</f>
        <v>5.5</v>
      </c>
      <c r="C120" s="93">
        <f>100-VLOOKUP(B120,'[1]Pricing '!$A$419:$K$438,11,FALSE)</f>
        <v>0.16303703810922343</v>
      </c>
      <c r="D120" s="1036">
        <f t="shared" si="113"/>
        <v>0.28803703810922343</v>
      </c>
      <c r="E120" s="1060">
        <f t="shared" ref="E120" si="127">E119-0.125</f>
        <v>5.5</v>
      </c>
      <c r="F120" s="93">
        <f>100-VLOOKUP(E120,'[1]Pricing '!$A$441:$K$460,11,FALSE)</f>
        <v>0.21196565649583476</v>
      </c>
      <c r="G120" s="1036">
        <f t="shared" si="115"/>
        <v>0.33696565649583476</v>
      </c>
      <c r="H120" s="1060">
        <f t="shared" ref="H120" si="128">H119-0.125</f>
        <v>5.5</v>
      </c>
      <c r="I120" s="93">
        <f>100-VLOOKUP(H120,'[1]Pricing '!$A$463:$K$482,11,FALSE)</f>
        <v>0.88719726367409635</v>
      </c>
      <c r="J120" s="1036">
        <f t="shared" si="117"/>
        <v>1.0121972636740963</v>
      </c>
      <c r="O120" s="1059">
        <f t="shared" si="107"/>
        <v>5.5</v>
      </c>
      <c r="P120" s="93">
        <f>100-VLOOKUP(O120,'[1]Pricing '!$A$221:$K$240,11,FALSE)</f>
        <v>-2.8777809736240556E-2</v>
      </c>
      <c r="Q120" s="1036">
        <f t="shared" si="118"/>
        <v>9.6222190263759444E-2</v>
      </c>
      <c r="R120" s="1060">
        <f t="shared" ref="R120" si="129">R119-0.125</f>
        <v>5.5</v>
      </c>
      <c r="S120" s="93">
        <f>100-VLOOKUP(R120,'[1]Pricing '!$A$243:$K$262,11,FALSE)</f>
        <v>0.16730280102528639</v>
      </c>
      <c r="T120" s="1036">
        <f t="shared" si="120"/>
        <v>0.29230280102528639</v>
      </c>
      <c r="U120" s="1060">
        <f t="shared" ref="U120" si="130">U119-0.125</f>
        <v>5.5</v>
      </c>
      <c r="V120" s="93">
        <f>100-VLOOKUP(U120,'[1]Pricing '!$A$265:$K$284,11,FALSE)</f>
        <v>0.59129532842595722</v>
      </c>
      <c r="W120" s="1036">
        <f t="shared" si="122"/>
        <v>0.71629532842595722</v>
      </c>
      <c r="AB120" s="1049"/>
      <c r="AC120" s="1060">
        <f t="shared" si="109"/>
        <v>5.625</v>
      </c>
      <c r="AD120" s="93">
        <f>100-VLOOKUP(AC120,'[1]Pricing '!$A$287:$K$306,11,FALSE)</f>
        <v>5.7603399852396819E-2</v>
      </c>
      <c r="AE120" s="1036">
        <f t="shared" si="123"/>
        <v>0.18260339985239682</v>
      </c>
      <c r="AF120" s="1060">
        <f t="shared" si="110"/>
        <v>5.625</v>
      </c>
      <c r="AG120" s="93">
        <f>100-VLOOKUP(AF120,'[1]Pricing '!$A$309:$K$328,11,FALSE)</f>
        <v>0.31548898021301852</v>
      </c>
      <c r="AH120" s="1036">
        <f t="shared" si="124"/>
        <v>0.44048898021301852</v>
      </c>
      <c r="AI120" s="1060">
        <f t="shared" si="111"/>
        <v>5.5</v>
      </c>
      <c r="AJ120" s="93">
        <f>100-VLOOKUP(AI120,'[1]Pricing '!$A$331:$K$350,11,FALSE)</f>
        <v>1.0055578440557724</v>
      </c>
      <c r="AK120" s="1036">
        <f t="shared" si="125"/>
        <v>1.1305578440557724</v>
      </c>
    </row>
    <row r="121" spans="2:37" ht="16.5" x14ac:dyDescent="0.25">
      <c r="B121" s="1059">
        <f t="shared" ref="B121" si="131">B120-0.125</f>
        <v>5.375</v>
      </c>
      <c r="C121" s="93">
        <f>100-VLOOKUP(B121,'[1]Pricing '!$A$419:$K$438,11,FALSE)</f>
        <v>0.49712874049961897</v>
      </c>
      <c r="D121" s="1036">
        <f t="shared" si="113"/>
        <v>0.62212874049961897</v>
      </c>
      <c r="E121" s="1060">
        <f t="shared" ref="E121" si="132">E120-0.125</f>
        <v>5.375</v>
      </c>
      <c r="F121" s="93">
        <f>100-VLOOKUP(E121,'[1]Pricing '!$A$441:$K$460,11,FALSE)</f>
        <v>0.4273028010252915</v>
      </c>
      <c r="G121" s="1036">
        <f t="shared" si="115"/>
        <v>0.5523028010252915</v>
      </c>
      <c r="H121" s="1060">
        <f t="shared" ref="H121" si="133">H120-0.125</f>
        <v>5.375</v>
      </c>
      <c r="I121" s="93">
        <f>100-VLOOKUP(H121,'[1]Pricing '!$A$463:$K$482,11,FALSE)</f>
        <v>1.2696953284259678</v>
      </c>
      <c r="J121" s="1036">
        <f t="shared" si="117"/>
        <v>1.3946953284259678</v>
      </c>
      <c r="O121" s="1059">
        <f t="shared" si="107"/>
        <v>5.375</v>
      </c>
      <c r="P121" s="93">
        <f>100-VLOOKUP(O121,'[1]Pricing '!$A$221:$K$240,11,FALSE)</f>
        <v>0.19613089879024415</v>
      </c>
      <c r="Q121" s="1036">
        <f t="shared" si="118"/>
        <v>0.32113089879024415</v>
      </c>
      <c r="R121" s="1060">
        <f t="shared" ref="R121" si="134">R120-0.125</f>
        <v>5.375</v>
      </c>
      <c r="S121" s="93">
        <f>100-VLOOKUP(R121,'[1]Pricing '!$A$243:$K$262,11,FALSE)</f>
        <v>0.40604786135232018</v>
      </c>
      <c r="T121" s="1036">
        <f t="shared" si="120"/>
        <v>0.53104786135232018</v>
      </c>
      <c r="U121" s="1060">
        <f t="shared" ref="U121" si="135">U120-0.125</f>
        <v>5.375</v>
      </c>
      <c r="V121" s="93">
        <f>100-VLOOKUP(U121,'[1]Pricing '!$A$265:$K$284,11,FALSE)</f>
        <v>0.9081668030510599</v>
      </c>
      <c r="W121" s="1036">
        <f t="shared" si="122"/>
        <v>1.0331668030510599</v>
      </c>
      <c r="AB121" s="1049"/>
      <c r="AC121" s="1060">
        <f t="shared" si="109"/>
        <v>5.5</v>
      </c>
      <c r="AD121" s="93">
        <f>100-VLOOKUP(AC121,'[1]Pricing '!$A$287:$K$306,11,FALSE)</f>
        <v>0.29605475158120953</v>
      </c>
      <c r="AE121" s="1036">
        <f t="shared" si="123"/>
        <v>0.42105475158120953</v>
      </c>
      <c r="AF121" s="1060">
        <f t="shared" si="110"/>
        <v>5.5</v>
      </c>
      <c r="AG121" s="93">
        <f>100-VLOOKUP(AF121,'[1]Pricing '!$A$309:$K$328,11,FALSE)</f>
        <v>0.49579482396060826</v>
      </c>
      <c r="AH121" s="1036">
        <f t="shared" si="124"/>
        <v>0.62079482396060826</v>
      </c>
      <c r="AI121" s="1060">
        <f t="shared" si="111"/>
        <v>5.375</v>
      </c>
      <c r="AJ121" s="93">
        <f>100-VLOOKUP(AI121,'[1]Pricing '!$A$331:$K$350,11,FALSE)</f>
        <v>1.3217233820443539</v>
      </c>
      <c r="AK121" s="1036">
        <f t="shared" si="125"/>
        <v>1.4467233820443539</v>
      </c>
    </row>
    <row r="122" spans="2:37" ht="16.5" x14ac:dyDescent="0.25">
      <c r="B122" s="1059">
        <f t="shared" ref="B122" si="136">B121-0.125</f>
        <v>5.25</v>
      </c>
      <c r="C122" s="93">
        <f>100-VLOOKUP(B122,'[1]Pricing '!$A$419:$K$438,11,FALSE)</f>
        <v>0.82872219026376115</v>
      </c>
      <c r="D122" s="1036">
        <f t="shared" si="113"/>
        <v>0.95372219026376115</v>
      </c>
      <c r="E122" s="1060">
        <f t="shared" ref="E122" si="137">E121-0.125</f>
        <v>5.25</v>
      </c>
      <c r="F122" s="93">
        <f>100-VLOOKUP(E122,'[1]Pricing '!$A$441:$K$460,11,FALSE)</f>
        <v>0.77834786135231582</v>
      </c>
      <c r="G122" s="1036">
        <f t="shared" si="115"/>
        <v>0.90334786135231582</v>
      </c>
      <c r="H122" s="1060">
        <f t="shared" ref="H122" si="138">H121-0.125</f>
        <v>5.25</v>
      </c>
      <c r="I122" s="93">
        <f>100-VLOOKUP(H122,'[1]Pricing '!$A$463:$K$482,11,FALSE)</f>
        <v>1.6570668030510518</v>
      </c>
      <c r="J122" s="1036">
        <f t="shared" si="117"/>
        <v>1.7820668030510518</v>
      </c>
      <c r="O122" s="1059">
        <f t="shared" si="107"/>
        <v>5.25</v>
      </c>
      <c r="P122" s="93">
        <f>100-VLOOKUP(O122,'[1]Pricing '!$A$221:$K$240,11,FALSE)</f>
        <v>0.41179644081908862</v>
      </c>
      <c r="Q122" s="1036">
        <f t="shared" si="118"/>
        <v>0.53679644081908862</v>
      </c>
      <c r="R122" s="1060">
        <f t="shared" ref="R122" si="139">R121-0.125</f>
        <v>5.25</v>
      </c>
      <c r="S122" s="93">
        <f>100-VLOOKUP(R122,'[1]Pricing '!$A$243:$K$262,11,FALSE)</f>
        <v>0.68232517273000326</v>
      </c>
      <c r="T122" s="1036">
        <f t="shared" si="120"/>
        <v>0.80732517273000326</v>
      </c>
      <c r="U122" s="1060">
        <f t="shared" ref="U122" si="140">U121-0.125</f>
        <v>5.25</v>
      </c>
      <c r="V122" s="93">
        <f>100-VLOOKUP(U122,'[1]Pricing '!$A$265:$K$284,11,FALSE)</f>
        <v>1.253145947854776</v>
      </c>
      <c r="W122" s="1036">
        <f t="shared" si="122"/>
        <v>1.378145947854776</v>
      </c>
      <c r="AB122" s="1049"/>
      <c r="AC122" s="1060">
        <f t="shared" si="109"/>
        <v>5.375</v>
      </c>
      <c r="AD122" s="93">
        <f>100-VLOOKUP(AC122,'[1]Pricing '!$A$287:$K$306,11,FALSE)</f>
        <v>0.52069162620351506</v>
      </c>
      <c r="AE122" s="1036">
        <f t="shared" si="123"/>
        <v>0.64569162620351506</v>
      </c>
      <c r="AF122" s="1060">
        <f t="shared" si="110"/>
        <v>5.375</v>
      </c>
      <c r="AG122" s="93">
        <f>100-VLOOKUP(AF122,'[1]Pricing '!$A$309:$K$328,11,FALSE)</f>
        <v>0.73410628968467506</v>
      </c>
      <c r="AH122" s="1036">
        <f t="shared" si="124"/>
        <v>0.85910628968467506</v>
      </c>
      <c r="AI122" s="1060">
        <f t="shared" si="111"/>
        <v>5.25</v>
      </c>
      <c r="AJ122" s="93">
        <f>100-VLOOKUP(AI122,'[1]Pricing '!$A$331:$K$350,11,FALSE)</f>
        <v>1.6661052776152161</v>
      </c>
      <c r="AK122" s="1036">
        <f t="shared" si="125"/>
        <v>1.7911052776152161</v>
      </c>
    </row>
    <row r="123" spans="2:37" ht="16.5" x14ac:dyDescent="0.25">
      <c r="B123" s="1059">
        <f t="shared" ref="B123" si="141">B122-0.125</f>
        <v>5.125</v>
      </c>
      <c r="C123" s="93">
        <f>100-VLOOKUP(B123,'[1]Pricing '!$A$419:$K$438,11,FALSE)</f>
        <v>1.1325308987902503</v>
      </c>
      <c r="D123" s="1036">
        <f t="shared" si="113"/>
        <v>1.2575308987902503</v>
      </c>
      <c r="E123" s="1060">
        <f t="shared" ref="E123" si="142">E122-0.125</f>
        <v>5.125</v>
      </c>
      <c r="F123" s="93">
        <f>100-VLOOKUP(E123,'[1]Pricing '!$A$441:$K$460,11,FALSE)</f>
        <v>1.1253251727300011</v>
      </c>
      <c r="G123" s="1036">
        <f t="shared" si="115"/>
        <v>1.2503251727300011</v>
      </c>
      <c r="H123" s="1060">
        <f t="shared" ref="H123" si="143">H122-0.125</f>
        <v>5.125</v>
      </c>
      <c r="I123" s="93">
        <f>100-VLOOKUP(H123,'[1]Pricing '!$A$463:$K$482,11,FALSE)</f>
        <v>2.0735459478547682</v>
      </c>
      <c r="J123" s="1036">
        <f t="shared" si="117"/>
        <v>2.1985459478547682</v>
      </c>
      <c r="O123" s="1059">
        <f t="shared" si="107"/>
        <v>5.125</v>
      </c>
      <c r="P123" s="93">
        <f>100-VLOOKUP(O123,'[1]Pricing '!$A$221:$K$240,11,FALSE)</f>
        <v>0.65085542775072724</v>
      </c>
      <c r="Q123" s="1036">
        <f t="shared" si="118"/>
        <v>0.77585542775072724</v>
      </c>
      <c r="R123" s="1060">
        <f t="shared" ref="R123" si="144">R122-0.125</f>
        <v>5.125</v>
      </c>
      <c r="S123" s="93">
        <f>100-VLOOKUP(R123,'[1]Pricing '!$A$243:$K$262,11,FALSE)</f>
        <v>0.96793671073135101</v>
      </c>
      <c r="T123" s="1036">
        <f t="shared" si="120"/>
        <v>1.092936710731351</v>
      </c>
      <c r="U123" s="1060">
        <f t="shared" ref="U123" si="145">U122-0.125</f>
        <v>5.125</v>
      </c>
      <c r="V123" s="93">
        <f>100-VLOOKUP(U123,'[1]Pricing '!$A$265:$K$284,11,FALSE)</f>
        <v>1.6686049226356374</v>
      </c>
      <c r="W123" s="1036">
        <f t="shared" si="122"/>
        <v>1.7936049226356374</v>
      </c>
      <c r="AB123" s="1049"/>
      <c r="AC123" s="1060">
        <f t="shared" si="109"/>
        <v>5.25</v>
      </c>
      <c r="AD123" s="93">
        <f>100-VLOOKUP(AC123,'[1]Pricing '!$A$287:$K$306,11,FALSE)</f>
        <v>0.73607145019632014</v>
      </c>
      <c r="AE123" s="1036">
        <f t="shared" si="123"/>
        <v>0.86107145019632014</v>
      </c>
      <c r="AF123" s="1060">
        <f t="shared" si="110"/>
        <v>5.25</v>
      </c>
      <c r="AG123" s="93">
        <f>100-VLOOKUP(AF123,'[1]Pricing '!$A$309:$K$328,11,FALSE)</f>
        <v>1.009951609531953</v>
      </c>
      <c r="AH123" s="1036">
        <f t="shared" si="124"/>
        <v>1.134951609531953</v>
      </c>
      <c r="AI123" s="1060">
        <f t="shared" si="111"/>
        <v>5.125</v>
      </c>
      <c r="AJ123" s="93">
        <f>100-VLOOKUP(AI123,'[1]Pricing '!$A$331:$K$350,11,FALSE)</f>
        <v>2.0807989499958666</v>
      </c>
      <c r="AK123" s="1036">
        <f t="shared" si="125"/>
        <v>2.2057989499958666</v>
      </c>
    </row>
    <row r="124" spans="2:37" ht="17.25" thickBot="1" x14ac:dyDescent="0.3">
      <c r="B124" s="1056"/>
      <c r="C124" s="1057"/>
      <c r="D124" s="1058"/>
      <c r="E124" s="1057"/>
      <c r="F124" s="1057"/>
      <c r="G124" s="1058"/>
      <c r="H124" s="1056"/>
      <c r="I124" s="1057"/>
      <c r="J124" s="1058"/>
      <c r="K124" s="1056"/>
      <c r="L124" s="1057"/>
      <c r="M124" s="1057"/>
      <c r="N124" s="1057"/>
      <c r="O124" s="1056"/>
      <c r="P124" s="1057"/>
      <c r="Q124" s="1042"/>
      <c r="R124" s="1057"/>
      <c r="S124" s="1057"/>
      <c r="T124" s="1042"/>
      <c r="U124" s="1057"/>
      <c r="V124" s="1057"/>
      <c r="W124" s="1058"/>
      <c r="X124" s="1057"/>
      <c r="Y124" s="1057"/>
      <c r="Z124" s="1057"/>
      <c r="AA124" s="1057"/>
      <c r="AB124" s="1058"/>
      <c r="AC124" s="1057"/>
      <c r="AD124" s="1057"/>
      <c r="AE124" s="1058"/>
      <c r="AF124" s="1057"/>
      <c r="AG124" s="1057"/>
      <c r="AH124" s="1058"/>
      <c r="AI124" s="1057"/>
      <c r="AJ124" s="1057"/>
      <c r="AK124" s="1058"/>
    </row>
    <row r="125" spans="2:37" ht="15.75" thickTop="1" x14ac:dyDescent="0.25">
      <c r="B125" s="1044"/>
      <c r="AK125" s="1049"/>
    </row>
    <row r="126" spans="2:37" ht="15.75" thickBot="1" x14ac:dyDescent="0.3">
      <c r="B126" s="1044"/>
      <c r="AK126" s="1049"/>
    </row>
    <row r="127" spans="2:37" ht="16.5" x14ac:dyDescent="0.25">
      <c r="B127" s="1213" t="s">
        <v>348</v>
      </c>
      <c r="C127" s="1214"/>
      <c r="D127" s="1215"/>
      <c r="AK127" s="1049"/>
    </row>
    <row r="128" spans="2:37" ht="17.25" thickBot="1" x14ac:dyDescent="0.3">
      <c r="B128" s="1216">
        <v>0.04</v>
      </c>
      <c r="C128" s="1217"/>
      <c r="D128" s="1218"/>
      <c r="AK128" s="1049"/>
    </row>
    <row r="129" spans="2:37" ht="15.75" thickBot="1" x14ac:dyDescent="0.3">
      <c r="B129" s="1044"/>
      <c r="AK129" s="1049"/>
    </row>
    <row r="130" spans="2:37" ht="16.5" x14ac:dyDescent="0.25">
      <c r="B130" s="1219" t="s">
        <v>363</v>
      </c>
      <c r="C130" s="1220"/>
      <c r="D130" s="1221"/>
      <c r="E130" s="117"/>
      <c r="F130" s="117"/>
      <c r="G130" s="117"/>
      <c r="AK130" s="1049"/>
    </row>
    <row r="131" spans="2:37" ht="17.25" thickBot="1" x14ac:dyDescent="0.3">
      <c r="B131" s="1198">
        <v>0.03</v>
      </c>
      <c r="C131" s="1199"/>
      <c r="D131" s="1200"/>
      <c r="E131" s="1061"/>
      <c r="F131" s="1061"/>
      <c r="G131" s="1061"/>
      <c r="AK131" s="1049"/>
    </row>
    <row r="132" spans="2:37" x14ac:dyDescent="0.25">
      <c r="B132" s="1044"/>
      <c r="AK132" s="1049"/>
    </row>
    <row r="133" spans="2:37" x14ac:dyDescent="0.25">
      <c r="B133" s="1044"/>
      <c r="AK133" s="1049"/>
    </row>
    <row r="134" spans="2:37" x14ac:dyDescent="0.25">
      <c r="B134" s="1044"/>
      <c r="AK134" s="1049"/>
    </row>
    <row r="135" spans="2:37" x14ac:dyDescent="0.25">
      <c r="B135" s="1044"/>
      <c r="AK135" s="1049"/>
    </row>
    <row r="136" spans="2:37" x14ac:dyDescent="0.25">
      <c r="B136" s="1044"/>
      <c r="AK136" s="1049"/>
    </row>
    <row r="137" spans="2:37" x14ac:dyDescent="0.25">
      <c r="B137" s="1044"/>
      <c r="AK137" s="1049"/>
    </row>
    <row r="138" spans="2:37" x14ac:dyDescent="0.25">
      <c r="B138" s="1044"/>
      <c r="AK138" s="1049"/>
    </row>
    <row r="139" spans="2:37" x14ac:dyDescent="0.25">
      <c r="B139" s="1044"/>
      <c r="AK139" s="1049"/>
    </row>
    <row r="140" spans="2:37" x14ac:dyDescent="0.25">
      <c r="B140" s="1044"/>
      <c r="AK140" s="1049"/>
    </row>
    <row r="141" spans="2:37" x14ac:dyDescent="0.25">
      <c r="B141" s="1044"/>
      <c r="AK141" s="1049"/>
    </row>
    <row r="142" spans="2:37" ht="15.75" thickBot="1" x14ac:dyDescent="0.3">
      <c r="B142" s="1044"/>
      <c r="AK142" s="1049"/>
    </row>
    <row r="143" spans="2:37" ht="24" customHeight="1" thickTop="1" thickBot="1" x14ac:dyDescent="0.35">
      <c r="B143" s="1201" t="s">
        <v>676</v>
      </c>
      <c r="C143" s="1202"/>
      <c r="D143" s="1202"/>
      <c r="E143" s="1202"/>
      <c r="F143" s="1202"/>
      <c r="G143" s="1202"/>
      <c r="H143" s="1202"/>
      <c r="I143" s="1202"/>
      <c r="J143" s="1202"/>
      <c r="K143" s="1202"/>
      <c r="L143" s="1202"/>
      <c r="M143" s="1202"/>
      <c r="N143" s="1202"/>
      <c r="O143" s="1202"/>
      <c r="P143" s="1202"/>
      <c r="Q143" s="1202"/>
      <c r="R143" s="1202"/>
      <c r="S143" s="1202"/>
      <c r="T143" s="1202"/>
      <c r="U143" s="1202"/>
      <c r="V143" s="1202"/>
      <c r="W143" s="1202"/>
      <c r="X143" s="1202"/>
      <c r="Y143" s="1202"/>
      <c r="Z143" s="1202"/>
      <c r="AA143" s="1202"/>
      <c r="AB143" s="1202"/>
      <c r="AC143" s="1202"/>
      <c r="AD143" s="1202"/>
      <c r="AE143" s="1202"/>
      <c r="AF143" s="1202"/>
      <c r="AG143" s="1202"/>
      <c r="AH143" s="1202"/>
      <c r="AI143" s="1202"/>
      <c r="AJ143" s="1202"/>
      <c r="AK143" s="1203"/>
    </row>
    <row r="144" spans="2:37" ht="24" customHeight="1" thickTop="1" thickBot="1" x14ac:dyDescent="0.35">
      <c r="B144" s="1204" t="s">
        <v>10</v>
      </c>
      <c r="C144" s="1205"/>
      <c r="D144" s="1205"/>
      <c r="E144" s="1205"/>
      <c r="F144" s="1205"/>
      <c r="G144" s="1205"/>
      <c r="H144" s="1205"/>
      <c r="I144" s="1205"/>
      <c r="J144" s="1205"/>
      <c r="K144" s="1205"/>
      <c r="L144" s="1205"/>
      <c r="M144" s="1205"/>
      <c r="N144" s="1205"/>
      <c r="O144" s="1205"/>
      <c r="P144" s="1205"/>
      <c r="Q144" s="1205"/>
      <c r="R144" s="1205"/>
      <c r="S144" s="1205"/>
      <c r="T144" s="1205"/>
      <c r="U144" s="1205"/>
      <c r="V144" s="1205"/>
      <c r="W144" s="1205"/>
      <c r="X144" s="1205"/>
      <c r="Y144" s="1205"/>
      <c r="Z144" s="1205"/>
      <c r="AA144" s="1205"/>
      <c r="AB144" s="1205"/>
      <c r="AC144" s="1205"/>
      <c r="AD144" s="1205"/>
      <c r="AE144" s="1205"/>
      <c r="AF144" s="1205"/>
      <c r="AG144" s="1205"/>
      <c r="AH144" s="1205"/>
      <c r="AI144" s="1205"/>
      <c r="AJ144" s="1205"/>
      <c r="AK144" s="1206"/>
    </row>
    <row r="145" spans="2:37" ht="27" customHeight="1" thickTop="1" thickBot="1" x14ac:dyDescent="0.35">
      <c r="B145" s="1207" t="s">
        <v>23</v>
      </c>
      <c r="C145" s="1208"/>
      <c r="D145" s="1208"/>
      <c r="E145" s="1208"/>
      <c r="F145" s="1208"/>
      <c r="G145" s="1208"/>
      <c r="H145" s="1208"/>
      <c r="I145" s="1208"/>
      <c r="J145" s="1208"/>
      <c r="K145" s="1208"/>
      <c r="L145" s="1208"/>
      <c r="M145" s="1208"/>
      <c r="N145" s="1208"/>
      <c r="O145" s="1208"/>
      <c r="P145" s="1208"/>
      <c r="Q145" s="1208"/>
      <c r="R145" s="1208"/>
      <c r="S145" s="1208"/>
      <c r="T145" s="1208"/>
      <c r="U145" s="1208"/>
      <c r="V145" s="1208"/>
      <c r="W145" s="1208"/>
      <c r="X145" s="1208"/>
      <c r="Y145" s="1208"/>
      <c r="Z145" s="1208"/>
      <c r="AA145" s="1208"/>
      <c r="AB145" s="1208"/>
      <c r="AC145" s="1208"/>
      <c r="AD145" s="1208"/>
      <c r="AE145" s="1208"/>
      <c r="AF145" s="1208"/>
      <c r="AG145" s="1208"/>
      <c r="AH145" s="1208"/>
      <c r="AI145" s="1208"/>
      <c r="AJ145" s="1208"/>
      <c r="AK145" s="1209"/>
    </row>
    <row r="146" spans="2:37" ht="15.75" thickTop="1" x14ac:dyDescent="0.25"/>
    <row r="162" spans="1:109" hidden="1" x14ac:dyDescent="0.25">
      <c r="A162">
        <v>1</v>
      </c>
      <c r="B162">
        <v>1.125</v>
      </c>
      <c r="C162">
        <v>1.25</v>
      </c>
      <c r="D162">
        <v>1.375</v>
      </c>
      <c r="E162">
        <v>1.5</v>
      </c>
      <c r="F162">
        <v>1.625</v>
      </c>
      <c r="G162">
        <v>1.75</v>
      </c>
      <c r="H162">
        <v>1.875</v>
      </c>
      <c r="I162">
        <v>2</v>
      </c>
      <c r="J162">
        <v>2.125</v>
      </c>
      <c r="K162">
        <v>2.25</v>
      </c>
      <c r="L162">
        <v>2.375</v>
      </c>
      <c r="M162">
        <v>2.5</v>
      </c>
      <c r="N162">
        <v>2.625</v>
      </c>
      <c r="O162">
        <v>2.75</v>
      </c>
      <c r="P162">
        <v>2.875</v>
      </c>
      <c r="Q162">
        <v>3</v>
      </c>
      <c r="R162">
        <v>3.125</v>
      </c>
      <c r="S162">
        <v>3.25</v>
      </c>
      <c r="T162">
        <v>3.375</v>
      </c>
      <c r="U162">
        <v>3.5</v>
      </c>
      <c r="V162">
        <v>3.625</v>
      </c>
      <c r="W162">
        <v>3.75</v>
      </c>
      <c r="X162">
        <v>3.875</v>
      </c>
      <c r="Y162">
        <v>4</v>
      </c>
      <c r="Z162">
        <v>4.125</v>
      </c>
      <c r="AA162">
        <v>4.25</v>
      </c>
      <c r="AB162">
        <v>4.375</v>
      </c>
      <c r="AC162">
        <v>4.5</v>
      </c>
      <c r="AD162">
        <v>4.625</v>
      </c>
      <c r="AE162">
        <v>4.75</v>
      </c>
      <c r="AF162">
        <v>4.875</v>
      </c>
      <c r="AG162">
        <v>5</v>
      </c>
      <c r="AH162">
        <v>5.125</v>
      </c>
      <c r="AI162">
        <v>5.25</v>
      </c>
      <c r="AJ162">
        <v>5.375</v>
      </c>
      <c r="AK162">
        <v>5.5</v>
      </c>
      <c r="AL162">
        <v>5.625</v>
      </c>
      <c r="AM162">
        <v>5.75</v>
      </c>
      <c r="AN162">
        <v>5.875</v>
      </c>
      <c r="AO162">
        <v>5.99</v>
      </c>
      <c r="AP162">
        <v>6</v>
      </c>
      <c r="AQ162">
        <v>6.125</v>
      </c>
      <c r="AR162">
        <v>6.25</v>
      </c>
      <c r="AS162">
        <v>6.375</v>
      </c>
      <c r="AT162">
        <v>6.5</v>
      </c>
      <c r="AU162">
        <v>6.625</v>
      </c>
      <c r="AV162">
        <v>6.75</v>
      </c>
      <c r="AW162">
        <v>6.875</v>
      </c>
      <c r="AX162">
        <v>7</v>
      </c>
      <c r="AY162">
        <v>7.125</v>
      </c>
      <c r="AZ162">
        <v>7.25</v>
      </c>
      <c r="BA162">
        <v>7.375</v>
      </c>
      <c r="BB162">
        <v>7.5</v>
      </c>
      <c r="BC162">
        <v>7.625</v>
      </c>
      <c r="BD162">
        <v>7.75</v>
      </c>
      <c r="BE162">
        <v>7.875</v>
      </c>
      <c r="BF162">
        <v>8</v>
      </c>
      <c r="BG162">
        <v>8.125</v>
      </c>
      <c r="BH162">
        <v>8.25</v>
      </c>
      <c r="BI162">
        <v>8.375</v>
      </c>
      <c r="BJ162">
        <v>8.5</v>
      </c>
      <c r="BK162">
        <v>8.625</v>
      </c>
      <c r="BL162">
        <v>8.75</v>
      </c>
      <c r="BM162">
        <v>8.875</v>
      </c>
      <c r="BN162">
        <v>9</v>
      </c>
      <c r="BO162">
        <v>9.125</v>
      </c>
      <c r="BP162">
        <v>9.25</v>
      </c>
      <c r="BQ162">
        <v>9.375</v>
      </c>
      <c r="BR162">
        <v>9.5</v>
      </c>
      <c r="BS162">
        <v>9.625</v>
      </c>
      <c r="BT162">
        <v>9.75</v>
      </c>
      <c r="BU162">
        <v>9.875</v>
      </c>
      <c r="BV162">
        <v>10</v>
      </c>
      <c r="BW162">
        <v>10.125</v>
      </c>
      <c r="BX162">
        <v>10.25</v>
      </c>
      <c r="BY162">
        <v>10.375</v>
      </c>
      <c r="BZ162">
        <v>10.5</v>
      </c>
      <c r="CA162">
        <v>10.625</v>
      </c>
      <c r="CB162">
        <v>10.75</v>
      </c>
      <c r="CC162">
        <v>10.875</v>
      </c>
      <c r="CD162">
        <v>11</v>
      </c>
      <c r="CE162">
        <v>11.125</v>
      </c>
      <c r="CF162">
        <v>11.25</v>
      </c>
      <c r="CG162">
        <v>11.375</v>
      </c>
      <c r="CH162">
        <v>11.5</v>
      </c>
      <c r="CI162">
        <v>11.625</v>
      </c>
      <c r="CJ162">
        <v>11.75</v>
      </c>
      <c r="CK162">
        <v>11.875</v>
      </c>
      <c r="CL162">
        <v>12</v>
      </c>
      <c r="CM162">
        <v>12.125</v>
      </c>
      <c r="CN162">
        <v>12.25</v>
      </c>
      <c r="CO162">
        <v>12.375</v>
      </c>
      <c r="CP162">
        <v>12.5</v>
      </c>
      <c r="CQ162">
        <v>12.625</v>
      </c>
      <c r="CR162">
        <v>12.75</v>
      </c>
      <c r="CS162">
        <v>12.875</v>
      </c>
      <c r="CT162">
        <v>13</v>
      </c>
      <c r="CU162">
        <v>13.125</v>
      </c>
      <c r="CV162">
        <v>13.25</v>
      </c>
      <c r="CW162">
        <v>13.375</v>
      </c>
      <c r="CX162">
        <v>13.5</v>
      </c>
      <c r="CY162">
        <v>13.625</v>
      </c>
      <c r="CZ162">
        <v>13.75</v>
      </c>
      <c r="DA162">
        <v>13.875</v>
      </c>
      <c r="DB162">
        <v>14</v>
      </c>
      <c r="DC162">
        <v>14.125</v>
      </c>
      <c r="DD162">
        <v>14.25</v>
      </c>
      <c r="DE162">
        <v>14.375</v>
      </c>
    </row>
  </sheetData>
  <mergeCells count="69">
    <mergeCell ref="B6:E6"/>
    <mergeCell ref="B2:E2"/>
    <mergeCell ref="AG2:AJ2"/>
    <mergeCell ref="B3:E3"/>
    <mergeCell ref="B4:E4"/>
    <mergeCell ref="B5:E5"/>
    <mergeCell ref="AI11:AK11"/>
    <mergeCell ref="O7:Q7"/>
    <mergeCell ref="B9:AK9"/>
    <mergeCell ref="B10:Y10"/>
    <mergeCell ref="Z10:AK10"/>
    <mergeCell ref="B11:D11"/>
    <mergeCell ref="E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B70:G70"/>
    <mergeCell ref="K70:P70"/>
    <mergeCell ref="W70:AB70"/>
    <mergeCell ref="AF70:AK70"/>
    <mergeCell ref="B39:AK39"/>
    <mergeCell ref="B40:Y40"/>
    <mergeCell ref="Z40:AK40"/>
    <mergeCell ref="B41:D41"/>
    <mergeCell ref="E41:G41"/>
    <mergeCell ref="H41:J41"/>
    <mergeCell ref="K41:M41"/>
    <mergeCell ref="N41:P41"/>
    <mergeCell ref="Q41:S41"/>
    <mergeCell ref="T41:V41"/>
    <mergeCell ref="W41:Y41"/>
    <mergeCell ref="Z41:AB41"/>
    <mergeCell ref="AC41:AE41"/>
    <mergeCell ref="AF41:AH41"/>
    <mergeCell ref="AI41:AK41"/>
    <mergeCell ref="AF71:AH71"/>
    <mergeCell ref="AI71:AK71"/>
    <mergeCell ref="B100:AK100"/>
    <mergeCell ref="B101:J101"/>
    <mergeCell ref="O101:W101"/>
    <mergeCell ref="AC101:AK101"/>
    <mergeCell ref="B71:D71"/>
    <mergeCell ref="E71:G71"/>
    <mergeCell ref="K71:M71"/>
    <mergeCell ref="N71:P71"/>
    <mergeCell ref="W71:Y71"/>
    <mergeCell ref="Z71:AB71"/>
    <mergeCell ref="B131:D131"/>
    <mergeCell ref="B143:AK143"/>
    <mergeCell ref="B144:AK144"/>
    <mergeCell ref="B145:AK145"/>
    <mergeCell ref="AC102:AE102"/>
    <mergeCell ref="AF102:AH102"/>
    <mergeCell ref="AI102:AK102"/>
    <mergeCell ref="B127:D127"/>
    <mergeCell ref="B128:D128"/>
    <mergeCell ref="B130:D130"/>
    <mergeCell ref="B102:D102"/>
    <mergeCell ref="E102:G102"/>
    <mergeCell ref="H102:J102"/>
    <mergeCell ref="O102:Q102"/>
    <mergeCell ref="R102:T102"/>
    <mergeCell ref="U102:W102"/>
  </mergeCells>
  <hyperlinks>
    <hyperlink ref="B6" r:id="rId1" xr:uid="{04027709-2D9C-46D1-AE5D-5E8AD94F73E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E5D9-EE22-495C-B34A-34CA0E31F308}">
  <sheetPr codeName="Sheet2">
    <pageSetUpPr fitToPage="1"/>
  </sheetPr>
  <dimension ref="A1:AE159"/>
  <sheetViews>
    <sheetView zoomScale="60" zoomScaleNormal="60" workbookViewId="0">
      <selection activeCell="R37" sqref="R37"/>
    </sheetView>
  </sheetViews>
  <sheetFormatPr defaultColWidth="8.85546875" defaultRowHeight="14.25" x14ac:dyDescent="0.2"/>
  <cols>
    <col min="1" max="1" width="7.5703125" style="5" customWidth="1"/>
    <col min="2" max="2" width="25" style="5" customWidth="1"/>
    <col min="3" max="11" width="13.42578125" style="5" customWidth="1"/>
    <col min="12" max="12" width="2.28515625" style="5" customWidth="1"/>
    <col min="13" max="13" width="1.42578125" style="5" customWidth="1"/>
    <col min="14" max="14" width="12.85546875" style="5" customWidth="1"/>
    <col min="15" max="15" width="5.140625" style="5" customWidth="1"/>
    <col min="16" max="17" width="10.42578125" style="5" customWidth="1"/>
    <col min="18" max="18" width="7.28515625" style="5" customWidth="1"/>
    <col min="19" max="19" width="16" style="5" customWidth="1"/>
    <col min="20" max="20" width="15" style="5" customWidth="1"/>
    <col min="21" max="21" width="8.85546875" style="172"/>
    <col min="22" max="22" width="27.28515625" style="5" customWidth="1"/>
    <col min="23" max="29" width="8.85546875" style="5"/>
    <col min="30" max="30" width="9.140625" style="5" bestFit="1" customWidth="1"/>
    <col min="31" max="16384" width="8.85546875" style="5"/>
  </cols>
  <sheetData>
    <row r="1" spans="1:22" ht="16.5" customHeight="1" x14ac:dyDescent="0.25">
      <c r="T1" s="326" t="s">
        <v>720</v>
      </c>
    </row>
    <row r="2" spans="1:22" ht="20.25" customHeight="1" x14ac:dyDescent="0.25">
      <c r="B2" s="1366" t="s">
        <v>0</v>
      </c>
      <c r="C2" s="1367"/>
      <c r="D2" s="1368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1366"/>
      <c r="S2" s="1367"/>
      <c r="T2" s="1368"/>
    </row>
    <row r="3" spans="1:22" ht="17.25" customHeight="1" x14ac:dyDescent="0.25">
      <c r="A3" s="149"/>
      <c r="B3" s="1272" t="s">
        <v>1</v>
      </c>
      <c r="C3" s="1273"/>
      <c r="D3" s="1274"/>
      <c r="E3" s="27"/>
      <c r="F3" s="117"/>
      <c r="G3" s="117"/>
      <c r="H3" s="117"/>
      <c r="I3" s="117"/>
      <c r="J3" s="117"/>
      <c r="K3" s="117"/>
      <c r="L3" s="117"/>
      <c r="M3" s="117"/>
      <c r="N3" s="27"/>
      <c r="O3" s="27"/>
      <c r="P3" s="27"/>
      <c r="Q3" s="27"/>
      <c r="R3" s="309"/>
      <c r="S3" s="167"/>
      <c r="T3" s="310"/>
    </row>
    <row r="4" spans="1:22" ht="15" customHeight="1" x14ac:dyDescent="0.25">
      <c r="A4" s="149"/>
      <c r="B4" s="1272" t="s">
        <v>2</v>
      </c>
      <c r="C4" s="1273"/>
      <c r="D4" s="1274"/>
      <c r="E4" s="27"/>
      <c r="F4" s="117"/>
      <c r="G4" s="117"/>
      <c r="H4" s="117"/>
      <c r="I4" s="117"/>
      <c r="J4" s="117"/>
      <c r="K4" s="117"/>
      <c r="L4" s="117"/>
      <c r="M4" s="117"/>
      <c r="N4" s="27"/>
      <c r="O4" s="27"/>
      <c r="P4" s="27"/>
      <c r="Q4" s="27"/>
      <c r="R4" s="309"/>
      <c r="S4" s="167"/>
      <c r="T4" s="310"/>
    </row>
    <row r="5" spans="1:22" ht="16.5" x14ac:dyDescent="0.25">
      <c r="A5" s="149"/>
      <c r="B5" s="1272" t="s">
        <v>3</v>
      </c>
      <c r="C5" s="1273"/>
      <c r="D5" s="1274"/>
      <c r="E5" s="15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309"/>
      <c r="S5" s="167"/>
      <c r="T5" s="310"/>
    </row>
    <row r="6" spans="1:22" ht="16.5" x14ac:dyDescent="0.25">
      <c r="A6" s="149"/>
      <c r="B6" s="1266" t="s">
        <v>4</v>
      </c>
      <c r="C6" s="1267"/>
      <c r="D6" s="1268"/>
      <c r="E6" s="313"/>
      <c r="F6" s="117"/>
      <c r="G6" s="117"/>
      <c r="H6" s="117"/>
      <c r="I6" s="117"/>
      <c r="J6" s="117"/>
      <c r="K6" s="117"/>
      <c r="L6" s="117"/>
      <c r="M6" s="117"/>
      <c r="N6" s="117"/>
      <c r="O6" s="27"/>
      <c r="P6" s="27"/>
      <c r="Q6" s="27"/>
      <c r="R6" s="311"/>
      <c r="S6" s="135"/>
      <c r="T6" s="312"/>
    </row>
    <row r="7" spans="1:22" ht="20.25" customHeight="1" thickBot="1" x14ac:dyDescent="0.3">
      <c r="B7" s="719"/>
      <c r="C7" s="27"/>
      <c r="D7" s="27"/>
      <c r="E7" s="117" t="s">
        <v>5</v>
      </c>
      <c r="G7" s="27"/>
      <c r="H7" s="27"/>
      <c r="I7" s="27"/>
      <c r="J7" s="1369" t="s">
        <v>6</v>
      </c>
      <c r="K7" s="1369"/>
      <c r="L7" s="1370">
        <f ca="1">CONV!R7</f>
        <v>46101</v>
      </c>
      <c r="M7" s="1370"/>
      <c r="N7" s="1370"/>
      <c r="O7" s="1371">
        <f>CONV!W7</f>
        <v>0</v>
      </c>
      <c r="P7" s="1371"/>
      <c r="Q7" s="1371"/>
      <c r="R7" s="27"/>
      <c r="S7" s="27"/>
      <c r="T7" s="27"/>
    </row>
    <row r="8" spans="1:22" ht="30" customHeight="1" thickBot="1" x14ac:dyDescent="0.25">
      <c r="B8" s="1339" t="s">
        <v>7</v>
      </c>
      <c r="C8" s="1340"/>
      <c r="D8" s="1340"/>
      <c r="E8" s="1340"/>
      <c r="F8" s="1340"/>
      <c r="G8" s="1340"/>
      <c r="H8" s="1340"/>
      <c r="I8" s="1340"/>
      <c r="J8" s="1340"/>
      <c r="K8" s="1340"/>
      <c r="L8" s="1340"/>
      <c r="M8" s="1340"/>
      <c r="N8" s="1340"/>
      <c r="O8" s="1340"/>
      <c r="P8" s="1340"/>
      <c r="Q8" s="1340"/>
      <c r="R8" s="1340"/>
      <c r="S8" s="1340"/>
      <c r="T8" s="1341"/>
      <c r="U8" s="5"/>
    </row>
    <row r="9" spans="1:22" ht="19.5" customHeight="1" thickBot="1" x14ac:dyDescent="0.3">
      <c r="B9" s="603" t="s">
        <v>354</v>
      </c>
      <c r="C9" s="29"/>
      <c r="D9" s="604"/>
      <c r="E9" s="605"/>
      <c r="F9" s="605"/>
      <c r="G9" s="308"/>
      <c r="H9" s="581" t="s">
        <v>9</v>
      </c>
      <c r="I9" s="308"/>
      <c r="J9" s="581"/>
      <c r="K9" s="581"/>
      <c r="L9" s="581" t="s">
        <v>352</v>
      </c>
      <c r="M9" s="308"/>
      <c r="N9" s="581"/>
      <c r="O9" s="581"/>
      <c r="P9" s="308"/>
      <c r="Q9" s="29" t="s">
        <v>625</v>
      </c>
      <c r="R9" s="29"/>
      <c r="S9" s="29"/>
      <c r="T9" s="606"/>
      <c r="U9" s="5"/>
    </row>
    <row r="10" spans="1:22" ht="15.75" customHeight="1" x14ac:dyDescent="0.2">
      <c r="B10" s="1372" t="s">
        <v>11</v>
      </c>
      <c r="C10" s="1373"/>
      <c r="D10" s="1373"/>
      <c r="E10" s="1373"/>
      <c r="F10" s="1373"/>
      <c r="G10" s="1373"/>
      <c r="H10" s="1373"/>
      <c r="I10" s="1373"/>
      <c r="J10" s="1373"/>
      <c r="K10" s="1373"/>
      <c r="L10" s="1373"/>
      <c r="M10" s="1373"/>
      <c r="N10" s="1373"/>
      <c r="O10" s="1373"/>
      <c r="P10" s="1373"/>
      <c r="Q10" s="1373"/>
      <c r="R10" s="1373"/>
      <c r="S10" s="1373"/>
      <c r="T10" s="1374"/>
      <c r="U10" s="5"/>
    </row>
    <row r="11" spans="1:22" ht="12.75" customHeight="1" thickBot="1" x14ac:dyDescent="0.25">
      <c r="B11" s="1375"/>
      <c r="C11" s="1376"/>
      <c r="D11" s="1376"/>
      <c r="E11" s="1376"/>
      <c r="F11" s="1376"/>
      <c r="G11" s="1376"/>
      <c r="H11" s="1376"/>
      <c r="I11" s="1376"/>
      <c r="J11" s="1376"/>
      <c r="K11" s="1376"/>
      <c r="L11" s="1376"/>
      <c r="M11" s="1376"/>
      <c r="N11" s="1376"/>
      <c r="O11" s="1376"/>
      <c r="P11" s="1376"/>
      <c r="Q11" s="1376"/>
      <c r="R11" s="1376"/>
      <c r="S11" s="1376"/>
      <c r="T11" s="1377"/>
      <c r="U11" s="5"/>
    </row>
    <row r="12" spans="1:22" ht="24" customHeight="1" x14ac:dyDescent="0.2">
      <c r="B12" s="1360"/>
      <c r="C12" s="1361"/>
      <c r="D12" s="1361"/>
      <c r="E12" s="1361"/>
      <c r="F12" s="1361"/>
      <c r="G12" s="1361"/>
      <c r="H12" s="1361"/>
      <c r="I12" s="1361"/>
      <c r="J12" s="1361"/>
      <c r="K12" s="1361"/>
      <c r="L12" s="1361"/>
      <c r="M12" s="1361"/>
      <c r="N12" s="1361"/>
      <c r="O12" s="1361"/>
      <c r="P12" s="1361"/>
      <c r="Q12" s="1361"/>
      <c r="R12" s="1361"/>
      <c r="S12" s="1361"/>
      <c r="T12" s="1362"/>
      <c r="U12" s="5"/>
    </row>
    <row r="13" spans="1:22" ht="24" customHeight="1" x14ac:dyDescent="0.2">
      <c r="B13" s="1363"/>
      <c r="C13" s="1364"/>
      <c r="D13" s="1364"/>
      <c r="E13" s="1364"/>
      <c r="F13" s="1364"/>
      <c r="G13" s="1364"/>
      <c r="H13" s="1364"/>
      <c r="I13" s="1364"/>
      <c r="J13" s="1364"/>
      <c r="K13" s="1364"/>
      <c r="L13" s="1364"/>
      <c r="M13" s="1364"/>
      <c r="N13" s="1364"/>
      <c r="O13" s="1364"/>
      <c r="P13" s="1364"/>
      <c r="Q13" s="1364"/>
      <c r="R13" s="1364"/>
      <c r="S13" s="1364"/>
      <c r="T13" s="1365"/>
      <c r="U13" s="5"/>
    </row>
    <row r="14" spans="1:22" ht="8.25" customHeight="1" thickBot="1" x14ac:dyDescent="0.25">
      <c r="B14" s="123"/>
      <c r="C14" s="417"/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56"/>
      <c r="O14" s="56"/>
      <c r="P14" s="56"/>
      <c r="Q14" s="56"/>
      <c r="T14" s="38"/>
      <c r="U14" s="5"/>
    </row>
    <row r="15" spans="1:22" ht="35.25" customHeight="1" thickBot="1" x14ac:dyDescent="0.25">
      <c r="B15" s="1339" t="s">
        <v>658</v>
      </c>
      <c r="C15" s="1340"/>
      <c r="D15" s="1340"/>
      <c r="E15" s="1340"/>
      <c r="F15" s="1340"/>
      <c r="G15" s="1340"/>
      <c r="H15" s="1340"/>
      <c r="I15" s="1340"/>
      <c r="J15" s="1340"/>
      <c r="K15" s="1340"/>
      <c r="L15" s="1340"/>
      <c r="M15" s="1340"/>
      <c r="N15" s="1340"/>
      <c r="O15" s="1340"/>
      <c r="P15" s="1340"/>
      <c r="Q15" s="1340"/>
      <c r="R15" s="1340"/>
      <c r="S15" s="1340"/>
      <c r="T15" s="1341"/>
      <c r="U15" s="5"/>
    </row>
    <row r="16" spans="1:22" ht="12" customHeight="1" thickBot="1" x14ac:dyDescent="0.35">
      <c r="B16" s="124"/>
      <c r="C16" s="418"/>
      <c r="D16" s="418"/>
      <c r="E16" s="418"/>
      <c r="F16" s="418"/>
      <c r="G16" s="418"/>
      <c r="H16" s="418"/>
      <c r="I16" s="418"/>
      <c r="J16" s="418"/>
      <c r="K16" s="418"/>
      <c r="L16" s="418"/>
      <c r="M16" s="418"/>
      <c r="N16" s="418"/>
      <c r="O16" s="418"/>
      <c r="P16" s="418"/>
      <c r="Q16" s="418"/>
      <c r="T16" s="38"/>
      <c r="U16" s="5"/>
      <c r="V16" s="317"/>
    </row>
    <row r="17" spans="2:22" s="117" customFormat="1" ht="24.75" customHeight="1" x14ac:dyDescent="0.3">
      <c r="B17" s="1342" t="s">
        <v>95</v>
      </c>
      <c r="C17" s="1343"/>
      <c r="D17" s="1343"/>
      <c r="E17" s="1343"/>
      <c r="F17" s="1343"/>
      <c r="G17" s="1343"/>
      <c r="H17" s="1343"/>
      <c r="I17" s="1343"/>
      <c r="J17" s="1343"/>
      <c r="K17" s="1344"/>
      <c r="N17" s="1345" t="s">
        <v>96</v>
      </c>
      <c r="O17" s="1346"/>
      <c r="P17" s="1346"/>
      <c r="Q17" s="1346"/>
      <c r="R17" s="1346"/>
      <c r="S17" s="1346"/>
      <c r="T17" s="1347"/>
      <c r="V17" s="318"/>
    </row>
    <row r="18" spans="2:22" ht="19.5" customHeight="1" x14ac:dyDescent="0.25">
      <c r="B18" s="570" t="s">
        <v>97</v>
      </c>
      <c r="C18" s="854" t="s">
        <v>98</v>
      </c>
      <c r="D18" s="855" t="s">
        <v>99</v>
      </c>
      <c r="E18" s="855" t="s">
        <v>100</v>
      </c>
      <c r="F18" s="855" t="s">
        <v>101</v>
      </c>
      <c r="G18" s="855" t="s">
        <v>102</v>
      </c>
      <c r="H18" s="855" t="s">
        <v>103</v>
      </c>
      <c r="I18" s="856" t="s">
        <v>104</v>
      </c>
      <c r="J18" s="856" t="s">
        <v>105</v>
      </c>
      <c r="K18" s="857" t="s">
        <v>106</v>
      </c>
      <c r="N18" s="1348" t="s">
        <v>107</v>
      </c>
      <c r="O18" s="1349"/>
      <c r="P18" s="1349"/>
      <c r="Q18" s="1349"/>
      <c r="R18" s="1349"/>
      <c r="S18" s="1349"/>
      <c r="T18" s="1350"/>
      <c r="U18" s="5"/>
    </row>
    <row r="19" spans="2:22" ht="19.5" customHeight="1" x14ac:dyDescent="0.25">
      <c r="B19" s="229" t="s">
        <v>108</v>
      </c>
      <c r="C19" s="230">
        <v>0</v>
      </c>
      <c r="D19" s="231">
        <v>0</v>
      </c>
      <c r="E19" s="231">
        <v>0</v>
      </c>
      <c r="F19" s="231">
        <v>0</v>
      </c>
      <c r="G19" s="231">
        <v>0.375</v>
      </c>
      <c r="H19" s="232">
        <v>0.75</v>
      </c>
      <c r="I19" s="231">
        <v>0.75</v>
      </c>
      <c r="J19" s="231">
        <v>0.875</v>
      </c>
      <c r="K19" s="233">
        <v>0.875</v>
      </c>
      <c r="N19" s="73" t="s">
        <v>109</v>
      </c>
      <c r="O19" s="421"/>
      <c r="P19" s="421"/>
      <c r="Q19" s="27"/>
      <c r="R19" s="27"/>
      <c r="S19" s="27"/>
      <c r="T19" s="74">
        <v>0</v>
      </c>
      <c r="U19" s="5"/>
    </row>
    <row r="20" spans="2:22" ht="19.5" customHeight="1" x14ac:dyDescent="0.25">
      <c r="B20" s="234" t="s">
        <v>110</v>
      </c>
      <c r="C20" s="235">
        <v>0</v>
      </c>
      <c r="D20" s="232">
        <v>0</v>
      </c>
      <c r="E20" s="232">
        <v>0</v>
      </c>
      <c r="F20" s="232">
        <v>0</v>
      </c>
      <c r="G20" s="232">
        <v>0.375</v>
      </c>
      <c r="H20" s="232">
        <v>0.75</v>
      </c>
      <c r="I20" s="232">
        <v>0.75</v>
      </c>
      <c r="J20" s="232">
        <v>0.875</v>
      </c>
      <c r="K20" s="236">
        <v>0.875</v>
      </c>
      <c r="N20" s="75" t="s">
        <v>111</v>
      </c>
      <c r="O20" s="422"/>
      <c r="P20" s="422"/>
      <c r="Q20" s="27"/>
      <c r="R20" s="27"/>
      <c r="S20" s="27"/>
      <c r="T20" s="74">
        <v>0.25</v>
      </c>
      <c r="U20" s="5"/>
    </row>
    <row r="21" spans="2:22" ht="19.5" customHeight="1" thickBot="1" x14ac:dyDescent="0.3">
      <c r="B21" s="234" t="s">
        <v>53</v>
      </c>
      <c r="C21" s="235">
        <v>0</v>
      </c>
      <c r="D21" s="232">
        <v>0</v>
      </c>
      <c r="E21" s="232">
        <v>0</v>
      </c>
      <c r="F21" s="232">
        <v>0.25</v>
      </c>
      <c r="G21" s="232">
        <v>0.625</v>
      </c>
      <c r="H21" s="237">
        <v>1</v>
      </c>
      <c r="I21" s="232">
        <v>1</v>
      </c>
      <c r="J21" s="232">
        <v>1.125</v>
      </c>
      <c r="K21" s="236">
        <v>1</v>
      </c>
      <c r="N21" s="76" t="s">
        <v>112</v>
      </c>
      <c r="O21" s="77"/>
      <c r="P21" s="77"/>
      <c r="Q21" s="78"/>
      <c r="R21" s="78"/>
      <c r="S21" s="78"/>
      <c r="T21" s="79">
        <v>0.5</v>
      </c>
      <c r="U21" s="5"/>
    </row>
    <row r="22" spans="2:22" ht="19.5" customHeight="1" x14ac:dyDescent="0.25">
      <c r="B22" s="234" t="s">
        <v>54</v>
      </c>
      <c r="C22" s="235">
        <v>0</v>
      </c>
      <c r="D22" s="232">
        <v>0</v>
      </c>
      <c r="E22" s="232">
        <v>0.125</v>
      </c>
      <c r="F22" s="232">
        <v>0.375</v>
      </c>
      <c r="G22" s="232">
        <v>0.875</v>
      </c>
      <c r="H22" s="237">
        <v>1.375</v>
      </c>
      <c r="I22" s="232">
        <v>1.25</v>
      </c>
      <c r="J22" s="232">
        <v>1.25</v>
      </c>
      <c r="K22" s="236">
        <v>1.25</v>
      </c>
      <c r="N22" s="27"/>
      <c r="O22" s="27"/>
      <c r="P22" s="27"/>
      <c r="Q22" s="27"/>
      <c r="R22" s="27"/>
      <c r="S22" s="27"/>
      <c r="T22" s="219"/>
      <c r="U22" s="5"/>
    </row>
    <row r="23" spans="2:22" ht="19.5" customHeight="1" x14ac:dyDescent="0.25">
      <c r="B23" s="238" t="s">
        <v>55</v>
      </c>
      <c r="C23" s="239">
        <v>0</v>
      </c>
      <c r="D23" s="240">
        <v>0</v>
      </c>
      <c r="E23" s="240">
        <v>0.25</v>
      </c>
      <c r="F23" s="240">
        <v>0.75</v>
      </c>
      <c r="G23" s="240">
        <v>1.25</v>
      </c>
      <c r="H23" s="241">
        <v>1.625</v>
      </c>
      <c r="I23" s="240">
        <v>1.5</v>
      </c>
      <c r="J23" s="240">
        <v>1.5</v>
      </c>
      <c r="K23" s="242">
        <v>1.5</v>
      </c>
      <c r="T23" s="38"/>
      <c r="U23" s="5"/>
    </row>
    <row r="24" spans="2:22" ht="19.5" customHeight="1" x14ac:dyDescent="0.25">
      <c r="B24" s="238" t="s">
        <v>57</v>
      </c>
      <c r="C24" s="239">
        <v>0</v>
      </c>
      <c r="D24" s="240">
        <v>0</v>
      </c>
      <c r="E24" s="240">
        <v>0.375</v>
      </c>
      <c r="F24" s="240">
        <v>0.875</v>
      </c>
      <c r="G24" s="240">
        <v>1.375</v>
      </c>
      <c r="H24" s="241">
        <v>1.875</v>
      </c>
      <c r="I24" s="240">
        <v>1.75</v>
      </c>
      <c r="J24" s="240">
        <v>1.75</v>
      </c>
      <c r="K24" s="242">
        <v>1.625</v>
      </c>
      <c r="N24" s="179"/>
      <c r="O24" s="179"/>
      <c r="P24" s="179"/>
      <c r="Q24" s="179"/>
      <c r="R24" s="179"/>
      <c r="S24" s="179"/>
      <c r="T24" s="885"/>
      <c r="U24" s="5"/>
    </row>
    <row r="25" spans="2:22" ht="19.5" customHeight="1" x14ac:dyDescent="0.25">
      <c r="B25" s="238" t="s">
        <v>58</v>
      </c>
      <c r="C25" s="239">
        <v>0</v>
      </c>
      <c r="D25" s="240">
        <v>0</v>
      </c>
      <c r="E25" s="240">
        <v>0.625</v>
      </c>
      <c r="F25" s="240">
        <v>1.125</v>
      </c>
      <c r="G25" s="240">
        <v>1.75</v>
      </c>
      <c r="H25" s="241">
        <v>2.25</v>
      </c>
      <c r="I25" s="240">
        <v>2</v>
      </c>
      <c r="J25" s="240">
        <v>2</v>
      </c>
      <c r="K25" s="242">
        <v>1.875</v>
      </c>
      <c r="N25" s="27"/>
      <c r="O25" s="27"/>
      <c r="P25" s="27"/>
      <c r="Q25" s="27"/>
      <c r="R25" s="27"/>
      <c r="S25" s="27"/>
      <c r="T25" s="94"/>
      <c r="U25" s="5"/>
    </row>
    <row r="26" spans="2:22" ht="19.5" customHeight="1" x14ac:dyDescent="0.25">
      <c r="B26" s="238" t="s">
        <v>73</v>
      </c>
      <c r="C26" s="239">
        <v>0.375</v>
      </c>
      <c r="D26" s="240">
        <v>0.375</v>
      </c>
      <c r="E26" s="240">
        <v>1.125</v>
      </c>
      <c r="F26" s="240">
        <v>1.75</v>
      </c>
      <c r="G26" s="240">
        <v>2.25</v>
      </c>
      <c r="H26" s="241">
        <v>2.5</v>
      </c>
      <c r="I26" s="240">
        <v>2.25</v>
      </c>
      <c r="J26" s="240">
        <v>2.25</v>
      </c>
      <c r="K26" s="242">
        <v>2</v>
      </c>
      <c r="T26" s="38"/>
      <c r="U26" s="5"/>
    </row>
    <row r="27" spans="2:22" ht="19.5" customHeight="1" x14ac:dyDescent="0.25">
      <c r="B27" s="238" t="s">
        <v>113</v>
      </c>
      <c r="C27" s="239">
        <v>0.5</v>
      </c>
      <c r="D27" s="240">
        <v>0.5</v>
      </c>
      <c r="E27" s="240">
        <v>1.625</v>
      </c>
      <c r="F27" s="240">
        <v>2</v>
      </c>
      <c r="G27" s="240">
        <v>2.75</v>
      </c>
      <c r="H27" s="241">
        <v>3</v>
      </c>
      <c r="I27" s="240">
        <v>2.5</v>
      </c>
      <c r="J27" s="240">
        <v>2.5</v>
      </c>
      <c r="K27" s="242">
        <v>2.25</v>
      </c>
      <c r="N27" s="423"/>
      <c r="O27" s="27"/>
      <c r="P27" s="27"/>
      <c r="Q27" s="27"/>
      <c r="R27" s="27"/>
      <c r="S27" s="27"/>
      <c r="T27" s="108"/>
      <c r="U27" s="5"/>
    </row>
    <row r="28" spans="2:22" ht="19.5" customHeight="1" thickBot="1" x14ac:dyDescent="0.3">
      <c r="B28" s="565" t="s">
        <v>115</v>
      </c>
      <c r="C28" s="566">
        <v>0.625</v>
      </c>
      <c r="D28" s="567">
        <v>0.75</v>
      </c>
      <c r="E28" s="567">
        <v>2.125</v>
      </c>
      <c r="F28" s="567">
        <v>2.75</v>
      </c>
      <c r="G28" s="567">
        <v>3.375</v>
      </c>
      <c r="H28" s="568">
        <v>3.5</v>
      </c>
      <c r="I28" s="567">
        <v>3.25</v>
      </c>
      <c r="J28" s="567">
        <v>2.875</v>
      </c>
      <c r="K28" s="569">
        <v>2.5</v>
      </c>
      <c r="L28" s="95"/>
      <c r="N28" s="179"/>
      <c r="O28" s="179"/>
      <c r="P28" s="179"/>
      <c r="Q28" s="179"/>
      <c r="R28" s="179"/>
      <c r="S28" s="179"/>
      <c r="T28" s="885"/>
      <c r="U28" s="5"/>
    </row>
    <row r="29" spans="2:22" ht="24.75" customHeight="1" x14ac:dyDescent="0.3">
      <c r="B29" s="1351" t="s">
        <v>117</v>
      </c>
      <c r="C29" s="1352"/>
      <c r="D29" s="1352"/>
      <c r="E29" s="1352"/>
      <c r="F29" s="1352"/>
      <c r="G29" s="1352"/>
      <c r="H29" s="1352"/>
      <c r="I29" s="1352"/>
      <c r="J29" s="1352"/>
      <c r="K29" s="1353"/>
      <c r="N29" s="1354" t="s">
        <v>114</v>
      </c>
      <c r="O29" s="1355"/>
      <c r="P29" s="1355"/>
      <c r="Q29" s="1355"/>
      <c r="R29" s="1355"/>
      <c r="S29" s="1355"/>
      <c r="T29" s="1356"/>
      <c r="U29" s="5"/>
    </row>
    <row r="30" spans="2:22" ht="22.5" customHeight="1" x14ac:dyDescent="0.25">
      <c r="B30" s="570" t="s">
        <v>119</v>
      </c>
      <c r="C30" s="854" t="s">
        <v>98</v>
      </c>
      <c r="D30" s="855" t="s">
        <v>99</v>
      </c>
      <c r="E30" s="855" t="s">
        <v>100</v>
      </c>
      <c r="F30" s="855" t="s">
        <v>101</v>
      </c>
      <c r="G30" s="855" t="s">
        <v>102</v>
      </c>
      <c r="H30" s="855" t="s">
        <v>103</v>
      </c>
      <c r="I30" s="856" t="s">
        <v>104</v>
      </c>
      <c r="J30" s="856" t="s">
        <v>105</v>
      </c>
      <c r="K30" s="857" t="s">
        <v>106</v>
      </c>
      <c r="N30" s="97" t="s">
        <v>116</v>
      </c>
      <c r="O30" s="571"/>
      <c r="P30" s="27"/>
      <c r="Q30" s="27"/>
      <c r="R30" s="27"/>
      <c r="S30" s="27"/>
      <c r="T30" s="74">
        <v>1.5</v>
      </c>
      <c r="U30" s="5"/>
    </row>
    <row r="31" spans="2:22" ht="19.5" customHeight="1" x14ac:dyDescent="0.25">
      <c r="B31" s="248" t="s">
        <v>121</v>
      </c>
      <c r="C31" s="858">
        <v>0</v>
      </c>
      <c r="D31" s="859">
        <v>0</v>
      </c>
      <c r="E31" s="859">
        <v>0</v>
      </c>
      <c r="F31" s="859">
        <v>0</v>
      </c>
      <c r="G31" s="859">
        <v>0</v>
      </c>
      <c r="H31" s="859">
        <v>0</v>
      </c>
      <c r="I31" s="859">
        <v>0</v>
      </c>
      <c r="J31" s="859">
        <v>0.25</v>
      </c>
      <c r="K31" s="860" t="s">
        <v>56</v>
      </c>
      <c r="N31" s="97" t="s">
        <v>118</v>
      </c>
      <c r="O31" s="571"/>
      <c r="P31" s="27"/>
      <c r="Q31" s="27"/>
      <c r="R31" s="27"/>
      <c r="S31" s="27"/>
      <c r="T31" s="74">
        <v>0.75</v>
      </c>
      <c r="U31" s="5"/>
    </row>
    <row r="32" spans="2:22" ht="19.5" customHeight="1" x14ac:dyDescent="0.25">
      <c r="B32" s="248" t="s">
        <v>123</v>
      </c>
      <c r="C32" s="858">
        <v>0</v>
      </c>
      <c r="D32" s="859">
        <v>0</v>
      </c>
      <c r="E32" s="859">
        <v>0.125</v>
      </c>
      <c r="F32" s="859">
        <v>0.125</v>
      </c>
      <c r="G32" s="859">
        <v>0.75</v>
      </c>
      <c r="H32" s="859">
        <v>0.75</v>
      </c>
      <c r="I32" s="859">
        <v>0.75</v>
      </c>
      <c r="J32" s="859">
        <v>0.75</v>
      </c>
      <c r="K32" s="860">
        <v>0.75</v>
      </c>
      <c r="N32" s="97" t="s">
        <v>120</v>
      </c>
      <c r="O32" s="571"/>
      <c r="P32" s="27"/>
      <c r="Q32" s="27"/>
      <c r="R32" s="27"/>
      <c r="S32" s="27"/>
      <c r="T32" s="74">
        <v>0.125</v>
      </c>
      <c r="U32" s="5"/>
    </row>
    <row r="33" spans="2:21" ht="19.5" customHeight="1" x14ac:dyDescent="0.25">
      <c r="B33" s="248" t="s">
        <v>131</v>
      </c>
      <c r="C33" s="858">
        <v>0.625</v>
      </c>
      <c r="D33" s="859">
        <v>0.625</v>
      </c>
      <c r="E33" s="859">
        <v>0.625</v>
      </c>
      <c r="F33" s="859">
        <v>0.875</v>
      </c>
      <c r="G33" s="859">
        <v>1.125</v>
      </c>
      <c r="H33" s="859">
        <v>1.125</v>
      </c>
      <c r="I33" s="859">
        <v>1.125</v>
      </c>
      <c r="J33" s="859">
        <v>1.875</v>
      </c>
      <c r="K33" s="860">
        <v>1.875</v>
      </c>
      <c r="N33" s="263" t="s">
        <v>122</v>
      </c>
      <c r="O33" s="27"/>
      <c r="P33" s="27"/>
      <c r="Q33" s="27"/>
      <c r="R33" s="27"/>
      <c r="S33" s="27"/>
      <c r="T33" s="94">
        <v>0.125</v>
      </c>
      <c r="U33" s="5"/>
    </row>
    <row r="34" spans="2:21" ht="19.5" customHeight="1" thickBot="1" x14ac:dyDescent="0.3">
      <c r="B34" s="248" t="s">
        <v>132</v>
      </c>
      <c r="C34" s="858">
        <v>0.5</v>
      </c>
      <c r="D34" s="859">
        <v>0.5</v>
      </c>
      <c r="E34" s="859">
        <v>0.75</v>
      </c>
      <c r="F34" s="859">
        <v>0.75</v>
      </c>
      <c r="G34" s="859">
        <v>1</v>
      </c>
      <c r="H34" s="859">
        <v>1</v>
      </c>
      <c r="I34" s="859">
        <v>1</v>
      </c>
      <c r="J34" s="859">
        <v>1</v>
      </c>
      <c r="K34" s="860">
        <v>1</v>
      </c>
      <c r="N34" s="96" t="s">
        <v>124</v>
      </c>
      <c r="O34" s="78"/>
      <c r="P34" s="78"/>
      <c r="Q34" s="78"/>
      <c r="R34" s="78"/>
      <c r="S34" s="78"/>
      <c r="T34" s="256">
        <v>0.25</v>
      </c>
      <c r="U34" s="5"/>
    </row>
    <row r="35" spans="2:21" ht="19.5" customHeight="1" thickBot="1" x14ac:dyDescent="0.3">
      <c r="B35" s="253" t="s">
        <v>133</v>
      </c>
      <c r="C35" s="861">
        <v>1.25</v>
      </c>
      <c r="D35" s="862">
        <v>1.25</v>
      </c>
      <c r="E35" s="862">
        <v>1.5</v>
      </c>
      <c r="F35" s="862">
        <v>1.5</v>
      </c>
      <c r="G35" s="862">
        <v>2.5</v>
      </c>
      <c r="H35" s="862">
        <v>2.5</v>
      </c>
      <c r="I35" s="862">
        <v>2.5</v>
      </c>
      <c r="J35" s="862">
        <v>2.75</v>
      </c>
      <c r="K35" s="863" t="s">
        <v>56</v>
      </c>
      <c r="T35" s="38"/>
      <c r="U35" s="5"/>
    </row>
    <row r="36" spans="2:21" ht="19.5" customHeight="1" thickBot="1" x14ac:dyDescent="0.3">
      <c r="B36" s="253" t="s">
        <v>666</v>
      </c>
      <c r="C36" s="928">
        <v>0.25</v>
      </c>
      <c r="D36" s="929">
        <v>0.25</v>
      </c>
      <c r="E36" s="930">
        <v>0.25</v>
      </c>
      <c r="F36" s="929">
        <v>0.375</v>
      </c>
      <c r="G36" s="929">
        <v>0.375</v>
      </c>
      <c r="H36" s="929">
        <v>0.5</v>
      </c>
      <c r="I36" s="929">
        <v>0.5</v>
      </c>
      <c r="J36" s="930">
        <v>0.5</v>
      </c>
      <c r="K36" s="931">
        <v>0.5</v>
      </c>
      <c r="T36" s="38"/>
      <c r="U36" s="5"/>
    </row>
    <row r="37" spans="2:21" ht="19.5" customHeight="1" x14ac:dyDescent="0.3">
      <c r="B37" s="1357" t="s">
        <v>135</v>
      </c>
      <c r="C37" s="1358"/>
      <c r="D37" s="1358"/>
      <c r="E37" s="1358"/>
      <c r="F37" s="1358"/>
      <c r="G37" s="1358"/>
      <c r="H37" s="1358"/>
      <c r="I37" s="1358"/>
      <c r="J37" s="1358"/>
      <c r="K37" s="1359"/>
      <c r="T37" s="38"/>
      <c r="U37" s="5"/>
    </row>
    <row r="38" spans="2:21" ht="19.5" customHeight="1" thickBot="1" x14ac:dyDescent="0.3">
      <c r="B38" s="570" t="s">
        <v>97</v>
      </c>
      <c r="C38" s="854" t="s">
        <v>98</v>
      </c>
      <c r="D38" s="855" t="s">
        <v>99</v>
      </c>
      <c r="E38" s="855" t="s">
        <v>100</v>
      </c>
      <c r="F38" s="855" t="s">
        <v>101</v>
      </c>
      <c r="G38" s="855" t="s">
        <v>102</v>
      </c>
      <c r="H38" s="855" t="s">
        <v>103</v>
      </c>
      <c r="I38" s="856" t="s">
        <v>104</v>
      </c>
      <c r="J38" s="856" t="s">
        <v>105</v>
      </c>
      <c r="K38" s="857" t="s">
        <v>106</v>
      </c>
      <c r="T38" s="38"/>
      <c r="U38" s="5"/>
    </row>
    <row r="39" spans="2:21" ht="19.5" customHeight="1" thickBot="1" x14ac:dyDescent="0.3">
      <c r="B39" s="229" t="s">
        <v>108</v>
      </c>
      <c r="C39" s="230">
        <v>0</v>
      </c>
      <c r="D39" s="231">
        <v>0</v>
      </c>
      <c r="E39" s="231">
        <v>0</v>
      </c>
      <c r="F39" s="231">
        <v>0.125</v>
      </c>
      <c r="G39" s="231">
        <v>0.5</v>
      </c>
      <c r="H39" s="864">
        <v>1</v>
      </c>
      <c r="I39" s="231">
        <v>1</v>
      </c>
      <c r="J39" s="231">
        <v>1</v>
      </c>
      <c r="K39" s="233">
        <v>1.125</v>
      </c>
      <c r="N39" s="598" t="s">
        <v>126</v>
      </c>
      <c r="O39" s="599"/>
      <c r="P39" s="599"/>
      <c r="Q39" s="599"/>
      <c r="R39" s="600"/>
      <c r="S39" s="601" t="s">
        <v>127</v>
      </c>
      <c r="T39" s="602" t="s">
        <v>128</v>
      </c>
      <c r="U39" s="5"/>
    </row>
    <row r="40" spans="2:21" ht="24" customHeight="1" thickBot="1" x14ac:dyDescent="0.3">
      <c r="B40" s="234" t="s">
        <v>110</v>
      </c>
      <c r="C40" s="235">
        <v>0</v>
      </c>
      <c r="D40" s="232">
        <v>0</v>
      </c>
      <c r="E40" s="232">
        <v>0</v>
      </c>
      <c r="F40" s="232">
        <v>0.125</v>
      </c>
      <c r="G40" s="232">
        <v>0.5</v>
      </c>
      <c r="H40" s="237">
        <v>1</v>
      </c>
      <c r="I40" s="232">
        <v>1</v>
      </c>
      <c r="J40" s="232">
        <v>1</v>
      </c>
      <c r="K40" s="236">
        <v>1.125</v>
      </c>
      <c r="L40" s="125"/>
      <c r="M40" s="126"/>
      <c r="N40" s="410" t="s">
        <v>129</v>
      </c>
      <c r="O40" s="595" t="s">
        <v>130</v>
      </c>
      <c r="P40" s="411"/>
      <c r="Q40" s="78"/>
      <c r="R40" s="78"/>
      <c r="S40" s="596">
        <v>-0.125</v>
      </c>
      <c r="T40" s="597">
        <v>-0.125</v>
      </c>
      <c r="U40" s="5"/>
    </row>
    <row r="41" spans="2:21" ht="22.5" customHeight="1" x14ac:dyDescent="0.25">
      <c r="B41" s="234" t="s">
        <v>53</v>
      </c>
      <c r="C41" s="235">
        <v>0</v>
      </c>
      <c r="D41" s="232">
        <v>0</v>
      </c>
      <c r="E41" s="232">
        <v>0.125</v>
      </c>
      <c r="F41" s="232">
        <v>0.375</v>
      </c>
      <c r="G41" s="232">
        <v>0.875</v>
      </c>
      <c r="H41" s="237">
        <v>1.375</v>
      </c>
      <c r="I41" s="232">
        <v>1.25</v>
      </c>
      <c r="J41" s="232">
        <v>1.25</v>
      </c>
      <c r="K41" s="236">
        <v>1.375</v>
      </c>
      <c r="T41" s="38"/>
      <c r="U41" s="5"/>
    </row>
    <row r="42" spans="2:21" ht="19.5" customHeight="1" x14ac:dyDescent="0.25">
      <c r="B42" s="234" t="s">
        <v>54</v>
      </c>
      <c r="C42" s="235">
        <v>0</v>
      </c>
      <c r="D42" s="232">
        <v>0</v>
      </c>
      <c r="E42" s="232">
        <v>0.25</v>
      </c>
      <c r="F42" s="232">
        <v>0.75</v>
      </c>
      <c r="G42" s="232">
        <v>1.125</v>
      </c>
      <c r="H42" s="237">
        <v>1.75</v>
      </c>
      <c r="I42" s="232">
        <v>1.625</v>
      </c>
      <c r="J42" s="232">
        <v>1.625</v>
      </c>
      <c r="K42" s="236">
        <v>1.75</v>
      </c>
      <c r="T42" s="38"/>
      <c r="U42" s="5"/>
    </row>
    <row r="43" spans="2:21" ht="19.5" customHeight="1" x14ac:dyDescent="0.25">
      <c r="B43" s="238" t="s">
        <v>55</v>
      </c>
      <c r="C43" s="239">
        <v>0</v>
      </c>
      <c r="D43" s="240">
        <v>0</v>
      </c>
      <c r="E43" s="240">
        <v>0.5</v>
      </c>
      <c r="F43" s="240">
        <v>1</v>
      </c>
      <c r="G43" s="240">
        <v>1.625</v>
      </c>
      <c r="H43" s="241">
        <v>2.125</v>
      </c>
      <c r="I43" s="240">
        <v>2</v>
      </c>
      <c r="J43" s="240">
        <v>1.875</v>
      </c>
      <c r="K43" s="242">
        <v>2</v>
      </c>
      <c r="N43" s="27"/>
      <c r="O43" s="27"/>
      <c r="P43" s="27"/>
      <c r="Q43" s="27"/>
      <c r="R43" s="27"/>
      <c r="S43" s="27"/>
      <c r="T43" s="108"/>
      <c r="U43" s="5"/>
    </row>
    <row r="44" spans="2:21" ht="19.5" customHeight="1" x14ac:dyDescent="0.25">
      <c r="B44" s="238" t="s">
        <v>57</v>
      </c>
      <c r="C44" s="239">
        <v>0</v>
      </c>
      <c r="D44" s="240">
        <v>0</v>
      </c>
      <c r="E44" s="240">
        <v>0.625</v>
      </c>
      <c r="F44" s="240">
        <v>1.25</v>
      </c>
      <c r="G44" s="240">
        <v>1.875</v>
      </c>
      <c r="H44" s="241">
        <v>2.5</v>
      </c>
      <c r="I44" s="240">
        <v>2.25</v>
      </c>
      <c r="J44" s="240">
        <v>2.25</v>
      </c>
      <c r="K44" s="242">
        <v>2.375</v>
      </c>
      <c r="N44" s="27"/>
      <c r="O44" s="27"/>
      <c r="P44" s="27"/>
      <c r="Q44" s="27"/>
      <c r="R44" s="27"/>
      <c r="S44" s="27"/>
      <c r="T44" s="108"/>
      <c r="U44" s="34"/>
    </row>
    <row r="45" spans="2:21" ht="19.5" customHeight="1" thickBot="1" x14ac:dyDescent="0.3">
      <c r="B45" s="238" t="s">
        <v>58</v>
      </c>
      <c r="C45" s="239">
        <v>0</v>
      </c>
      <c r="D45" s="240">
        <v>0</v>
      </c>
      <c r="E45" s="240">
        <v>0.875</v>
      </c>
      <c r="F45" s="240">
        <v>1.625</v>
      </c>
      <c r="G45" s="240">
        <v>2.25</v>
      </c>
      <c r="H45" s="241">
        <v>2.875</v>
      </c>
      <c r="I45" s="240">
        <v>2.625</v>
      </c>
      <c r="J45" s="240">
        <v>2.375</v>
      </c>
      <c r="K45" s="242">
        <v>2.5</v>
      </c>
      <c r="T45" s="38"/>
      <c r="U45" s="34"/>
    </row>
    <row r="46" spans="2:21" ht="19.5" customHeight="1" x14ac:dyDescent="0.25">
      <c r="B46" s="238" t="s">
        <v>73</v>
      </c>
      <c r="C46" s="239">
        <v>0.375</v>
      </c>
      <c r="D46" s="240">
        <v>0.5</v>
      </c>
      <c r="E46" s="240">
        <v>1.5</v>
      </c>
      <c r="F46" s="240">
        <v>2.25</v>
      </c>
      <c r="G46" s="240">
        <v>2.875</v>
      </c>
      <c r="H46" s="241">
        <v>3.375</v>
      </c>
      <c r="I46" s="240">
        <v>2.875</v>
      </c>
      <c r="J46" s="240">
        <v>2.75</v>
      </c>
      <c r="K46" s="242">
        <v>2.875</v>
      </c>
      <c r="N46" s="865"/>
      <c r="O46" s="866"/>
      <c r="P46" s="866"/>
      <c r="Q46" s="866"/>
      <c r="R46" s="866"/>
      <c r="S46" s="866"/>
      <c r="T46" s="867"/>
      <c r="U46" s="5"/>
    </row>
    <row r="47" spans="2:21" ht="19.5" customHeight="1" x14ac:dyDescent="0.25">
      <c r="B47" s="238" t="s">
        <v>113</v>
      </c>
      <c r="C47" s="239">
        <v>0.5</v>
      </c>
      <c r="D47" s="240">
        <v>0.75</v>
      </c>
      <c r="E47" s="240">
        <v>1.875</v>
      </c>
      <c r="F47" s="240">
        <v>2.625</v>
      </c>
      <c r="G47" s="240">
        <v>3.375</v>
      </c>
      <c r="H47" s="241">
        <v>3.875</v>
      </c>
      <c r="I47" s="240">
        <v>3.375</v>
      </c>
      <c r="J47" s="240">
        <v>3.125</v>
      </c>
      <c r="K47" s="242">
        <v>3.25</v>
      </c>
      <c r="N47" s="1336" t="s">
        <v>298</v>
      </c>
      <c r="O47" s="1337"/>
      <c r="P47" s="1337"/>
      <c r="Q47" s="1337"/>
      <c r="R47" s="1337"/>
      <c r="S47" s="1337"/>
      <c r="T47" s="1338"/>
      <c r="U47" s="5"/>
    </row>
    <row r="48" spans="2:21" ht="19.5" customHeight="1" thickBot="1" x14ac:dyDescent="0.3">
      <c r="B48" s="243" t="s">
        <v>115</v>
      </c>
      <c r="C48" s="244">
        <v>0.625</v>
      </c>
      <c r="D48" s="245">
        <v>1</v>
      </c>
      <c r="E48" s="245">
        <v>2.375</v>
      </c>
      <c r="F48" s="245">
        <v>3.125</v>
      </c>
      <c r="G48" s="245">
        <v>4.125</v>
      </c>
      <c r="H48" s="246">
        <v>4.5</v>
      </c>
      <c r="I48" s="245">
        <v>4.25</v>
      </c>
      <c r="J48" s="245">
        <v>3.125</v>
      </c>
      <c r="K48" s="247">
        <v>3.25</v>
      </c>
      <c r="N48" s="1336" t="s">
        <v>299</v>
      </c>
      <c r="O48" s="1337"/>
      <c r="P48" s="1337"/>
      <c r="Q48" s="1337"/>
      <c r="R48" s="1337"/>
      <c r="S48" s="1337"/>
      <c r="T48" s="1338"/>
      <c r="U48" s="5"/>
    </row>
    <row r="49" spans="2:21" ht="19.5" customHeight="1" thickTop="1" x14ac:dyDescent="0.3">
      <c r="B49" s="1326" t="s">
        <v>138</v>
      </c>
      <c r="C49" s="1327"/>
      <c r="D49" s="1327"/>
      <c r="E49" s="1327"/>
      <c r="F49" s="1327"/>
      <c r="G49" s="1327"/>
      <c r="H49" s="1327"/>
      <c r="I49" s="1327"/>
      <c r="J49" s="1327"/>
      <c r="K49" s="1328"/>
      <c r="N49" s="1329" t="s">
        <v>451</v>
      </c>
      <c r="O49" s="1330"/>
      <c r="P49" s="1330"/>
      <c r="Q49" s="1330"/>
      <c r="R49" s="1330"/>
      <c r="S49" s="1330"/>
      <c r="T49" s="1331"/>
      <c r="U49" s="5"/>
    </row>
    <row r="50" spans="2:21" ht="19.5" customHeight="1" x14ac:dyDescent="0.25">
      <c r="B50" s="570" t="s">
        <v>119</v>
      </c>
      <c r="C50" s="854" t="s">
        <v>98</v>
      </c>
      <c r="D50" s="855" t="s">
        <v>99</v>
      </c>
      <c r="E50" s="855" t="s">
        <v>100</v>
      </c>
      <c r="F50" s="855" t="s">
        <v>101</v>
      </c>
      <c r="G50" s="855" t="s">
        <v>102</v>
      </c>
      <c r="H50" s="855" t="s">
        <v>103</v>
      </c>
      <c r="I50" s="856" t="s">
        <v>104</v>
      </c>
      <c r="J50" s="856" t="s">
        <v>105</v>
      </c>
      <c r="K50" s="857" t="s">
        <v>106</v>
      </c>
      <c r="N50" s="1329" t="s">
        <v>448</v>
      </c>
      <c r="O50" s="1330"/>
      <c r="P50" s="1330"/>
      <c r="Q50" s="1330"/>
      <c r="R50" s="1330"/>
      <c r="S50" s="1330"/>
      <c r="T50" s="1331"/>
      <c r="U50" s="5"/>
    </row>
    <row r="51" spans="2:21" ht="19.5" customHeight="1" x14ac:dyDescent="0.25">
      <c r="B51" s="248" t="s">
        <v>121</v>
      </c>
      <c r="C51" s="858">
        <v>0</v>
      </c>
      <c r="D51" s="859">
        <v>0</v>
      </c>
      <c r="E51" s="859">
        <v>0</v>
      </c>
      <c r="F51" s="859">
        <v>0</v>
      </c>
      <c r="G51" s="859">
        <v>0</v>
      </c>
      <c r="H51" s="859">
        <v>0</v>
      </c>
      <c r="I51" s="859">
        <v>0</v>
      </c>
      <c r="J51" s="859">
        <v>0.25</v>
      </c>
      <c r="K51" s="860" t="s">
        <v>56</v>
      </c>
      <c r="N51" s="261"/>
      <c r="O51" s="429"/>
      <c r="P51" s="429"/>
      <c r="Q51" s="429"/>
      <c r="R51" s="429"/>
      <c r="S51" s="429"/>
      <c r="T51" s="319"/>
      <c r="U51" s="5"/>
    </row>
    <row r="52" spans="2:21" ht="24" customHeight="1" thickBot="1" x14ac:dyDescent="0.3">
      <c r="B52" s="248" t="s">
        <v>123</v>
      </c>
      <c r="C52" s="858">
        <v>0</v>
      </c>
      <c r="D52" s="859">
        <v>0</v>
      </c>
      <c r="E52" s="859">
        <v>0.125</v>
      </c>
      <c r="F52" s="859">
        <v>0.125</v>
      </c>
      <c r="G52" s="859">
        <v>0.75</v>
      </c>
      <c r="H52" s="859">
        <v>0.75</v>
      </c>
      <c r="I52" s="859">
        <v>0.75</v>
      </c>
      <c r="J52" s="859">
        <v>0.75</v>
      </c>
      <c r="K52" s="860">
        <v>0.75</v>
      </c>
      <c r="N52" s="262"/>
      <c r="O52" s="178"/>
      <c r="P52" s="178"/>
      <c r="Q52" s="178"/>
      <c r="R52" s="178"/>
      <c r="S52" s="178"/>
      <c r="T52" s="320"/>
      <c r="U52" s="5"/>
    </row>
    <row r="53" spans="2:21" ht="19.5" customHeight="1" x14ac:dyDescent="0.25">
      <c r="B53" s="248" t="s">
        <v>131</v>
      </c>
      <c r="C53" s="858">
        <v>0.625</v>
      </c>
      <c r="D53" s="859">
        <v>0.625</v>
      </c>
      <c r="E53" s="859">
        <v>0.625</v>
      </c>
      <c r="F53" s="859">
        <v>0.875</v>
      </c>
      <c r="G53" s="859">
        <v>1.125</v>
      </c>
      <c r="H53" s="859">
        <v>1.125</v>
      </c>
      <c r="I53" s="859">
        <v>1.125</v>
      </c>
      <c r="J53" s="859">
        <v>1.875</v>
      </c>
      <c r="K53" s="860">
        <v>1.875</v>
      </c>
      <c r="L53" s="8"/>
      <c r="M53" s="8"/>
      <c r="T53" s="38"/>
      <c r="U53" s="5"/>
    </row>
    <row r="54" spans="2:21" ht="19.5" customHeight="1" x14ac:dyDescent="0.25">
      <c r="B54" s="248" t="s">
        <v>132</v>
      </c>
      <c r="C54" s="858">
        <v>0.5</v>
      </c>
      <c r="D54" s="859">
        <v>0.5</v>
      </c>
      <c r="E54" s="859">
        <v>0.75</v>
      </c>
      <c r="F54" s="859">
        <v>0.75</v>
      </c>
      <c r="G54" s="859">
        <v>1</v>
      </c>
      <c r="H54" s="859">
        <v>1</v>
      </c>
      <c r="I54" s="859">
        <v>1</v>
      </c>
      <c r="J54" s="859">
        <v>1</v>
      </c>
      <c r="K54" s="860" t="s">
        <v>56</v>
      </c>
      <c r="L54" s="8"/>
      <c r="M54" s="8"/>
      <c r="T54" s="38"/>
      <c r="U54" s="5"/>
    </row>
    <row r="55" spans="2:21" ht="19.5" customHeight="1" thickBot="1" x14ac:dyDescent="0.3">
      <c r="B55" s="253" t="s">
        <v>133</v>
      </c>
      <c r="C55" s="861">
        <v>1.25</v>
      </c>
      <c r="D55" s="862">
        <v>1.25</v>
      </c>
      <c r="E55" s="862">
        <v>1.5</v>
      </c>
      <c r="F55" s="862">
        <v>1.5</v>
      </c>
      <c r="G55" s="862">
        <v>2.5</v>
      </c>
      <c r="H55" s="862">
        <v>2.5</v>
      </c>
      <c r="I55" s="862">
        <v>2.5</v>
      </c>
      <c r="J55" s="862">
        <v>2.75</v>
      </c>
      <c r="K55" s="863" t="s">
        <v>56</v>
      </c>
      <c r="L55" s="8"/>
      <c r="M55" s="8"/>
      <c r="T55" s="38"/>
      <c r="U55" s="5"/>
    </row>
    <row r="56" spans="2:21" ht="19.5" customHeight="1" thickBot="1" x14ac:dyDescent="0.3">
      <c r="B56" s="253" t="s">
        <v>666</v>
      </c>
      <c r="C56" s="928">
        <v>0.25</v>
      </c>
      <c r="D56" s="929">
        <v>0.25</v>
      </c>
      <c r="E56" s="930">
        <v>0.25</v>
      </c>
      <c r="F56" s="929">
        <v>0.375</v>
      </c>
      <c r="G56" s="929">
        <v>0.375</v>
      </c>
      <c r="H56" s="929">
        <v>0.5</v>
      </c>
      <c r="I56" s="929">
        <v>0.5</v>
      </c>
      <c r="J56" s="930">
        <v>0.5</v>
      </c>
      <c r="K56" s="931">
        <v>0.5</v>
      </c>
      <c r="L56" s="8"/>
      <c r="M56" s="8"/>
      <c r="T56" s="38"/>
      <c r="U56" s="5"/>
    </row>
    <row r="57" spans="2:21" ht="19.5" customHeight="1" thickBot="1" x14ac:dyDescent="0.35">
      <c r="B57" s="1332" t="s">
        <v>139</v>
      </c>
      <c r="C57" s="1333"/>
      <c r="D57" s="1333"/>
      <c r="E57" s="1333"/>
      <c r="F57" s="1333"/>
      <c r="G57" s="1333"/>
      <c r="H57" s="1333"/>
      <c r="I57" s="1333"/>
      <c r="J57" s="1333"/>
      <c r="K57" s="1334"/>
      <c r="L57" s="8"/>
      <c r="M57" s="8"/>
      <c r="N57" s="1304" t="s">
        <v>134</v>
      </c>
      <c r="O57" s="1305"/>
      <c r="P57" s="1305"/>
      <c r="Q57" s="1305"/>
      <c r="R57" s="1305"/>
      <c r="S57" s="1305"/>
      <c r="T57" s="1306"/>
      <c r="U57" s="5"/>
    </row>
    <row r="58" spans="2:21" ht="19.5" customHeight="1" x14ac:dyDescent="0.25">
      <c r="B58" s="570" t="s">
        <v>97</v>
      </c>
      <c r="C58" s="868" t="s">
        <v>98</v>
      </c>
      <c r="D58" s="855" t="s">
        <v>99</v>
      </c>
      <c r="E58" s="855" t="s">
        <v>100</v>
      </c>
      <c r="F58" s="855" t="s">
        <v>101</v>
      </c>
      <c r="G58" s="869" t="s">
        <v>102</v>
      </c>
      <c r="H58" s="870"/>
      <c r="I58" s="871"/>
      <c r="J58" s="871"/>
      <c r="K58" s="872"/>
      <c r="L58" s="8"/>
      <c r="M58" s="8"/>
      <c r="N58" s="265"/>
      <c r="O58" s="168"/>
      <c r="P58" s="27"/>
      <c r="Q58" s="27"/>
      <c r="R58" s="321"/>
      <c r="S58" s="1335" t="s">
        <v>342</v>
      </c>
      <c r="T58" s="1252"/>
      <c r="U58" s="5"/>
    </row>
    <row r="59" spans="2:21" ht="19.5" customHeight="1" x14ac:dyDescent="0.25">
      <c r="B59" s="229" t="s">
        <v>108</v>
      </c>
      <c r="C59" s="230">
        <v>0.375</v>
      </c>
      <c r="D59" s="231">
        <v>0.375</v>
      </c>
      <c r="E59" s="231">
        <v>0.625</v>
      </c>
      <c r="F59" s="231">
        <v>0.875</v>
      </c>
      <c r="G59" s="353">
        <v>1.375</v>
      </c>
      <c r="H59" s="63"/>
      <c r="I59" s="62"/>
      <c r="J59" s="57"/>
      <c r="K59" s="69"/>
      <c r="L59" s="8"/>
      <c r="M59" s="8"/>
      <c r="N59" s="97"/>
      <c r="O59" s="168"/>
      <c r="P59" s="27"/>
      <c r="Q59" s="27"/>
      <c r="R59" s="101"/>
      <c r="S59" s="1316"/>
      <c r="T59" s="1317"/>
      <c r="U59" s="5"/>
    </row>
    <row r="60" spans="2:21" ht="19.5" customHeight="1" thickBot="1" x14ac:dyDescent="0.3">
      <c r="B60" s="234" t="s">
        <v>110</v>
      </c>
      <c r="C60" s="235">
        <v>0.375</v>
      </c>
      <c r="D60" s="232">
        <v>0.375</v>
      </c>
      <c r="E60" s="232">
        <v>0.625</v>
      </c>
      <c r="F60" s="232">
        <v>0.875</v>
      </c>
      <c r="G60" s="354">
        <v>1.375</v>
      </c>
      <c r="H60" s="63"/>
      <c r="I60" s="57"/>
      <c r="J60" s="941"/>
      <c r="K60" s="69"/>
      <c r="L60" s="8"/>
      <c r="M60" s="8"/>
      <c r="N60" s="1318" t="s">
        <v>136</v>
      </c>
      <c r="O60" s="1319"/>
      <c r="P60" s="1319"/>
      <c r="Q60" s="1319"/>
      <c r="R60" s="1320"/>
      <c r="S60" s="1321">
        <v>0</v>
      </c>
      <c r="T60" s="1322"/>
      <c r="U60" s="5"/>
    </row>
    <row r="61" spans="2:21" ht="19.5" customHeight="1" x14ac:dyDescent="0.25">
      <c r="B61" s="234" t="s">
        <v>53</v>
      </c>
      <c r="C61" s="235">
        <v>0.375</v>
      </c>
      <c r="D61" s="232">
        <v>0.375</v>
      </c>
      <c r="E61" s="232">
        <v>0.875</v>
      </c>
      <c r="F61" s="232">
        <v>1.25</v>
      </c>
      <c r="G61" s="354">
        <v>1.875</v>
      </c>
      <c r="H61" s="63"/>
      <c r="I61" s="57"/>
      <c r="J61" s="57"/>
      <c r="K61" s="69"/>
      <c r="L61" s="8"/>
      <c r="M61" s="8"/>
      <c r="N61" s="572" t="s">
        <v>137</v>
      </c>
      <c r="O61" s="27"/>
      <c r="P61" s="27"/>
      <c r="Q61" s="27"/>
      <c r="R61" s="27"/>
      <c r="S61" s="27"/>
      <c r="T61" s="108"/>
      <c r="U61" s="5"/>
    </row>
    <row r="62" spans="2:21" ht="16.5" x14ac:dyDescent="0.25">
      <c r="B62" s="234" t="s">
        <v>54</v>
      </c>
      <c r="C62" s="235">
        <v>0.375</v>
      </c>
      <c r="D62" s="232">
        <v>0.375</v>
      </c>
      <c r="E62" s="232">
        <v>1</v>
      </c>
      <c r="F62" s="232">
        <v>1.625</v>
      </c>
      <c r="G62" s="354">
        <v>2.375</v>
      </c>
      <c r="H62" s="63"/>
      <c r="I62" s="57"/>
      <c r="J62" s="57"/>
      <c r="K62" s="69"/>
      <c r="L62" s="8"/>
      <c r="M62" s="8"/>
      <c r="N62" s="27"/>
      <c r="O62" s="27"/>
      <c r="P62" s="27"/>
      <c r="Q62" s="27"/>
      <c r="R62" s="27"/>
      <c r="S62" s="27"/>
      <c r="T62" s="108"/>
      <c r="U62" s="5"/>
    </row>
    <row r="63" spans="2:21" ht="24" customHeight="1" x14ac:dyDescent="0.25">
      <c r="B63" s="238" t="s">
        <v>55</v>
      </c>
      <c r="C63" s="239">
        <v>0.375</v>
      </c>
      <c r="D63" s="240">
        <v>0.5</v>
      </c>
      <c r="E63" s="240">
        <v>1.375</v>
      </c>
      <c r="F63" s="240">
        <v>2</v>
      </c>
      <c r="G63" s="355">
        <v>2.75</v>
      </c>
      <c r="H63" s="64"/>
      <c r="I63" s="59"/>
      <c r="J63" s="59"/>
      <c r="K63" s="70"/>
      <c r="L63" s="8"/>
      <c r="M63" s="8"/>
      <c r="T63" s="38"/>
      <c r="U63" s="5"/>
    </row>
    <row r="64" spans="2:21" ht="19.5" customHeight="1" thickBot="1" x14ac:dyDescent="0.3">
      <c r="B64" s="238" t="s">
        <v>57</v>
      </c>
      <c r="C64" s="239">
        <v>0.375</v>
      </c>
      <c r="D64" s="240">
        <v>0.5</v>
      </c>
      <c r="E64" s="240">
        <v>1.625</v>
      </c>
      <c r="F64" s="240">
        <v>2.625</v>
      </c>
      <c r="G64" s="355">
        <v>3.25</v>
      </c>
      <c r="H64" s="64"/>
      <c r="I64" s="59"/>
      <c r="J64" s="59"/>
      <c r="K64" s="70"/>
      <c r="N64" s="27"/>
      <c r="O64" s="27"/>
      <c r="P64" s="27"/>
      <c r="Q64" s="27"/>
      <c r="R64" s="27"/>
      <c r="S64" s="27"/>
      <c r="T64" s="94"/>
      <c r="U64" s="5"/>
    </row>
    <row r="65" spans="2:31" ht="19.5" customHeight="1" x14ac:dyDescent="0.25">
      <c r="B65" s="238" t="s">
        <v>58</v>
      </c>
      <c r="C65" s="239">
        <v>0.375</v>
      </c>
      <c r="D65" s="240">
        <v>0.625</v>
      </c>
      <c r="E65" s="240">
        <v>2</v>
      </c>
      <c r="F65" s="240">
        <v>2.875</v>
      </c>
      <c r="G65" s="355">
        <v>3.75</v>
      </c>
      <c r="H65" s="64"/>
      <c r="I65" s="59"/>
      <c r="J65" s="59"/>
      <c r="K65" s="70"/>
      <c r="N65" s="1295" t="s">
        <v>286</v>
      </c>
      <c r="O65" s="1296"/>
      <c r="P65" s="1296"/>
      <c r="Q65" s="1296"/>
      <c r="R65" s="1296"/>
      <c r="S65" s="1296"/>
      <c r="T65" s="1297"/>
      <c r="U65" s="5"/>
    </row>
    <row r="66" spans="2:31" ht="19.5" customHeight="1" x14ac:dyDescent="0.25">
      <c r="B66" s="238" t="s">
        <v>73</v>
      </c>
      <c r="C66" s="239">
        <v>0.75</v>
      </c>
      <c r="D66" s="240">
        <v>1.25</v>
      </c>
      <c r="E66" s="240">
        <v>3.125</v>
      </c>
      <c r="F66" s="240">
        <v>4.375</v>
      </c>
      <c r="G66" s="355">
        <v>5.125</v>
      </c>
      <c r="H66" s="64"/>
      <c r="I66" s="59"/>
      <c r="J66" s="59"/>
      <c r="K66" s="70"/>
      <c r="N66" s="177" t="s">
        <v>287</v>
      </c>
      <c r="O66" s="224"/>
      <c r="P66" s="224"/>
      <c r="Q66" s="224"/>
      <c r="R66" s="27"/>
      <c r="S66" s="27"/>
      <c r="T66" s="108"/>
      <c r="U66" s="5"/>
    </row>
    <row r="67" spans="2:31" ht="19.5" customHeight="1" x14ac:dyDescent="0.25">
      <c r="B67" s="238" t="s">
        <v>113</v>
      </c>
      <c r="C67" s="239">
        <v>0.875</v>
      </c>
      <c r="D67" s="240">
        <v>1.875</v>
      </c>
      <c r="E67" s="240">
        <v>3.625</v>
      </c>
      <c r="F67" s="240">
        <v>5.125</v>
      </c>
      <c r="G67" s="355">
        <v>5.625</v>
      </c>
      <c r="H67" s="64"/>
      <c r="I67" s="59"/>
      <c r="J67" s="59"/>
      <c r="K67" s="70"/>
      <c r="N67" s="177" t="s">
        <v>288</v>
      </c>
      <c r="O67" s="224"/>
      <c r="P67" s="224"/>
      <c r="Q67" s="224"/>
      <c r="R67" s="27"/>
      <c r="S67" s="27"/>
      <c r="T67" s="108"/>
      <c r="U67" s="5"/>
    </row>
    <row r="68" spans="2:31" ht="19.5" customHeight="1" thickBot="1" x14ac:dyDescent="0.3">
      <c r="B68" s="243" t="s">
        <v>115</v>
      </c>
      <c r="C68" s="244">
        <v>1</v>
      </c>
      <c r="D68" s="245">
        <v>2</v>
      </c>
      <c r="E68" s="245">
        <v>4</v>
      </c>
      <c r="F68" s="245">
        <v>5.5</v>
      </c>
      <c r="G68" s="356">
        <v>5.75</v>
      </c>
      <c r="H68" s="65"/>
      <c r="I68" s="61"/>
      <c r="J68" s="61"/>
      <c r="K68" s="71"/>
      <c r="N68" s="177" t="s">
        <v>289</v>
      </c>
      <c r="O68" s="224"/>
      <c r="P68" s="224"/>
      <c r="Q68" s="224"/>
      <c r="R68" s="27"/>
      <c r="S68" s="27"/>
      <c r="T68" s="108"/>
      <c r="U68" s="5"/>
    </row>
    <row r="69" spans="2:31" ht="19.5" customHeight="1" thickTop="1" x14ac:dyDescent="0.3">
      <c r="B69" s="1326" t="s">
        <v>140</v>
      </c>
      <c r="C69" s="1327"/>
      <c r="D69" s="1327"/>
      <c r="E69" s="1327"/>
      <c r="F69" s="1327"/>
      <c r="G69" s="1327"/>
      <c r="H69" s="1327"/>
      <c r="I69" s="1327"/>
      <c r="J69" s="1327"/>
      <c r="K69" s="1328"/>
      <c r="N69" s="97" t="s">
        <v>292</v>
      </c>
      <c r="O69" s="27"/>
      <c r="P69" s="27"/>
      <c r="Q69" s="27"/>
      <c r="R69" s="27"/>
      <c r="S69" s="27"/>
      <c r="T69" s="108"/>
      <c r="U69" s="5"/>
    </row>
    <row r="70" spans="2:31" ht="19.5" customHeight="1" x14ac:dyDescent="0.3">
      <c r="B70" s="570" t="s">
        <v>119</v>
      </c>
      <c r="C70" s="854" t="s">
        <v>98</v>
      </c>
      <c r="D70" s="855" t="s">
        <v>99</v>
      </c>
      <c r="E70" s="855" t="s">
        <v>100</v>
      </c>
      <c r="F70" s="855" t="s">
        <v>101</v>
      </c>
      <c r="G70" s="869" t="s">
        <v>102</v>
      </c>
      <c r="H70" s="873"/>
      <c r="I70" s="871"/>
      <c r="J70" s="871"/>
      <c r="K70" s="872"/>
      <c r="N70" s="97" t="s">
        <v>291</v>
      </c>
      <c r="O70" s="27"/>
      <c r="P70" s="27"/>
      <c r="Q70" s="27"/>
      <c r="R70" s="27"/>
      <c r="S70" s="27"/>
      <c r="T70" s="108"/>
      <c r="U70" s="5"/>
      <c r="AA70" s="455"/>
      <c r="AB70" s="455"/>
      <c r="AC70" s="455"/>
      <c r="AD70" s="455"/>
      <c r="AE70" s="455"/>
    </row>
    <row r="71" spans="2:31" ht="19.5" customHeight="1" thickBot="1" x14ac:dyDescent="0.3">
      <c r="B71" s="248" t="s">
        <v>121</v>
      </c>
      <c r="C71" s="858">
        <v>0</v>
      </c>
      <c r="D71" s="859">
        <v>0</v>
      </c>
      <c r="E71" s="859">
        <v>0</v>
      </c>
      <c r="F71" s="859">
        <v>0</v>
      </c>
      <c r="G71" s="874">
        <v>0</v>
      </c>
      <c r="H71" s="60"/>
      <c r="I71" s="58"/>
      <c r="J71" s="58"/>
      <c r="K71" s="72"/>
      <c r="N71" s="96" t="s">
        <v>290</v>
      </c>
      <c r="O71" s="78"/>
      <c r="P71" s="78"/>
      <c r="Q71" s="78"/>
      <c r="R71" s="78"/>
      <c r="S71" s="78"/>
      <c r="T71" s="134"/>
      <c r="U71" s="5"/>
      <c r="AA71" s="143"/>
      <c r="AB71" s="143"/>
      <c r="AC71" s="143"/>
      <c r="AD71" s="143"/>
      <c r="AE71" s="143"/>
    </row>
    <row r="72" spans="2:31" ht="19.5" customHeight="1" x14ac:dyDescent="0.25">
      <c r="B72" s="248" t="s">
        <v>123</v>
      </c>
      <c r="C72" s="858">
        <v>0</v>
      </c>
      <c r="D72" s="859">
        <v>0</v>
      </c>
      <c r="E72" s="859">
        <v>0.125</v>
      </c>
      <c r="F72" s="859">
        <v>0.125</v>
      </c>
      <c r="G72" s="874">
        <v>0.75</v>
      </c>
      <c r="H72" s="875"/>
      <c r="I72" s="876"/>
      <c r="J72" s="876"/>
      <c r="K72" s="877"/>
      <c r="T72" s="38"/>
      <c r="U72" s="5"/>
    </row>
    <row r="73" spans="2:31" ht="19.5" customHeight="1" x14ac:dyDescent="0.25">
      <c r="B73" s="248" t="s">
        <v>131</v>
      </c>
      <c r="C73" s="858">
        <v>0.625</v>
      </c>
      <c r="D73" s="859">
        <v>0.625</v>
      </c>
      <c r="E73" s="859">
        <v>0.625</v>
      </c>
      <c r="F73" s="859">
        <v>0.875</v>
      </c>
      <c r="G73" s="874">
        <v>1.125</v>
      </c>
      <c r="H73" s="875"/>
      <c r="I73" s="876"/>
      <c r="J73" s="876"/>
      <c r="K73" s="877"/>
      <c r="T73" s="38"/>
      <c r="U73" s="5"/>
    </row>
    <row r="74" spans="2:31" ht="19.5" customHeight="1" thickBot="1" x14ac:dyDescent="0.3">
      <c r="B74" s="248" t="s">
        <v>132</v>
      </c>
      <c r="C74" s="858">
        <v>1.25</v>
      </c>
      <c r="D74" s="859">
        <v>1.25</v>
      </c>
      <c r="E74" s="859">
        <v>1.5</v>
      </c>
      <c r="F74" s="859">
        <v>1.5</v>
      </c>
      <c r="G74" s="874">
        <v>1.75</v>
      </c>
      <c r="H74" s="875"/>
      <c r="I74" s="876"/>
      <c r="J74" s="876"/>
      <c r="K74" s="877"/>
      <c r="T74" s="38"/>
      <c r="U74" s="5"/>
    </row>
    <row r="75" spans="2:31" ht="24" customHeight="1" thickBot="1" x14ac:dyDescent="0.3">
      <c r="B75" s="253" t="s">
        <v>133</v>
      </c>
      <c r="C75" s="861">
        <v>2</v>
      </c>
      <c r="D75" s="862">
        <v>2</v>
      </c>
      <c r="E75" s="862">
        <v>2.25</v>
      </c>
      <c r="F75" s="862">
        <v>2.25</v>
      </c>
      <c r="G75" s="878">
        <v>3.25</v>
      </c>
      <c r="H75" s="879"/>
      <c r="I75" s="880"/>
      <c r="J75" s="880"/>
      <c r="K75" s="881"/>
      <c r="N75" s="1295" t="s">
        <v>564</v>
      </c>
      <c r="O75" s="1296"/>
      <c r="P75" s="1296"/>
      <c r="Q75" s="1296"/>
      <c r="R75" s="1296"/>
      <c r="S75" s="1296"/>
      <c r="T75" s="1297"/>
      <c r="U75" s="5"/>
      <c r="AB75" s="117"/>
    </row>
    <row r="76" spans="2:31" ht="19.5" customHeight="1" thickBot="1" x14ac:dyDescent="0.3">
      <c r="B76" s="253" t="s">
        <v>666</v>
      </c>
      <c r="C76" s="925">
        <v>0.25</v>
      </c>
      <c r="D76" s="925">
        <v>0.25</v>
      </c>
      <c r="E76" s="925">
        <v>0.25</v>
      </c>
      <c r="F76" s="925">
        <v>0.375</v>
      </c>
      <c r="G76" s="925">
        <v>0.375</v>
      </c>
      <c r="H76" s="127"/>
      <c r="I76" s="127"/>
      <c r="J76" s="127"/>
      <c r="K76" s="127"/>
      <c r="L76" s="8"/>
      <c r="M76" s="8"/>
      <c r="N76" s="1323" t="s">
        <v>296</v>
      </c>
      <c r="O76" s="1324"/>
      <c r="P76" s="1324"/>
      <c r="Q76" s="1324"/>
      <c r="R76" s="1324"/>
      <c r="S76" s="1324"/>
      <c r="T76" s="1325"/>
      <c r="U76" s="5"/>
    </row>
    <row r="77" spans="2:31" ht="19.5" customHeight="1" thickBot="1" x14ac:dyDescent="0.35">
      <c r="B77" s="1287" t="s">
        <v>141</v>
      </c>
      <c r="C77" s="1288"/>
      <c r="D77" s="1288"/>
      <c r="E77" s="1288"/>
      <c r="F77" s="1288"/>
      <c r="G77" s="1288"/>
      <c r="H77" s="1288"/>
      <c r="I77" s="1288"/>
      <c r="J77" s="1288"/>
      <c r="K77" s="1289"/>
      <c r="L77" s="8"/>
      <c r="M77" s="8"/>
      <c r="N77" s="410" t="s">
        <v>275</v>
      </c>
      <c r="O77" s="411"/>
      <c r="P77" s="411"/>
      <c r="Q77" s="78"/>
      <c r="R77" s="78"/>
      <c r="S77" s="1290">
        <v>832750</v>
      </c>
      <c r="T77" s="1291"/>
      <c r="U77" s="5"/>
      <c r="AA77" s="212"/>
      <c r="AB77" s="212"/>
      <c r="AC77" s="212"/>
      <c r="AD77" s="212"/>
      <c r="AE77" s="212"/>
    </row>
    <row r="78" spans="2:31" ht="19.5" customHeight="1" thickBot="1" x14ac:dyDescent="0.25">
      <c r="B78" s="1292" t="s">
        <v>142</v>
      </c>
      <c r="C78" s="1293"/>
      <c r="D78" s="1293"/>
      <c r="E78" s="1293"/>
      <c r="F78" s="1293"/>
      <c r="G78" s="1293"/>
      <c r="H78" s="1293"/>
      <c r="I78" s="1293"/>
      <c r="J78" s="1293"/>
      <c r="K78" s="1294"/>
      <c r="L78" s="8"/>
      <c r="M78" s="8"/>
      <c r="P78" s="8"/>
      <c r="Q78" s="8"/>
      <c r="T78" s="38"/>
      <c r="U78" s="5"/>
      <c r="AA78" s="456"/>
      <c r="AD78" s="457"/>
      <c r="AE78" s="457"/>
    </row>
    <row r="79" spans="2:31" ht="19.5" customHeight="1" x14ac:dyDescent="0.25">
      <c r="B79" s="270" t="s">
        <v>119</v>
      </c>
      <c r="C79" s="271" t="s">
        <v>143</v>
      </c>
      <c r="D79" s="272" t="s">
        <v>144</v>
      </c>
      <c r="E79" s="271" t="s">
        <v>54</v>
      </c>
      <c r="F79" s="271" t="s">
        <v>55</v>
      </c>
      <c r="G79" s="271" t="s">
        <v>57</v>
      </c>
      <c r="H79" s="271" t="s">
        <v>58</v>
      </c>
      <c r="I79" s="271" t="s">
        <v>73</v>
      </c>
      <c r="J79" s="273" t="s">
        <v>113</v>
      </c>
      <c r="K79" s="274" t="s">
        <v>115</v>
      </c>
      <c r="L79" s="8"/>
      <c r="M79" s="8"/>
      <c r="N79" s="1295" t="s">
        <v>293</v>
      </c>
      <c r="O79" s="1296"/>
      <c r="P79" s="1296"/>
      <c r="Q79" s="1296"/>
      <c r="R79" s="1296"/>
      <c r="S79" s="1296"/>
      <c r="T79" s="1297"/>
      <c r="U79" s="5"/>
      <c r="AA79" s="458"/>
      <c r="AB79" s="18"/>
      <c r="AC79" s="18"/>
      <c r="AD79" s="459"/>
      <c r="AE79" s="459"/>
    </row>
    <row r="80" spans="2:31" ht="19.5" customHeight="1" x14ac:dyDescent="0.25">
      <c r="B80" s="275" t="s">
        <v>145</v>
      </c>
      <c r="C80" s="276">
        <v>0.35</v>
      </c>
      <c r="D80" s="277">
        <v>2.2999999999999998</v>
      </c>
      <c r="E80" s="277">
        <v>3.32</v>
      </c>
      <c r="F80" s="277">
        <v>4.2300000000000004</v>
      </c>
      <c r="G80" s="277">
        <v>5.05</v>
      </c>
      <c r="H80" s="277">
        <v>6.27</v>
      </c>
      <c r="I80" s="277">
        <v>8.42</v>
      </c>
      <c r="J80" s="277">
        <v>9.1300000000000008</v>
      </c>
      <c r="K80" s="278">
        <v>10</v>
      </c>
      <c r="L80" s="8"/>
      <c r="M80" s="8"/>
      <c r="N80" s="1309" t="s">
        <v>294</v>
      </c>
      <c r="O80" s="1315"/>
      <c r="P80" s="1315"/>
      <c r="Q80" s="1315"/>
      <c r="R80" s="1315"/>
      <c r="S80" s="1315"/>
      <c r="T80" s="1310"/>
      <c r="U80" s="5"/>
      <c r="AA80" s="460"/>
      <c r="AB80" s="460"/>
      <c r="AC80" s="460"/>
      <c r="AD80" s="459"/>
      <c r="AE80" s="459"/>
    </row>
    <row r="81" spans="2:30" ht="19.5" customHeight="1" thickBot="1" x14ac:dyDescent="0.35">
      <c r="B81" s="275" t="s">
        <v>146</v>
      </c>
      <c r="C81" s="276">
        <v>0.3</v>
      </c>
      <c r="D81" s="279">
        <v>1.89</v>
      </c>
      <c r="E81" s="280">
        <v>2.65</v>
      </c>
      <c r="F81" s="280">
        <v>3.32</v>
      </c>
      <c r="G81" s="280">
        <v>3.93</v>
      </c>
      <c r="H81" s="280">
        <v>4.8499999999999996</v>
      </c>
      <c r="I81" s="280">
        <v>6.43</v>
      </c>
      <c r="J81" s="281">
        <v>6.99</v>
      </c>
      <c r="K81" s="282">
        <v>7.75</v>
      </c>
      <c r="L81" s="8"/>
      <c r="M81" s="8"/>
      <c r="N81" s="1298" t="s">
        <v>449</v>
      </c>
      <c r="O81" s="1299"/>
      <c r="P81" s="1299"/>
      <c r="Q81" s="1299"/>
      <c r="R81" s="1299"/>
      <c r="S81" s="1299"/>
      <c r="T81" s="1300"/>
      <c r="U81" s="5"/>
    </row>
    <row r="82" spans="2:30" ht="19.5" customHeight="1" x14ac:dyDescent="0.25">
      <c r="B82" s="283" t="s">
        <v>147</v>
      </c>
      <c r="C82" s="276">
        <v>0.25</v>
      </c>
      <c r="D82" s="277">
        <v>1.43</v>
      </c>
      <c r="E82" s="284">
        <v>2.04</v>
      </c>
      <c r="F82" s="284">
        <v>2.5</v>
      </c>
      <c r="G82" s="284">
        <v>3.01</v>
      </c>
      <c r="H82" s="284">
        <v>3.67</v>
      </c>
      <c r="I82" s="284">
        <v>5.05</v>
      </c>
      <c r="J82" s="285">
        <v>5.36</v>
      </c>
      <c r="K82" s="278">
        <v>5.87</v>
      </c>
      <c r="L82" s="8"/>
      <c r="M82" s="8"/>
      <c r="T82" s="38"/>
      <c r="U82" s="5"/>
    </row>
    <row r="83" spans="2:30" ht="19.5" customHeight="1" thickBot="1" x14ac:dyDescent="0.3">
      <c r="B83" s="286" t="s">
        <v>148</v>
      </c>
      <c r="C83" s="287">
        <v>0.12</v>
      </c>
      <c r="D83" s="277">
        <v>0.71</v>
      </c>
      <c r="E83" s="284">
        <v>0.87</v>
      </c>
      <c r="F83" s="284">
        <v>1.02</v>
      </c>
      <c r="G83" s="284">
        <v>1.17</v>
      </c>
      <c r="H83" s="284">
        <v>1.38</v>
      </c>
      <c r="I83" s="284">
        <v>1.84</v>
      </c>
      <c r="J83" s="285">
        <v>2.04</v>
      </c>
      <c r="K83" s="278">
        <v>2.19</v>
      </c>
      <c r="L83" s="8"/>
      <c r="M83" s="8"/>
      <c r="T83" s="38"/>
      <c r="U83" s="5"/>
    </row>
    <row r="84" spans="2:30" ht="19.5" customHeight="1" thickBot="1" x14ac:dyDescent="0.3">
      <c r="B84" s="1301" t="s">
        <v>149</v>
      </c>
      <c r="C84" s="1302"/>
      <c r="D84" s="1302"/>
      <c r="E84" s="1302"/>
      <c r="F84" s="1302"/>
      <c r="G84" s="1302"/>
      <c r="H84" s="1302"/>
      <c r="I84" s="1302"/>
      <c r="J84" s="1302"/>
      <c r="K84" s="1303"/>
      <c r="L84" s="8"/>
      <c r="M84" s="8"/>
      <c r="N84" s="1304" t="s">
        <v>279</v>
      </c>
      <c r="O84" s="1305"/>
      <c r="P84" s="1305"/>
      <c r="Q84" s="1305"/>
      <c r="R84" s="1305"/>
      <c r="S84" s="1305"/>
      <c r="T84" s="1306"/>
      <c r="U84" s="5"/>
    </row>
    <row r="85" spans="2:30" ht="19.5" customHeight="1" thickBot="1" x14ac:dyDescent="0.3">
      <c r="B85" s="275" t="s">
        <v>146</v>
      </c>
      <c r="C85" s="276">
        <v>0.25</v>
      </c>
      <c r="D85" s="277">
        <v>1.45</v>
      </c>
      <c r="E85" s="284">
        <v>2.12</v>
      </c>
      <c r="F85" s="284">
        <v>2.68</v>
      </c>
      <c r="G85" s="284">
        <v>3.09</v>
      </c>
      <c r="H85" s="284">
        <v>3.9</v>
      </c>
      <c r="I85" s="284">
        <v>5.12</v>
      </c>
      <c r="J85" s="285">
        <v>5.63</v>
      </c>
      <c r="K85" s="278">
        <v>6.24</v>
      </c>
      <c r="L85" s="8"/>
      <c r="M85" s="8"/>
      <c r="N85" s="30" t="s">
        <v>119</v>
      </c>
      <c r="O85" s="266"/>
      <c r="P85" s="266"/>
      <c r="Q85" s="217"/>
      <c r="R85" s="1210" t="s">
        <v>295</v>
      </c>
      <c r="S85" s="1223"/>
      <c r="T85" s="267" t="s">
        <v>285</v>
      </c>
      <c r="U85" s="5"/>
    </row>
    <row r="86" spans="2:30" ht="19.5" customHeight="1" x14ac:dyDescent="0.25">
      <c r="B86" s="275" t="s">
        <v>147</v>
      </c>
      <c r="C86" s="288">
        <v>0.12</v>
      </c>
      <c r="D86" s="277">
        <v>0.79</v>
      </c>
      <c r="E86" s="284">
        <v>1.04</v>
      </c>
      <c r="F86" s="284">
        <v>1.3</v>
      </c>
      <c r="G86" s="284">
        <v>1.45</v>
      </c>
      <c r="H86" s="284">
        <v>1.76</v>
      </c>
      <c r="I86" s="284">
        <v>2.31</v>
      </c>
      <c r="J86" s="285">
        <v>2.52</v>
      </c>
      <c r="K86" s="278">
        <v>2.77</v>
      </c>
      <c r="L86" s="8"/>
      <c r="M86" s="8"/>
      <c r="N86" s="97" t="s">
        <v>282</v>
      </c>
      <c r="O86" s="27"/>
      <c r="P86" s="27"/>
      <c r="Q86" s="108"/>
      <c r="R86" s="1307" t="s">
        <v>56</v>
      </c>
      <c r="S86" s="1308"/>
      <c r="T86" s="268">
        <v>0.25</v>
      </c>
      <c r="U86" s="5"/>
    </row>
    <row r="87" spans="2:30" ht="19.5" customHeight="1" x14ac:dyDescent="0.25">
      <c r="B87" s="289" t="s">
        <v>148</v>
      </c>
      <c r="C87" s="290">
        <v>0.06</v>
      </c>
      <c r="D87" s="291">
        <v>0.55000000000000004</v>
      </c>
      <c r="E87" s="291">
        <v>0.55000000000000004</v>
      </c>
      <c r="F87" s="291">
        <v>0.55000000000000004</v>
      </c>
      <c r="G87" s="291">
        <v>0.55000000000000004</v>
      </c>
      <c r="H87" s="291">
        <v>0.59</v>
      </c>
      <c r="I87" s="291">
        <v>0.73</v>
      </c>
      <c r="J87" s="292">
        <v>0.78</v>
      </c>
      <c r="K87" s="293">
        <v>0.89</v>
      </c>
      <c r="N87" s="97" t="s">
        <v>280</v>
      </c>
      <c r="O87" s="27"/>
      <c r="P87" s="27"/>
      <c r="Q87" s="108"/>
      <c r="R87" s="1309" t="s">
        <v>56</v>
      </c>
      <c r="S87" s="1310"/>
      <c r="T87" s="268">
        <v>0.35</v>
      </c>
      <c r="U87" s="5"/>
    </row>
    <row r="88" spans="2:30" ht="20.25" customHeight="1" x14ac:dyDescent="0.25">
      <c r="B88" s="1301" t="s">
        <v>150</v>
      </c>
      <c r="C88" s="1302"/>
      <c r="D88" s="1302"/>
      <c r="E88" s="1302"/>
      <c r="F88" s="1302"/>
      <c r="G88" s="1302"/>
      <c r="H88" s="1302"/>
      <c r="I88" s="1302"/>
      <c r="J88" s="1302"/>
      <c r="K88" s="1303"/>
      <c r="N88" s="97" t="s">
        <v>281</v>
      </c>
      <c r="O88" s="27"/>
      <c r="P88" s="27"/>
      <c r="Q88" s="108"/>
      <c r="R88" s="1311">
        <v>0.25</v>
      </c>
      <c r="S88" s="1312"/>
      <c r="T88" s="268">
        <v>0.3</v>
      </c>
      <c r="U88" s="5"/>
    </row>
    <row r="89" spans="2:30" ht="19.5" customHeight="1" x14ac:dyDescent="0.25">
      <c r="B89" s="882" t="s">
        <v>151</v>
      </c>
      <c r="C89" s="883"/>
      <c r="D89" s="296">
        <v>0</v>
      </c>
      <c r="E89" s="296">
        <v>0</v>
      </c>
      <c r="F89" s="296">
        <v>0</v>
      </c>
      <c r="G89" s="296">
        <v>0.53</v>
      </c>
      <c r="H89" s="296">
        <v>0.53</v>
      </c>
      <c r="I89" s="296">
        <v>1.05</v>
      </c>
      <c r="J89" s="296">
        <v>1.05</v>
      </c>
      <c r="K89" s="297">
        <v>1.05</v>
      </c>
      <c r="N89" s="97" t="s">
        <v>283</v>
      </c>
      <c r="O89" s="27"/>
      <c r="P89" s="27"/>
      <c r="Q89" s="108"/>
      <c r="R89" s="1311">
        <v>0.12</v>
      </c>
      <c r="S89" s="1312"/>
      <c r="T89" s="268">
        <v>0.25</v>
      </c>
      <c r="U89" s="5"/>
      <c r="AC89" s="6"/>
      <c r="AD89" s="6"/>
    </row>
    <row r="90" spans="2:30" ht="19.5" customHeight="1" thickBot="1" x14ac:dyDescent="0.3">
      <c r="B90" s="1301" t="s">
        <v>152</v>
      </c>
      <c r="C90" s="1302"/>
      <c r="D90" s="1302"/>
      <c r="E90" s="1302"/>
      <c r="F90" s="1302"/>
      <c r="G90" s="1302"/>
      <c r="H90" s="1302"/>
      <c r="I90" s="1302"/>
      <c r="J90" s="1302"/>
      <c r="K90" s="1303"/>
      <c r="N90" s="96" t="s">
        <v>284</v>
      </c>
      <c r="O90" s="78"/>
      <c r="P90" s="78"/>
      <c r="Q90" s="134"/>
      <c r="R90" s="1313">
        <v>0.06</v>
      </c>
      <c r="S90" s="1314"/>
      <c r="T90" s="269">
        <v>0.12</v>
      </c>
      <c r="U90" s="39"/>
      <c r="V90" s="54"/>
      <c r="Y90" s="36"/>
      <c r="Z90" s="36"/>
      <c r="AA90" s="36"/>
      <c r="AB90" s="36"/>
      <c r="AC90" s="6"/>
      <c r="AD90" s="6"/>
    </row>
    <row r="91" spans="2:30" ht="19.5" customHeight="1" thickBot="1" x14ac:dyDescent="0.3">
      <c r="B91" s="1278" t="s">
        <v>145</v>
      </c>
      <c r="C91" s="1279"/>
      <c r="D91" s="284">
        <v>0.38</v>
      </c>
      <c r="E91" s="280">
        <v>0.62</v>
      </c>
      <c r="F91" s="280">
        <v>0.76</v>
      </c>
      <c r="G91" s="280">
        <v>1.06</v>
      </c>
      <c r="H91" s="280">
        <v>1.24</v>
      </c>
      <c r="I91" s="280">
        <v>1.42</v>
      </c>
      <c r="J91" s="280">
        <v>1.6</v>
      </c>
      <c r="K91" s="282">
        <v>1.82</v>
      </c>
      <c r="N91" s="884" t="s">
        <v>297</v>
      </c>
      <c r="O91" s="78"/>
      <c r="P91" s="78"/>
      <c r="Q91" s="78"/>
      <c r="R91" s="78"/>
      <c r="S91" s="78"/>
      <c r="T91" s="134"/>
      <c r="U91" s="5"/>
      <c r="W91" s="6"/>
      <c r="X91" s="6"/>
      <c r="Y91" s="6"/>
      <c r="AB91" s="6"/>
      <c r="AC91" s="6"/>
      <c r="AD91" s="6"/>
    </row>
    <row r="92" spans="2:30" ht="19.5" customHeight="1" x14ac:dyDescent="0.25">
      <c r="B92" s="1278" t="s">
        <v>146</v>
      </c>
      <c r="C92" s="1279"/>
      <c r="D92" s="284">
        <v>0.35</v>
      </c>
      <c r="E92" s="280">
        <v>0.44</v>
      </c>
      <c r="F92" s="280">
        <v>0.56999999999999995</v>
      </c>
      <c r="G92" s="280">
        <v>0.72</v>
      </c>
      <c r="H92" s="280">
        <v>1</v>
      </c>
      <c r="I92" s="280">
        <v>1.1200000000000001</v>
      </c>
      <c r="J92" s="280">
        <v>1.27</v>
      </c>
      <c r="K92" s="282">
        <v>1.53</v>
      </c>
      <c r="N92" s="224"/>
      <c r="O92" s="224"/>
      <c r="P92" s="224"/>
      <c r="Q92" s="27"/>
      <c r="R92" s="27"/>
      <c r="S92" s="573"/>
      <c r="T92" s="412"/>
      <c r="U92" s="5"/>
      <c r="W92" s="6"/>
      <c r="X92" s="6"/>
      <c r="Y92" s="6"/>
      <c r="AB92" s="6"/>
      <c r="AC92" s="6"/>
      <c r="AD92" s="6"/>
    </row>
    <row r="93" spans="2:30" ht="19.5" customHeight="1" x14ac:dyDescent="0.25">
      <c r="B93" s="1278" t="s">
        <v>147</v>
      </c>
      <c r="C93" s="1279"/>
      <c r="D93" s="284">
        <v>0.28000000000000003</v>
      </c>
      <c r="E93" s="280">
        <v>0.39</v>
      </c>
      <c r="F93" s="280">
        <v>0.5</v>
      </c>
      <c r="G93" s="280">
        <v>0.62</v>
      </c>
      <c r="H93" s="280">
        <v>0.75</v>
      </c>
      <c r="I93" s="280">
        <v>0.89</v>
      </c>
      <c r="J93" s="280">
        <v>1.01</v>
      </c>
      <c r="K93" s="282">
        <v>1.25</v>
      </c>
      <c r="T93" s="38"/>
      <c r="U93" s="5"/>
      <c r="W93" s="6"/>
      <c r="X93" s="6"/>
      <c r="Y93" s="6"/>
      <c r="AB93" s="6"/>
      <c r="AC93" s="6"/>
      <c r="AD93" s="6"/>
    </row>
    <row r="94" spans="2:30" ht="24" customHeight="1" thickBot="1" x14ac:dyDescent="0.3">
      <c r="B94" s="1280" t="s">
        <v>148</v>
      </c>
      <c r="C94" s="1281"/>
      <c r="D94" s="302">
        <v>0.11</v>
      </c>
      <c r="E94" s="302">
        <v>0.17</v>
      </c>
      <c r="F94" s="302">
        <v>0.22</v>
      </c>
      <c r="G94" s="302">
        <v>0.3</v>
      </c>
      <c r="H94" s="303">
        <v>0.38</v>
      </c>
      <c r="I94" s="303">
        <v>0.42</v>
      </c>
      <c r="J94" s="303">
        <v>0.44</v>
      </c>
      <c r="K94" s="304">
        <v>0.49</v>
      </c>
      <c r="L94" s="8"/>
      <c r="M94" s="8"/>
      <c r="T94" s="38"/>
      <c r="U94" s="5"/>
      <c r="AA94" s="36"/>
      <c r="AB94" s="6"/>
      <c r="AC94" s="6"/>
      <c r="AD94" s="6"/>
    </row>
    <row r="95" spans="2:30" ht="7.5" customHeight="1" x14ac:dyDescent="0.25">
      <c r="B95" s="1282"/>
      <c r="C95" s="1283"/>
      <c r="L95" s="8"/>
      <c r="M95" s="8"/>
      <c r="T95" s="38"/>
      <c r="U95" s="5"/>
      <c r="AA95" s="8"/>
      <c r="AB95" s="6"/>
      <c r="AC95" s="6"/>
      <c r="AD95" s="6"/>
    </row>
    <row r="96" spans="2:30" ht="7.5" customHeight="1" x14ac:dyDescent="0.2">
      <c r="B96" s="95"/>
      <c r="T96" s="38"/>
      <c r="U96" s="5"/>
      <c r="W96" s="6"/>
      <c r="X96" s="6"/>
      <c r="Y96" s="6"/>
    </row>
    <row r="97" spans="2:28" ht="7.5" customHeight="1" x14ac:dyDescent="0.2">
      <c r="B97" s="95"/>
      <c r="T97" s="38"/>
      <c r="U97" s="5"/>
      <c r="W97" s="6"/>
      <c r="X97" s="6"/>
      <c r="Y97" s="6"/>
    </row>
    <row r="98" spans="2:28" ht="7.5" customHeight="1" x14ac:dyDescent="0.2">
      <c r="B98" s="95"/>
      <c r="T98" s="38"/>
      <c r="U98" s="5"/>
      <c r="W98" s="6"/>
      <c r="X98" s="6"/>
      <c r="Y98" s="6"/>
    </row>
    <row r="99" spans="2:28" ht="7.5" customHeight="1" x14ac:dyDescent="0.2">
      <c r="B99" s="95"/>
      <c r="T99" s="38"/>
      <c r="U99" s="47"/>
      <c r="V99" s="47"/>
      <c r="W99" s="47"/>
      <c r="X99" s="47"/>
      <c r="Y99" s="47"/>
      <c r="Z99" s="47"/>
      <c r="AA99" s="47"/>
      <c r="AB99" s="47"/>
    </row>
    <row r="100" spans="2:28" ht="7.5" customHeight="1" x14ac:dyDescent="0.2">
      <c r="B100" s="95"/>
      <c r="T100" s="38"/>
      <c r="U100" s="66"/>
      <c r="X100" s="49"/>
    </row>
    <row r="101" spans="2:28" ht="7.5" customHeight="1" x14ac:dyDescent="0.2">
      <c r="B101" s="95"/>
      <c r="T101" s="38"/>
      <c r="U101" s="66"/>
      <c r="X101" s="49"/>
    </row>
    <row r="102" spans="2:28" ht="7.5" customHeight="1" x14ac:dyDescent="0.2">
      <c r="B102" s="95"/>
      <c r="T102" s="38"/>
      <c r="U102" s="66"/>
      <c r="V102" s="51"/>
      <c r="X102" s="49"/>
      <c r="Y102" s="51"/>
      <c r="Z102" s="51"/>
      <c r="AA102" s="51"/>
      <c r="AB102" s="51"/>
    </row>
    <row r="103" spans="2:28" ht="7.5" customHeight="1" x14ac:dyDescent="0.2">
      <c r="B103" s="95"/>
      <c r="L103" s="8"/>
      <c r="T103" s="38"/>
      <c r="U103" s="66"/>
      <c r="V103" s="51"/>
      <c r="X103" s="49"/>
      <c r="Y103" s="51"/>
      <c r="Z103" s="51"/>
      <c r="AA103" s="51"/>
      <c r="AB103" s="51"/>
    </row>
    <row r="104" spans="2:28" ht="7.5" customHeight="1" x14ac:dyDescent="0.2">
      <c r="B104" s="95"/>
      <c r="L104" s="8"/>
      <c r="M104" s="8"/>
      <c r="T104" s="38"/>
      <c r="U104" s="66"/>
      <c r="V104" s="51"/>
      <c r="X104" s="49"/>
      <c r="Y104" s="51"/>
      <c r="Z104" s="51"/>
      <c r="AA104" s="51"/>
      <c r="AB104" s="51"/>
    </row>
    <row r="105" spans="2:28" ht="7.5" customHeight="1" x14ac:dyDescent="0.2">
      <c r="B105" s="95"/>
      <c r="L105" s="8"/>
      <c r="M105" s="8"/>
      <c r="T105" s="38"/>
      <c r="U105" s="66"/>
      <c r="V105" s="67"/>
      <c r="X105" s="49"/>
      <c r="Y105" s="51"/>
      <c r="Z105" s="51"/>
      <c r="AA105" s="51"/>
      <c r="AB105" s="51"/>
    </row>
    <row r="106" spans="2:28" ht="7.5" customHeight="1" thickBot="1" x14ac:dyDescent="0.3">
      <c r="B106" s="139"/>
      <c r="C106" s="14"/>
      <c r="D106" s="14"/>
      <c r="E106" s="14"/>
      <c r="F106" s="14"/>
      <c r="G106" s="14"/>
      <c r="H106" s="14"/>
      <c r="I106" s="14"/>
      <c r="J106" s="14"/>
      <c r="K106" s="14"/>
      <c r="L106" s="26"/>
      <c r="M106" s="26"/>
      <c r="N106" s="14"/>
      <c r="O106" s="14"/>
      <c r="P106" s="14"/>
      <c r="Q106" s="14"/>
      <c r="R106" s="14"/>
      <c r="S106" s="14"/>
      <c r="T106" s="48"/>
      <c r="U106" s="66"/>
      <c r="V106" s="33"/>
      <c r="W106" s="33"/>
      <c r="X106" s="49"/>
      <c r="Y106" s="68"/>
      <c r="Z106" s="68"/>
      <c r="AA106" s="68"/>
    </row>
    <row r="107" spans="2:28" ht="19.5" customHeight="1" x14ac:dyDescent="0.25">
      <c r="B107" s="1250" t="s">
        <v>676</v>
      </c>
      <c r="C107" s="1251"/>
      <c r="D107" s="1251"/>
      <c r="E107" s="1251"/>
      <c r="F107" s="1251"/>
      <c r="G107" s="1251"/>
      <c r="H107" s="1251"/>
      <c r="I107" s="1251"/>
      <c r="J107" s="1251"/>
      <c r="K107" s="1251"/>
      <c r="L107" s="1251"/>
      <c r="M107" s="1251"/>
      <c r="N107" s="1251"/>
      <c r="O107" s="1251"/>
      <c r="P107" s="1251"/>
      <c r="Q107" s="1251"/>
      <c r="R107" s="1251"/>
      <c r="S107" s="1251"/>
      <c r="T107" s="1252"/>
      <c r="U107" s="42"/>
      <c r="V107" s="10"/>
      <c r="W107" s="11"/>
      <c r="X107" s="46"/>
      <c r="Y107" s="42"/>
      <c r="Z107" s="11"/>
      <c r="AA107" s="11"/>
      <c r="AB107" s="11"/>
    </row>
    <row r="108" spans="2:28" ht="19.5" customHeight="1" thickBot="1" x14ac:dyDescent="0.3">
      <c r="B108" s="1284" t="s">
        <v>10</v>
      </c>
      <c r="C108" s="1285"/>
      <c r="D108" s="1285"/>
      <c r="E108" s="1285"/>
      <c r="F108" s="1285"/>
      <c r="G108" s="1285"/>
      <c r="H108" s="1285"/>
      <c r="I108" s="1285"/>
      <c r="J108" s="1285"/>
      <c r="K108" s="1285"/>
      <c r="L108" s="1285"/>
      <c r="M108" s="1285"/>
      <c r="N108" s="1285"/>
      <c r="O108" s="1285"/>
      <c r="P108" s="1285"/>
      <c r="Q108" s="1285"/>
      <c r="R108" s="1285"/>
      <c r="S108" s="1285"/>
      <c r="T108" s="1286"/>
      <c r="U108" s="42"/>
      <c r="V108" s="10"/>
      <c r="W108" s="11"/>
      <c r="X108" s="46"/>
      <c r="Y108" s="42"/>
      <c r="Z108" s="11"/>
      <c r="AA108" s="11"/>
      <c r="AB108" s="11"/>
    </row>
    <row r="109" spans="2:28" ht="19.5" customHeight="1" thickBot="1" x14ac:dyDescent="0.3">
      <c r="B109" s="1275" t="s">
        <v>23</v>
      </c>
      <c r="C109" s="1276"/>
      <c r="D109" s="1276"/>
      <c r="E109" s="1276"/>
      <c r="F109" s="1276"/>
      <c r="G109" s="1276"/>
      <c r="H109" s="1276"/>
      <c r="I109" s="1276"/>
      <c r="J109" s="1276"/>
      <c r="K109" s="1276"/>
      <c r="L109" s="1276"/>
      <c r="M109" s="1276"/>
      <c r="N109" s="1276"/>
      <c r="O109" s="1276"/>
      <c r="P109" s="1276"/>
      <c r="Q109" s="1276"/>
      <c r="R109" s="1276"/>
      <c r="S109" s="1276"/>
      <c r="T109" s="1277"/>
      <c r="U109" s="42"/>
      <c r="V109" s="10"/>
      <c r="W109" s="11"/>
      <c r="X109" s="46"/>
      <c r="Y109" s="42"/>
      <c r="Z109" s="11"/>
      <c r="AA109" s="11"/>
      <c r="AB109" s="11"/>
    </row>
    <row r="110" spans="2:28" ht="19.5" customHeight="1" x14ac:dyDescent="0.2">
      <c r="B110" s="145"/>
      <c r="C110" s="126"/>
      <c r="D110" s="126"/>
      <c r="E110" s="126"/>
      <c r="F110" s="126"/>
      <c r="G110" s="126"/>
      <c r="H110" s="126"/>
      <c r="I110" s="146"/>
      <c r="J110" s="126"/>
      <c r="K110" s="126"/>
      <c r="L110" s="8"/>
      <c r="M110" s="8"/>
      <c r="N110" s="12"/>
      <c r="O110" s="12"/>
      <c r="P110" s="12"/>
      <c r="Q110" s="12"/>
      <c r="U110" s="42"/>
      <c r="V110" s="10"/>
      <c r="W110" s="11"/>
      <c r="X110" s="46"/>
      <c r="Y110" s="42"/>
      <c r="Z110" s="11"/>
      <c r="AA110" s="11"/>
      <c r="AB110" s="11"/>
    </row>
    <row r="111" spans="2:28" ht="19.5" customHeight="1" x14ac:dyDescent="0.25"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"/>
      <c r="M111" s="8"/>
      <c r="N111" s="12"/>
      <c r="O111" s="12"/>
      <c r="P111" s="12"/>
      <c r="Q111" s="12"/>
      <c r="U111" s="42"/>
      <c r="V111" s="10"/>
      <c r="W111" s="11"/>
      <c r="X111" s="46"/>
      <c r="Y111" s="42"/>
      <c r="Z111" s="11"/>
      <c r="AA111" s="11"/>
      <c r="AB111" s="11"/>
    </row>
    <row r="112" spans="2:28" ht="19.5" customHeight="1" x14ac:dyDescent="0.2">
      <c r="B112" s="147"/>
      <c r="C112" s="126"/>
      <c r="D112" s="126"/>
      <c r="E112" s="126"/>
      <c r="F112" s="126"/>
      <c r="G112" s="126"/>
      <c r="H112" s="126"/>
      <c r="I112" s="145"/>
      <c r="J112" s="145"/>
      <c r="K112" s="145"/>
      <c r="L112" s="8"/>
      <c r="M112" s="8"/>
      <c r="N112" s="12"/>
      <c r="O112" s="12"/>
      <c r="P112" s="12"/>
      <c r="Q112" s="12"/>
      <c r="U112" s="42"/>
      <c r="V112" s="10"/>
      <c r="W112" s="11"/>
      <c r="X112" s="46"/>
      <c r="Y112" s="42"/>
      <c r="Z112" s="11"/>
      <c r="AA112" s="11"/>
      <c r="AB112" s="11"/>
    </row>
    <row r="113" spans="2:28" ht="19.5" customHeight="1" x14ac:dyDescent="0.2">
      <c r="B113" s="125"/>
      <c r="C113" s="126"/>
      <c r="D113" s="126"/>
      <c r="E113" s="126"/>
      <c r="F113" s="126"/>
      <c r="G113" s="126"/>
      <c r="H113" s="126"/>
      <c r="I113" s="126"/>
      <c r="J113" s="126"/>
      <c r="K113" s="126"/>
      <c r="L113" s="8"/>
      <c r="M113" s="8"/>
      <c r="N113" s="12"/>
      <c r="O113" s="12"/>
      <c r="P113" s="12"/>
      <c r="Q113" s="12"/>
      <c r="U113" s="42"/>
      <c r="V113" s="10"/>
      <c r="W113" s="11"/>
      <c r="X113" s="46"/>
      <c r="Y113" s="42"/>
      <c r="Z113" s="11"/>
      <c r="AA113" s="11"/>
      <c r="AB113" s="11"/>
    </row>
    <row r="114" spans="2:28" ht="19.5" customHeight="1" x14ac:dyDescent="0.2">
      <c r="B114" s="125"/>
      <c r="C114" s="126"/>
      <c r="D114" s="126"/>
      <c r="E114" s="126"/>
      <c r="F114" s="126"/>
      <c r="G114" s="126"/>
      <c r="H114" s="126"/>
      <c r="I114" s="126"/>
      <c r="J114" s="126"/>
      <c r="K114" s="126"/>
      <c r="L114" s="8"/>
      <c r="M114" s="8"/>
      <c r="N114" s="12"/>
      <c r="O114" s="12"/>
      <c r="P114" s="12"/>
      <c r="Q114" s="12"/>
      <c r="U114" s="42"/>
      <c r="V114" s="10"/>
      <c r="W114" s="11"/>
      <c r="X114" s="46"/>
      <c r="Y114" s="42"/>
      <c r="Z114" s="11"/>
      <c r="AA114" s="11"/>
      <c r="AB114" s="11"/>
    </row>
    <row r="115" spans="2:28" ht="19.5" customHeight="1" x14ac:dyDescent="0.2">
      <c r="B115" s="125"/>
      <c r="C115" s="126"/>
      <c r="D115" s="126"/>
      <c r="E115" s="126"/>
      <c r="F115" s="126"/>
      <c r="G115" s="126"/>
      <c r="H115" s="126"/>
      <c r="I115" s="126"/>
      <c r="J115" s="126"/>
      <c r="K115" s="126"/>
      <c r="L115" s="8"/>
      <c r="M115" s="8"/>
      <c r="N115" s="12"/>
      <c r="O115" s="12"/>
      <c r="P115" s="12"/>
      <c r="Q115" s="12"/>
      <c r="U115" s="42"/>
      <c r="V115" s="10"/>
      <c r="W115" s="11"/>
      <c r="X115" s="46"/>
      <c r="Y115" s="42"/>
      <c r="Z115" s="11"/>
      <c r="AA115" s="11"/>
      <c r="AB115" s="11"/>
    </row>
    <row r="116" spans="2:28" ht="19.5" customHeight="1" x14ac:dyDescent="0.2">
      <c r="B116" s="125"/>
      <c r="C116" s="126"/>
      <c r="D116" s="126"/>
      <c r="E116" s="126"/>
      <c r="F116" s="126"/>
      <c r="G116" s="126"/>
      <c r="H116" s="126"/>
      <c r="I116" s="126"/>
      <c r="J116" s="126"/>
      <c r="K116" s="126"/>
      <c r="L116" s="8"/>
      <c r="M116" s="8"/>
      <c r="N116" s="12"/>
      <c r="O116" s="12"/>
      <c r="P116" s="12"/>
      <c r="Q116" s="12"/>
      <c r="U116" s="42"/>
      <c r="V116" s="10"/>
      <c r="W116" s="11"/>
      <c r="X116" s="46"/>
      <c r="Y116" s="42"/>
      <c r="Z116" s="11"/>
      <c r="AA116" s="11"/>
      <c r="AB116" s="11"/>
    </row>
    <row r="117" spans="2:28" ht="19.5" customHeight="1" x14ac:dyDescent="0.2">
      <c r="B117" s="125"/>
      <c r="C117" s="126"/>
      <c r="D117" s="126"/>
      <c r="E117" s="126"/>
      <c r="F117" s="126"/>
      <c r="G117" s="126"/>
      <c r="H117" s="126"/>
      <c r="I117" s="126"/>
      <c r="J117" s="126"/>
      <c r="K117" s="126"/>
      <c r="L117" s="8"/>
      <c r="M117" s="8"/>
      <c r="N117" s="12"/>
      <c r="O117" s="12"/>
      <c r="P117" s="12"/>
      <c r="Q117" s="12"/>
      <c r="U117" s="42"/>
      <c r="V117" s="10"/>
      <c r="W117" s="11"/>
      <c r="X117" s="46"/>
      <c r="Y117" s="42"/>
      <c r="Z117" s="11"/>
      <c r="AA117" s="11"/>
      <c r="AB117" s="11"/>
    </row>
    <row r="118" spans="2:28" ht="19.5" customHeight="1" x14ac:dyDescent="0.2">
      <c r="B118" s="125"/>
      <c r="C118" s="126"/>
      <c r="D118" s="126"/>
      <c r="E118" s="126"/>
      <c r="F118" s="126"/>
      <c r="G118" s="126"/>
      <c r="H118" s="126"/>
      <c r="I118" s="126"/>
      <c r="J118" s="126"/>
      <c r="K118" s="126"/>
      <c r="L118" s="8"/>
      <c r="M118" s="8"/>
      <c r="N118" s="12"/>
      <c r="O118" s="12"/>
      <c r="P118" s="12"/>
      <c r="Q118" s="12"/>
      <c r="U118" s="42"/>
      <c r="V118" s="10"/>
      <c r="W118" s="11"/>
      <c r="X118" s="46"/>
      <c r="Y118" s="42"/>
      <c r="Z118" s="11"/>
      <c r="AA118" s="11"/>
      <c r="AB118" s="11"/>
    </row>
    <row r="119" spans="2:28" ht="19.5" customHeight="1" x14ac:dyDescent="0.2">
      <c r="B119" s="125"/>
      <c r="C119" s="126"/>
      <c r="D119" s="126"/>
      <c r="E119" s="126"/>
      <c r="F119" s="126"/>
      <c r="G119" s="126"/>
      <c r="H119" s="126"/>
      <c r="I119" s="126"/>
      <c r="J119" s="126"/>
      <c r="K119" s="126"/>
      <c r="L119" s="8"/>
      <c r="M119" s="8"/>
      <c r="N119" s="12"/>
      <c r="O119" s="12"/>
      <c r="P119" s="12"/>
      <c r="Q119" s="12"/>
      <c r="U119" s="42"/>
      <c r="V119" s="10"/>
      <c r="W119" s="11"/>
      <c r="X119" s="46"/>
      <c r="Y119" s="42"/>
      <c r="Z119" s="11"/>
      <c r="AA119" s="11"/>
      <c r="AB119" s="11"/>
    </row>
    <row r="120" spans="2:28" ht="19.5" customHeight="1" x14ac:dyDescent="0.2">
      <c r="B120" s="125"/>
      <c r="C120" s="126"/>
      <c r="D120" s="126"/>
      <c r="E120" s="126"/>
      <c r="F120" s="126"/>
      <c r="G120" s="126"/>
      <c r="H120" s="126"/>
      <c r="I120" s="126"/>
      <c r="J120" s="126"/>
      <c r="K120" s="126"/>
      <c r="L120" s="8"/>
      <c r="M120" s="8"/>
      <c r="N120" s="12"/>
      <c r="O120" s="12"/>
      <c r="P120" s="12"/>
      <c r="Q120" s="12"/>
      <c r="U120" s="42"/>
      <c r="V120" s="10"/>
      <c r="W120" s="11"/>
      <c r="X120" s="46"/>
      <c r="Y120" s="42"/>
      <c r="Z120" s="11"/>
      <c r="AA120" s="11"/>
      <c r="AB120" s="11"/>
    </row>
    <row r="121" spans="2:28" ht="19.5" customHeight="1" x14ac:dyDescent="0.2">
      <c r="B121" s="125"/>
      <c r="C121" s="126"/>
      <c r="D121" s="126"/>
      <c r="E121" s="126"/>
      <c r="F121" s="126"/>
      <c r="G121" s="126"/>
      <c r="H121" s="126"/>
      <c r="I121" s="126"/>
      <c r="J121" s="126"/>
      <c r="K121" s="126"/>
      <c r="L121" s="8"/>
      <c r="M121" s="8"/>
      <c r="N121" s="12"/>
      <c r="O121" s="12"/>
      <c r="P121" s="12"/>
      <c r="Q121" s="12"/>
      <c r="U121" s="42"/>
      <c r="V121" s="10"/>
      <c r="W121" s="11"/>
      <c r="X121" s="46"/>
      <c r="Y121" s="42"/>
      <c r="Z121" s="11"/>
      <c r="AA121" s="11"/>
      <c r="AB121" s="11"/>
    </row>
    <row r="122" spans="2:28" ht="19.5" customHeight="1" x14ac:dyDescent="0.2">
      <c r="B122" s="125"/>
      <c r="C122" s="126"/>
      <c r="D122" s="126"/>
      <c r="E122" s="126"/>
      <c r="F122" s="126"/>
      <c r="G122" s="126"/>
      <c r="H122" s="126"/>
      <c r="I122" s="126"/>
      <c r="J122" s="126"/>
      <c r="K122" s="126"/>
      <c r="L122" s="8"/>
      <c r="M122" s="8"/>
      <c r="N122" s="12"/>
      <c r="O122" s="12"/>
      <c r="P122" s="12"/>
      <c r="Q122" s="12"/>
      <c r="U122" s="42"/>
      <c r="V122" s="10"/>
      <c r="W122" s="11"/>
      <c r="X122" s="46"/>
      <c r="Y122" s="42"/>
      <c r="Z122" s="11"/>
      <c r="AA122" s="11"/>
      <c r="AB122" s="11"/>
    </row>
    <row r="123" spans="2:28" ht="19.5" customHeight="1" x14ac:dyDescent="0.25"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8"/>
      <c r="M123" s="8"/>
      <c r="N123" s="12"/>
      <c r="O123" s="12"/>
      <c r="P123" s="12"/>
      <c r="Q123" s="12"/>
      <c r="U123" s="42"/>
      <c r="V123" s="10"/>
      <c r="W123" s="11"/>
      <c r="X123" s="46"/>
      <c r="Y123" s="42"/>
      <c r="Z123" s="11"/>
      <c r="AA123" s="11"/>
      <c r="AB123" s="11"/>
    </row>
    <row r="124" spans="2:28" ht="19.5" customHeight="1" x14ac:dyDescent="0.2">
      <c r="B124" s="147"/>
      <c r="C124" s="126"/>
      <c r="D124" s="126"/>
      <c r="E124" s="126"/>
      <c r="F124" s="126"/>
      <c r="G124" s="126"/>
      <c r="H124" s="126"/>
      <c r="I124" s="145"/>
      <c r="J124" s="145"/>
      <c r="K124" s="145"/>
      <c r="L124" s="8"/>
      <c r="M124" s="8"/>
      <c r="N124" s="12"/>
      <c r="O124" s="12"/>
      <c r="P124" s="12"/>
      <c r="Q124" s="12"/>
      <c r="U124" s="42"/>
      <c r="V124" s="10"/>
      <c r="W124" s="11"/>
      <c r="X124" s="46"/>
      <c r="Y124" s="42"/>
      <c r="Z124" s="11"/>
      <c r="AA124" s="11"/>
      <c r="AB124" s="11"/>
    </row>
    <row r="125" spans="2:28" ht="19.5" customHeight="1" x14ac:dyDescent="0.2">
      <c r="B125" s="145"/>
      <c r="C125" s="126"/>
      <c r="D125" s="126"/>
      <c r="E125" s="126"/>
      <c r="F125" s="126"/>
      <c r="G125" s="126"/>
      <c r="H125" s="126"/>
      <c r="I125" s="126"/>
      <c r="J125" s="126"/>
      <c r="K125" s="126"/>
      <c r="L125" s="8"/>
      <c r="M125" s="8"/>
      <c r="N125" s="12"/>
      <c r="O125" s="12"/>
      <c r="P125" s="12"/>
      <c r="Q125" s="12"/>
      <c r="U125" s="42"/>
      <c r="V125" s="10"/>
      <c r="W125" s="11"/>
      <c r="X125" s="46"/>
      <c r="Y125" s="42"/>
      <c r="Z125" s="11"/>
      <c r="AA125" s="11"/>
      <c r="AB125" s="11"/>
    </row>
    <row r="126" spans="2:28" ht="19.5" customHeight="1" x14ac:dyDescent="0.2">
      <c r="B126" s="145"/>
      <c r="C126" s="126"/>
      <c r="D126" s="126"/>
      <c r="E126" s="126"/>
      <c r="F126" s="126"/>
      <c r="G126" s="126"/>
      <c r="H126" s="126"/>
      <c r="I126" s="126"/>
      <c r="J126" s="126"/>
      <c r="K126" s="126"/>
      <c r="L126" s="8"/>
      <c r="M126" s="8"/>
      <c r="N126" s="12"/>
      <c r="O126" s="12"/>
      <c r="P126" s="12"/>
      <c r="Q126" s="12"/>
      <c r="U126" s="42"/>
      <c r="V126" s="10"/>
      <c r="W126" s="11"/>
      <c r="X126" s="46"/>
      <c r="Y126" s="42"/>
      <c r="Z126" s="11"/>
      <c r="AA126" s="11"/>
      <c r="AB126" s="11"/>
    </row>
    <row r="127" spans="2:28" ht="19.5" customHeight="1" x14ac:dyDescent="0.2">
      <c r="B127" s="145"/>
      <c r="C127" s="126"/>
      <c r="D127" s="126"/>
      <c r="E127" s="126"/>
      <c r="F127" s="126"/>
      <c r="G127" s="126"/>
      <c r="H127" s="126"/>
      <c r="I127" s="126"/>
      <c r="J127" s="126"/>
      <c r="K127" s="126"/>
      <c r="L127" s="8"/>
      <c r="M127" s="8"/>
      <c r="N127" s="12"/>
      <c r="O127" s="12"/>
      <c r="P127" s="12"/>
      <c r="Q127" s="12"/>
      <c r="U127" s="42"/>
      <c r="V127" s="10"/>
      <c r="W127" s="11"/>
      <c r="X127" s="46"/>
      <c r="Y127" s="42"/>
      <c r="Z127" s="11"/>
      <c r="AA127" s="11"/>
      <c r="AB127" s="11"/>
    </row>
    <row r="128" spans="2:28" ht="19.5" customHeight="1" x14ac:dyDescent="0.2">
      <c r="B128" s="145"/>
      <c r="C128" s="126"/>
      <c r="D128" s="126"/>
      <c r="E128" s="126"/>
      <c r="F128" s="126"/>
      <c r="G128" s="126"/>
      <c r="H128" s="126"/>
      <c r="I128" s="126"/>
      <c r="J128" s="126"/>
      <c r="K128" s="126"/>
      <c r="L128" s="8"/>
      <c r="M128" s="8"/>
      <c r="N128" s="12"/>
      <c r="O128" s="12"/>
      <c r="P128" s="12"/>
      <c r="Q128" s="12"/>
      <c r="U128" s="42"/>
      <c r="V128" s="10"/>
      <c r="W128" s="11"/>
      <c r="X128" s="46"/>
      <c r="Y128" s="42"/>
      <c r="Z128" s="11"/>
      <c r="AA128" s="11"/>
      <c r="AB128" s="11"/>
    </row>
    <row r="129" spans="2:28" ht="19.5" customHeight="1" x14ac:dyDescent="0.2">
      <c r="B129" s="145"/>
      <c r="C129" s="126"/>
      <c r="D129" s="126"/>
      <c r="E129" s="126"/>
      <c r="F129" s="126"/>
      <c r="G129" s="126"/>
      <c r="H129" s="126"/>
      <c r="I129" s="126"/>
      <c r="J129" s="126"/>
      <c r="K129" s="126"/>
      <c r="L129" s="8"/>
      <c r="M129" s="8"/>
      <c r="N129" s="12"/>
      <c r="O129" s="12"/>
      <c r="P129" s="12"/>
      <c r="Q129" s="12"/>
      <c r="U129" s="42"/>
      <c r="V129" s="10"/>
      <c r="W129" s="11"/>
      <c r="X129" s="46"/>
      <c r="Y129" s="42"/>
      <c r="Z129" s="11"/>
      <c r="AA129" s="11"/>
      <c r="AB129" s="11"/>
    </row>
    <row r="130" spans="2:28" ht="19.5" customHeight="1" x14ac:dyDescent="0.2">
      <c r="B130" s="145"/>
      <c r="C130" s="126"/>
      <c r="D130" s="126"/>
      <c r="E130" s="126"/>
      <c r="F130" s="126"/>
      <c r="G130" s="126"/>
      <c r="H130" s="126"/>
      <c r="I130" s="126"/>
      <c r="J130" s="126"/>
      <c r="K130" s="126"/>
      <c r="L130" s="8"/>
      <c r="M130" s="8"/>
      <c r="N130" s="12"/>
      <c r="O130" s="12"/>
      <c r="P130" s="12"/>
      <c r="Q130" s="12"/>
      <c r="U130" s="42"/>
      <c r="V130" s="10"/>
      <c r="W130" s="11"/>
      <c r="X130" s="46"/>
      <c r="Y130" s="42"/>
      <c r="Z130" s="11"/>
      <c r="AA130" s="11"/>
      <c r="AB130" s="11"/>
    </row>
    <row r="131" spans="2:28" ht="19.5" customHeight="1" x14ac:dyDescent="0.2">
      <c r="B131" s="145"/>
      <c r="C131" s="126"/>
      <c r="D131" s="126"/>
      <c r="E131" s="126"/>
      <c r="F131" s="126"/>
      <c r="G131" s="126"/>
      <c r="H131" s="126"/>
      <c r="I131" s="126"/>
      <c r="J131" s="126"/>
      <c r="K131" s="126"/>
      <c r="L131" s="8"/>
      <c r="M131" s="8"/>
      <c r="N131" s="12"/>
      <c r="O131" s="12"/>
      <c r="P131" s="12"/>
      <c r="Q131" s="12"/>
      <c r="U131" s="42"/>
      <c r="V131" s="10"/>
      <c r="W131" s="11"/>
      <c r="X131" s="46"/>
      <c r="Y131" s="42"/>
      <c r="Z131" s="11"/>
      <c r="AA131" s="11"/>
      <c r="AB131" s="11"/>
    </row>
    <row r="132" spans="2:28" ht="19.5" customHeight="1" x14ac:dyDescent="0.2">
      <c r="B132" s="145"/>
      <c r="C132" s="126"/>
      <c r="D132" s="126"/>
      <c r="E132" s="126"/>
      <c r="F132" s="126"/>
      <c r="G132" s="126"/>
      <c r="H132" s="126"/>
      <c r="I132" s="126"/>
      <c r="J132" s="126"/>
      <c r="K132" s="126"/>
      <c r="L132" s="8"/>
      <c r="M132" s="8"/>
      <c r="N132" s="12"/>
      <c r="O132" s="12"/>
      <c r="P132" s="12"/>
      <c r="Q132" s="12"/>
      <c r="U132" s="42"/>
      <c r="V132" s="10"/>
      <c r="W132" s="11"/>
      <c r="X132" s="46"/>
      <c r="Y132" s="42"/>
      <c r="Z132" s="11"/>
      <c r="AA132" s="11"/>
      <c r="AB132" s="11"/>
    </row>
    <row r="133" spans="2:28" ht="19.5" customHeight="1" x14ac:dyDescent="0.2">
      <c r="B133" s="145"/>
      <c r="C133" s="126"/>
      <c r="D133" s="126"/>
      <c r="E133" s="126"/>
      <c r="F133" s="126"/>
      <c r="G133" s="126"/>
      <c r="H133" s="126"/>
      <c r="I133" s="126"/>
      <c r="J133" s="126"/>
      <c r="K133" s="126"/>
      <c r="L133" s="8"/>
      <c r="M133" s="8"/>
      <c r="N133" s="12"/>
      <c r="O133" s="12"/>
      <c r="P133" s="12"/>
      <c r="Q133" s="12"/>
      <c r="U133" s="42"/>
      <c r="V133" s="10"/>
      <c r="W133" s="11"/>
      <c r="X133" s="46"/>
      <c r="Y133" s="42"/>
      <c r="Z133" s="11"/>
      <c r="AA133" s="11"/>
      <c r="AB133" s="11"/>
    </row>
    <row r="134" spans="2:28" ht="19.5" customHeight="1" x14ac:dyDescent="0.2">
      <c r="B134" s="145"/>
      <c r="C134" s="126"/>
      <c r="D134" s="126"/>
      <c r="E134" s="126"/>
      <c r="F134" s="126"/>
      <c r="G134" s="126"/>
      <c r="H134" s="126"/>
      <c r="I134" s="126"/>
      <c r="J134" s="126"/>
      <c r="K134" s="126"/>
      <c r="L134" s="8"/>
      <c r="M134" s="8"/>
      <c r="N134" s="12"/>
      <c r="O134" s="12"/>
      <c r="P134" s="12"/>
      <c r="Q134" s="12"/>
      <c r="U134" s="42"/>
      <c r="V134" s="10"/>
      <c r="W134" s="11"/>
      <c r="X134" s="46"/>
      <c r="Y134" s="42"/>
      <c r="Z134" s="11"/>
      <c r="AA134" s="11"/>
      <c r="AB134" s="11"/>
    </row>
    <row r="135" spans="2:28" ht="19.5" customHeight="1" x14ac:dyDescent="0.25"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8"/>
      <c r="M135" s="8"/>
      <c r="N135" s="12"/>
      <c r="O135" s="12"/>
      <c r="P135" s="12"/>
      <c r="Q135" s="12"/>
      <c r="U135" s="42"/>
      <c r="V135" s="10"/>
      <c r="W135" s="11"/>
      <c r="X135" s="46"/>
      <c r="Y135" s="42"/>
      <c r="Z135" s="11"/>
      <c r="AA135" s="11"/>
      <c r="AB135" s="11"/>
    </row>
    <row r="136" spans="2:28" ht="19.5" customHeight="1" x14ac:dyDescent="0.2">
      <c r="B136" s="147"/>
      <c r="C136" s="126"/>
      <c r="D136" s="126"/>
      <c r="E136" s="126"/>
      <c r="F136" s="126"/>
      <c r="G136" s="126"/>
      <c r="H136" s="126"/>
      <c r="I136" s="145"/>
      <c r="J136" s="145"/>
      <c r="K136" s="145"/>
      <c r="L136" s="8"/>
      <c r="M136" s="8"/>
      <c r="N136" s="12"/>
      <c r="O136" s="12"/>
      <c r="P136" s="12"/>
      <c r="Q136" s="12"/>
      <c r="U136" s="42"/>
      <c r="V136" s="10"/>
      <c r="W136" s="11"/>
      <c r="X136" s="46"/>
      <c r="Y136" s="42"/>
      <c r="Z136" s="11"/>
      <c r="AA136" s="11"/>
      <c r="AB136" s="11"/>
    </row>
    <row r="137" spans="2:28" ht="19.5" customHeight="1" x14ac:dyDescent="0.2">
      <c r="B137" s="125"/>
      <c r="C137" s="126"/>
      <c r="D137" s="126"/>
      <c r="E137" s="126"/>
      <c r="F137" s="126"/>
      <c r="G137" s="126"/>
      <c r="H137" s="126"/>
      <c r="I137" s="126"/>
      <c r="J137" s="126"/>
      <c r="K137" s="126"/>
      <c r="L137" s="8"/>
      <c r="M137" s="8"/>
      <c r="N137" s="12"/>
      <c r="O137" s="12"/>
      <c r="P137" s="12"/>
      <c r="Q137" s="12"/>
      <c r="U137" s="42"/>
      <c r="V137" s="10"/>
      <c r="W137" s="11"/>
      <c r="X137" s="46"/>
      <c r="Y137" s="42"/>
      <c r="Z137" s="11"/>
      <c r="AA137" s="11"/>
      <c r="AB137" s="11"/>
    </row>
    <row r="138" spans="2:28" ht="19.5" customHeight="1" x14ac:dyDescent="0.2">
      <c r="B138" s="125"/>
      <c r="C138" s="126"/>
      <c r="D138" s="126"/>
      <c r="E138" s="126"/>
      <c r="F138" s="126"/>
      <c r="G138" s="126"/>
      <c r="H138" s="126"/>
      <c r="I138" s="126"/>
      <c r="J138" s="126"/>
      <c r="K138" s="126"/>
      <c r="L138" s="8"/>
      <c r="M138" s="8"/>
      <c r="N138" s="12"/>
      <c r="O138" s="12"/>
      <c r="P138" s="12"/>
      <c r="Q138" s="12"/>
      <c r="U138" s="42"/>
      <c r="V138" s="10"/>
      <c r="W138" s="11"/>
      <c r="X138" s="46"/>
      <c r="Y138" s="42"/>
      <c r="Z138" s="11"/>
      <c r="AA138" s="11"/>
      <c r="AB138" s="11"/>
    </row>
    <row r="139" spans="2:28" ht="19.5" customHeight="1" x14ac:dyDescent="0.2">
      <c r="B139" s="125"/>
      <c r="C139" s="126"/>
      <c r="D139" s="126"/>
      <c r="E139" s="126"/>
      <c r="F139" s="126"/>
      <c r="G139" s="126"/>
      <c r="H139" s="126"/>
      <c r="I139" s="126"/>
      <c r="J139" s="126"/>
      <c r="K139" s="126"/>
      <c r="L139" s="8"/>
      <c r="M139" s="8"/>
      <c r="N139" s="12"/>
      <c r="O139" s="12"/>
      <c r="P139" s="12"/>
      <c r="Q139" s="12"/>
      <c r="U139" s="42"/>
      <c r="V139" s="10"/>
      <c r="W139" s="11"/>
      <c r="X139" s="46"/>
      <c r="Y139" s="42"/>
      <c r="Z139" s="11"/>
      <c r="AA139" s="11"/>
      <c r="AB139" s="11"/>
    </row>
    <row r="140" spans="2:28" ht="19.5" customHeight="1" x14ac:dyDescent="0.2">
      <c r="B140" s="125"/>
      <c r="C140" s="126"/>
      <c r="D140" s="126"/>
      <c r="E140" s="126"/>
      <c r="F140" s="126"/>
      <c r="G140" s="126"/>
      <c r="H140" s="126"/>
      <c r="I140" s="126"/>
      <c r="J140" s="126"/>
      <c r="K140" s="126"/>
      <c r="L140" s="8"/>
      <c r="M140" s="8"/>
      <c r="N140" s="12"/>
      <c r="O140" s="12"/>
      <c r="P140" s="12"/>
      <c r="Q140" s="12"/>
      <c r="U140" s="42"/>
      <c r="V140" s="10"/>
      <c r="W140" s="11"/>
      <c r="X140" s="46"/>
      <c r="Y140" s="42"/>
      <c r="Z140" s="11"/>
      <c r="AA140" s="11"/>
      <c r="AB140" s="11"/>
    </row>
    <row r="141" spans="2:28" ht="19.5" customHeight="1" x14ac:dyDescent="0.2">
      <c r="B141" s="125"/>
      <c r="C141" s="126"/>
      <c r="D141" s="126"/>
      <c r="E141" s="126"/>
      <c r="F141" s="126"/>
      <c r="G141" s="126"/>
      <c r="H141" s="126"/>
      <c r="I141" s="126"/>
      <c r="J141" s="126"/>
      <c r="K141" s="126"/>
      <c r="L141" s="8"/>
      <c r="M141" s="8"/>
      <c r="N141" s="12"/>
      <c r="O141" s="12"/>
      <c r="P141" s="12"/>
      <c r="Q141" s="12"/>
      <c r="U141" s="42"/>
      <c r="V141" s="10"/>
      <c r="W141" s="11"/>
      <c r="X141" s="46"/>
      <c r="Y141" s="42"/>
      <c r="Z141" s="11"/>
      <c r="AA141" s="11"/>
      <c r="AB141" s="11"/>
    </row>
    <row r="142" spans="2:28" ht="19.5" customHeight="1" x14ac:dyDescent="0.2">
      <c r="B142" s="125"/>
      <c r="C142" s="126"/>
      <c r="D142" s="126"/>
      <c r="E142" s="126"/>
      <c r="F142" s="126"/>
      <c r="G142" s="126"/>
      <c r="H142" s="126"/>
      <c r="I142" s="126"/>
      <c r="J142" s="126"/>
      <c r="K142" s="126"/>
      <c r="L142" s="8"/>
      <c r="M142" s="8"/>
      <c r="N142" s="12"/>
      <c r="O142" s="12"/>
      <c r="P142" s="12"/>
      <c r="Q142" s="12"/>
      <c r="U142" s="42"/>
      <c r="V142" s="10"/>
      <c r="W142" s="11"/>
      <c r="X142" s="46"/>
      <c r="Y142" s="42"/>
      <c r="Z142" s="11"/>
      <c r="AA142" s="11"/>
      <c r="AB142" s="11"/>
    </row>
    <row r="143" spans="2:28" ht="19.5" customHeight="1" x14ac:dyDescent="0.2">
      <c r="B143" s="125"/>
      <c r="C143" s="126"/>
      <c r="D143" s="126"/>
      <c r="E143" s="126"/>
      <c r="F143" s="126"/>
      <c r="G143" s="126"/>
      <c r="H143" s="126"/>
      <c r="I143" s="126"/>
      <c r="J143" s="126"/>
      <c r="K143" s="126"/>
      <c r="L143" s="8"/>
      <c r="M143" s="8"/>
      <c r="N143" s="12"/>
      <c r="O143" s="12"/>
      <c r="P143" s="12"/>
      <c r="Q143" s="12"/>
      <c r="U143" s="42"/>
      <c r="V143" s="10"/>
      <c r="W143" s="11"/>
      <c r="X143" s="46"/>
      <c r="Y143" s="42"/>
      <c r="Z143" s="11"/>
      <c r="AA143" s="11"/>
      <c r="AB143" s="11"/>
    </row>
    <row r="144" spans="2:28" ht="19.5" customHeight="1" x14ac:dyDescent="0.2">
      <c r="B144" s="125"/>
      <c r="C144" s="126"/>
      <c r="D144" s="126"/>
      <c r="E144" s="126"/>
      <c r="F144" s="126"/>
      <c r="G144" s="126"/>
      <c r="H144" s="126"/>
      <c r="I144" s="126"/>
      <c r="J144" s="126"/>
      <c r="K144" s="126"/>
      <c r="L144" s="8"/>
      <c r="M144" s="8"/>
      <c r="N144" s="12"/>
      <c r="O144" s="12"/>
      <c r="P144" s="12"/>
      <c r="Q144" s="12"/>
      <c r="U144" s="42"/>
      <c r="V144" s="10"/>
      <c r="W144" s="11"/>
      <c r="X144" s="46"/>
      <c r="Y144" s="42"/>
      <c r="Z144" s="11"/>
      <c r="AA144" s="11"/>
      <c r="AB144" s="11"/>
    </row>
    <row r="145" spans="2:28" ht="19.5" customHeight="1" x14ac:dyDescent="0.2">
      <c r="B145" s="125"/>
      <c r="C145" s="126"/>
      <c r="D145" s="126"/>
      <c r="E145" s="126"/>
      <c r="F145" s="126"/>
      <c r="G145" s="126"/>
      <c r="H145" s="126"/>
      <c r="I145" s="126"/>
      <c r="J145" s="126"/>
      <c r="K145" s="126"/>
      <c r="L145" s="8"/>
      <c r="M145" s="8"/>
      <c r="N145" s="12"/>
      <c r="O145" s="12"/>
      <c r="P145" s="12"/>
      <c r="Q145" s="12"/>
      <c r="U145" s="42"/>
      <c r="V145" s="10"/>
      <c r="W145" s="11"/>
      <c r="X145" s="46"/>
      <c r="Y145" s="42"/>
      <c r="Z145" s="11"/>
      <c r="AA145" s="11"/>
      <c r="AB145" s="11"/>
    </row>
    <row r="146" spans="2:28" ht="19.5" customHeight="1" x14ac:dyDescent="0.2">
      <c r="B146" s="125"/>
      <c r="C146" s="126"/>
      <c r="D146" s="126"/>
      <c r="E146" s="126"/>
      <c r="F146" s="126"/>
      <c r="G146" s="126"/>
      <c r="H146" s="126"/>
      <c r="I146" s="126"/>
      <c r="J146" s="126"/>
      <c r="K146" s="126"/>
      <c r="L146" s="8"/>
      <c r="M146" s="8"/>
      <c r="N146" s="12"/>
      <c r="O146" s="12"/>
      <c r="P146" s="12"/>
      <c r="Q146" s="12"/>
      <c r="U146" s="42"/>
      <c r="V146" s="10"/>
      <c r="W146" s="11"/>
      <c r="X146" s="46"/>
      <c r="Y146" s="42"/>
      <c r="Z146" s="11"/>
      <c r="AA146" s="11"/>
      <c r="AB146" s="11"/>
    </row>
    <row r="147" spans="2:28" ht="19.5" customHeight="1" x14ac:dyDescent="0.2">
      <c r="J147" s="12"/>
      <c r="K147" s="12"/>
      <c r="L147" s="8"/>
      <c r="M147" s="8"/>
      <c r="N147" s="12"/>
      <c r="O147" s="12"/>
      <c r="P147" s="12"/>
      <c r="Q147" s="12"/>
      <c r="U147" s="42"/>
      <c r="V147" s="10"/>
      <c r="W147" s="11"/>
      <c r="X147" s="46"/>
      <c r="Y147" s="42"/>
      <c r="Z147" s="11"/>
      <c r="AA147" s="11"/>
      <c r="AB147" s="11"/>
    </row>
    <row r="148" spans="2:28" ht="19.5" customHeight="1" x14ac:dyDescent="0.2">
      <c r="J148" s="12"/>
      <c r="K148" s="12"/>
      <c r="L148" s="8"/>
      <c r="M148" s="8"/>
      <c r="N148" s="12"/>
      <c r="O148" s="12"/>
      <c r="P148" s="12"/>
      <c r="Q148" s="12"/>
      <c r="U148" s="42"/>
      <c r="V148" s="10"/>
      <c r="W148" s="11"/>
      <c r="X148" s="46"/>
      <c r="Y148" s="42"/>
      <c r="Z148" s="11"/>
      <c r="AA148" s="11"/>
      <c r="AB148" s="11"/>
    </row>
    <row r="149" spans="2:28" ht="19.5" customHeight="1" x14ac:dyDescent="0.2">
      <c r="J149" s="12"/>
      <c r="K149" s="12"/>
      <c r="L149" s="8"/>
      <c r="M149" s="8"/>
      <c r="N149" s="12"/>
      <c r="O149" s="12"/>
      <c r="P149" s="12"/>
      <c r="Q149" s="12"/>
      <c r="U149" s="42"/>
      <c r="V149" s="10"/>
      <c r="W149" s="11"/>
      <c r="X149" s="46"/>
      <c r="Y149" s="42"/>
      <c r="Z149" s="11"/>
      <c r="AA149" s="11"/>
      <c r="AB149" s="11"/>
    </row>
    <row r="150" spans="2:28" ht="19.5" customHeight="1" x14ac:dyDescent="0.2">
      <c r="J150" s="12"/>
      <c r="K150" s="12"/>
      <c r="L150" s="8"/>
      <c r="M150" s="8"/>
      <c r="N150" s="12"/>
      <c r="O150" s="12"/>
      <c r="P150" s="12"/>
      <c r="Q150" s="12"/>
      <c r="U150" s="42"/>
      <c r="V150" s="10"/>
      <c r="W150" s="11"/>
      <c r="X150" s="46"/>
      <c r="Y150" s="42"/>
      <c r="Z150" s="11"/>
      <c r="AA150" s="11"/>
      <c r="AB150" s="11"/>
    </row>
    <row r="157" spans="2:28" x14ac:dyDescent="0.2">
      <c r="K157" s="4"/>
      <c r="N157" s="1"/>
      <c r="O157" s="2"/>
      <c r="P157" s="2"/>
      <c r="Q157" s="2"/>
      <c r="R157" s="2"/>
    </row>
    <row r="158" spans="2:28" x14ac:dyDescent="0.2">
      <c r="K158" s="4"/>
    </row>
    <row r="159" spans="2:28" x14ac:dyDescent="0.2">
      <c r="K159" s="4"/>
    </row>
  </sheetData>
  <mergeCells count="58">
    <mergeCell ref="B12:T13"/>
    <mergeCell ref="B2:D2"/>
    <mergeCell ref="R2:T2"/>
    <mergeCell ref="B3:D3"/>
    <mergeCell ref="B4:D4"/>
    <mergeCell ref="B5:D5"/>
    <mergeCell ref="B6:D6"/>
    <mergeCell ref="J7:K7"/>
    <mergeCell ref="L7:N7"/>
    <mergeCell ref="O7:Q7"/>
    <mergeCell ref="B8:T8"/>
    <mergeCell ref="B10:T11"/>
    <mergeCell ref="N48:T48"/>
    <mergeCell ref="B15:T15"/>
    <mergeCell ref="B17:K17"/>
    <mergeCell ref="N17:T17"/>
    <mergeCell ref="N18:T18"/>
    <mergeCell ref="B29:K29"/>
    <mergeCell ref="N29:T29"/>
    <mergeCell ref="B37:K37"/>
    <mergeCell ref="N47:T47"/>
    <mergeCell ref="B69:K69"/>
    <mergeCell ref="N75:T75"/>
    <mergeCell ref="B49:K49"/>
    <mergeCell ref="N49:T49"/>
    <mergeCell ref="N50:T50"/>
    <mergeCell ref="B57:K57"/>
    <mergeCell ref="N57:T57"/>
    <mergeCell ref="S58:T58"/>
    <mergeCell ref="N80:T80"/>
    <mergeCell ref="S59:T59"/>
    <mergeCell ref="N60:R60"/>
    <mergeCell ref="S60:T60"/>
    <mergeCell ref="N65:T65"/>
    <mergeCell ref="N76:T76"/>
    <mergeCell ref="B77:K77"/>
    <mergeCell ref="S77:T77"/>
    <mergeCell ref="B78:K78"/>
    <mergeCell ref="N79:T79"/>
    <mergeCell ref="B91:C91"/>
    <mergeCell ref="N81:T81"/>
    <mergeCell ref="B84:K84"/>
    <mergeCell ref="N84:T84"/>
    <mergeCell ref="R85:S85"/>
    <mergeCell ref="R86:S86"/>
    <mergeCell ref="R87:S87"/>
    <mergeCell ref="B88:K88"/>
    <mergeCell ref="R88:S88"/>
    <mergeCell ref="R89:S89"/>
    <mergeCell ref="B90:K90"/>
    <mergeCell ref="R90:S90"/>
    <mergeCell ref="B109:T109"/>
    <mergeCell ref="B92:C92"/>
    <mergeCell ref="B93:C93"/>
    <mergeCell ref="B94:C94"/>
    <mergeCell ref="B95:C95"/>
    <mergeCell ref="B107:T107"/>
    <mergeCell ref="B108:T108"/>
  </mergeCells>
  <hyperlinks>
    <hyperlink ref="B6" r:id="rId1" xr:uid="{08B639E5-8367-4DB5-B7A4-162D9AF9EDC8}"/>
    <hyperlink ref="N81" r:id="rId2" display="https://www.amwestcorrespondent.com/Licensed-States" xr:uid="{5F11CCF8-66CF-4F3F-8640-EE85E17020A9}"/>
  </hyperlinks>
  <printOptions horizontalCentered="1" verticalCentered="1"/>
  <pageMargins left="0.1" right="0.1" top="0.1" bottom="0.1" header="0.1" footer="0.1"/>
  <pageSetup paperSize="5" scale="47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EEC0-0E5E-4CE0-BEBF-47ABF50E4B9C}">
  <sheetPr codeName="Sheet3">
    <pageSetUpPr fitToPage="1"/>
  </sheetPr>
  <dimension ref="A1:AE160"/>
  <sheetViews>
    <sheetView zoomScale="70" zoomScaleNormal="70" workbookViewId="0">
      <selection activeCell="U22" sqref="U22"/>
    </sheetView>
  </sheetViews>
  <sheetFormatPr defaultColWidth="8.85546875" defaultRowHeight="14.25" x14ac:dyDescent="0.2"/>
  <cols>
    <col min="1" max="1" width="7.5703125" style="5" customWidth="1"/>
    <col min="2" max="2" width="24.42578125" style="5" customWidth="1"/>
    <col min="3" max="11" width="13.42578125" style="5" customWidth="1"/>
    <col min="12" max="12" width="2.28515625" style="5" customWidth="1"/>
    <col min="13" max="13" width="1.42578125" style="5" customWidth="1"/>
    <col min="14" max="14" width="18.140625" style="5" customWidth="1"/>
    <col min="15" max="20" width="13.85546875" style="5" customWidth="1"/>
    <col min="21" max="21" width="8.85546875" style="172"/>
    <col min="22" max="22" width="27.28515625" style="5" customWidth="1"/>
    <col min="23" max="29" width="8.85546875" style="5"/>
    <col min="30" max="30" width="9.140625" style="5" bestFit="1" customWidth="1"/>
    <col min="31" max="16384" width="8.85546875" style="5"/>
  </cols>
  <sheetData>
    <row r="1" spans="1:21" ht="16.5" customHeight="1" x14ac:dyDescent="0.25">
      <c r="T1" s="326" t="s">
        <v>729</v>
      </c>
    </row>
    <row r="2" spans="1:21" ht="20.25" customHeight="1" x14ac:dyDescent="0.25">
      <c r="B2" s="1269" t="s">
        <v>0</v>
      </c>
      <c r="C2" s="1270"/>
      <c r="D2" s="1271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1269" t="s">
        <v>730</v>
      </c>
      <c r="S2" s="1270"/>
      <c r="T2" s="1271"/>
    </row>
    <row r="3" spans="1:21" ht="17.25" customHeight="1" x14ac:dyDescent="0.25">
      <c r="A3" s="149"/>
      <c r="B3" s="1272" t="s">
        <v>1</v>
      </c>
      <c r="C3" s="1273"/>
      <c r="D3" s="1274"/>
      <c r="E3" s="27"/>
      <c r="F3" s="117"/>
      <c r="G3" s="117"/>
      <c r="H3" s="117"/>
      <c r="I3" s="117"/>
      <c r="J3" s="117"/>
      <c r="K3" s="117"/>
      <c r="L3" s="117"/>
      <c r="M3" s="117"/>
      <c r="N3" s="27"/>
      <c r="O3" s="27"/>
      <c r="P3" s="27"/>
      <c r="Q3" s="27"/>
      <c r="R3" s="309"/>
      <c r="S3" s="167"/>
      <c r="T3" s="310"/>
    </row>
    <row r="4" spans="1:21" ht="15" customHeight="1" x14ac:dyDescent="0.25">
      <c r="A4" s="149"/>
      <c r="B4" s="1272" t="s">
        <v>2</v>
      </c>
      <c r="C4" s="1273"/>
      <c r="D4" s="1274"/>
      <c r="E4" s="27"/>
      <c r="F4" s="117"/>
      <c r="G4" s="117"/>
      <c r="H4" s="117"/>
      <c r="I4" s="117"/>
      <c r="J4" s="117"/>
      <c r="K4" s="117"/>
      <c r="L4" s="117"/>
      <c r="M4" s="117"/>
      <c r="N4" s="27"/>
      <c r="O4" s="27"/>
      <c r="P4" s="27"/>
      <c r="Q4" s="27"/>
      <c r="R4" s="309" t="s">
        <v>731</v>
      </c>
      <c r="S4" s="167"/>
      <c r="T4" s="310">
        <f>[2]FNMA!P4</f>
        <v>45980</v>
      </c>
    </row>
    <row r="5" spans="1:21" ht="16.5" x14ac:dyDescent="0.25">
      <c r="A5" s="149"/>
      <c r="B5" s="1272" t="s">
        <v>3</v>
      </c>
      <c r="C5" s="1273"/>
      <c r="D5" s="1274"/>
      <c r="E5" s="15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309" t="s">
        <v>732</v>
      </c>
      <c r="S5" s="167"/>
      <c r="T5" s="310">
        <f>[2]FNMA!P5</f>
        <v>45995</v>
      </c>
    </row>
    <row r="6" spans="1:21" ht="16.5" x14ac:dyDescent="0.25">
      <c r="A6" s="149"/>
      <c r="B6" s="1266" t="s">
        <v>4</v>
      </c>
      <c r="C6" s="1267"/>
      <c r="D6" s="1268"/>
      <c r="E6" s="313"/>
      <c r="F6" s="117"/>
      <c r="G6" s="117"/>
      <c r="H6" s="117"/>
      <c r="I6" s="117"/>
      <c r="J6" s="117"/>
      <c r="K6" s="117"/>
      <c r="L6" s="117"/>
      <c r="M6" s="117"/>
      <c r="N6" s="117"/>
      <c r="O6" s="27"/>
      <c r="P6" s="27"/>
      <c r="Q6" s="27"/>
      <c r="R6" s="311" t="s">
        <v>733</v>
      </c>
      <c r="S6" s="135"/>
      <c r="T6" s="312">
        <f>[2]FNMA!P6</f>
        <v>46010</v>
      </c>
    </row>
    <row r="7" spans="1:21" ht="20.25" customHeight="1" thickBot="1" x14ac:dyDescent="0.3">
      <c r="B7" s="1062"/>
      <c r="C7" s="27"/>
      <c r="D7" s="27"/>
      <c r="E7" s="27"/>
      <c r="F7" s="117" t="s">
        <v>5</v>
      </c>
      <c r="G7" s="27"/>
      <c r="H7" s="27"/>
      <c r="I7" s="27"/>
      <c r="J7" s="1369" t="s">
        <v>6</v>
      </c>
      <c r="K7" s="1369"/>
      <c r="L7" s="1370">
        <f ca="1">TODAY()</f>
        <v>46101</v>
      </c>
      <c r="M7" s="1370"/>
      <c r="N7" s="1370"/>
      <c r="O7" s="1371" t="str">
        <f>[2]FNMA!M7</f>
        <v>8:00 AM PST</v>
      </c>
      <c r="P7" s="1371"/>
      <c r="Q7" s="1371"/>
      <c r="R7" s="27"/>
      <c r="S7" s="27"/>
      <c r="T7" s="27"/>
    </row>
    <row r="8" spans="1:21" ht="30" customHeight="1" thickBot="1" x14ac:dyDescent="0.25">
      <c r="B8" s="1339" t="s">
        <v>7</v>
      </c>
      <c r="C8" s="1340"/>
      <c r="D8" s="1340"/>
      <c r="E8" s="1340"/>
      <c r="F8" s="1340"/>
      <c r="G8" s="1340"/>
      <c r="H8" s="1340"/>
      <c r="I8" s="1340"/>
      <c r="J8" s="1340"/>
      <c r="K8" s="1340"/>
      <c r="L8" s="1340"/>
      <c r="M8" s="1340"/>
      <c r="N8" s="1340"/>
      <c r="O8" s="1340"/>
      <c r="P8" s="1340"/>
      <c r="Q8" s="1340"/>
      <c r="R8" s="1340"/>
      <c r="S8" s="1340"/>
      <c r="T8" s="1341"/>
      <c r="U8" s="5"/>
    </row>
    <row r="9" spans="1:21" ht="19.5" customHeight="1" thickBot="1" x14ac:dyDescent="0.3">
      <c r="B9" s="603" t="s">
        <v>354</v>
      </c>
      <c r="C9" s="29"/>
      <c r="D9" s="604"/>
      <c r="E9" s="605"/>
      <c r="F9" s="605"/>
      <c r="G9" s="308"/>
      <c r="H9" s="581" t="s">
        <v>9</v>
      </c>
      <c r="I9" s="308"/>
      <c r="J9" s="581"/>
      <c r="K9" s="581"/>
      <c r="L9" s="581" t="s">
        <v>352</v>
      </c>
      <c r="M9" s="308"/>
      <c r="N9" s="581"/>
      <c r="O9" s="581"/>
      <c r="P9" s="308"/>
      <c r="Q9" s="29" t="s">
        <v>625</v>
      </c>
      <c r="R9" s="29"/>
      <c r="S9" s="29"/>
      <c r="T9" s="606"/>
      <c r="U9" s="5"/>
    </row>
    <row r="10" spans="1:21" ht="15.75" customHeight="1" x14ac:dyDescent="0.2">
      <c r="B10" s="1372" t="s">
        <v>11</v>
      </c>
      <c r="C10" s="1373"/>
      <c r="D10" s="1373"/>
      <c r="E10" s="1373"/>
      <c r="F10" s="1373"/>
      <c r="G10" s="1373"/>
      <c r="H10" s="1373"/>
      <c r="I10" s="1373"/>
      <c r="J10" s="1373"/>
      <c r="K10" s="1373"/>
      <c r="L10" s="1373"/>
      <c r="M10" s="1373"/>
      <c r="N10" s="1373"/>
      <c r="O10" s="1373"/>
      <c r="P10" s="1373"/>
      <c r="Q10" s="1373"/>
      <c r="R10" s="1373"/>
      <c r="S10" s="1373"/>
      <c r="T10" s="1374"/>
      <c r="U10" s="5"/>
    </row>
    <row r="11" spans="1:21" ht="12.75" customHeight="1" thickBot="1" x14ac:dyDescent="0.25">
      <c r="B11" s="1375"/>
      <c r="C11" s="1376"/>
      <c r="D11" s="1376"/>
      <c r="E11" s="1376"/>
      <c r="F11" s="1376"/>
      <c r="G11" s="1376"/>
      <c r="H11" s="1376"/>
      <c r="I11" s="1376"/>
      <c r="J11" s="1376"/>
      <c r="K11" s="1376"/>
      <c r="L11" s="1376"/>
      <c r="M11" s="1376"/>
      <c r="N11" s="1376"/>
      <c r="O11" s="1376"/>
      <c r="P11" s="1376"/>
      <c r="Q11" s="1376"/>
      <c r="R11" s="1376"/>
      <c r="S11" s="1376"/>
      <c r="T11" s="1377"/>
      <c r="U11" s="5"/>
    </row>
    <row r="12" spans="1:21" ht="24" customHeight="1" x14ac:dyDescent="0.2">
      <c r="B12" s="1378"/>
      <c r="C12" s="1379"/>
      <c r="D12" s="1379"/>
      <c r="E12" s="1379"/>
      <c r="F12" s="1379"/>
      <c r="G12" s="1379"/>
      <c r="H12" s="1379"/>
      <c r="I12" s="1379"/>
      <c r="J12" s="1379"/>
      <c r="K12" s="1379"/>
      <c r="L12" s="1379"/>
      <c r="M12" s="1379"/>
      <c r="N12" s="1379"/>
      <c r="O12" s="1379"/>
      <c r="P12" s="1379"/>
      <c r="Q12" s="1379"/>
      <c r="R12" s="1379"/>
      <c r="S12" s="1379"/>
      <c r="T12" s="1380"/>
      <c r="U12" s="5"/>
    </row>
    <row r="13" spans="1:21" ht="5.25" customHeight="1" x14ac:dyDescent="0.2">
      <c r="B13" s="1381"/>
      <c r="C13" s="1382"/>
      <c r="D13" s="1382"/>
      <c r="E13" s="1382"/>
      <c r="F13" s="1382"/>
      <c r="G13" s="1382"/>
      <c r="H13" s="1382"/>
      <c r="I13" s="1382"/>
      <c r="J13" s="1382"/>
      <c r="K13" s="1382"/>
      <c r="L13" s="1382"/>
      <c r="M13" s="1382"/>
      <c r="N13" s="1382"/>
      <c r="O13" s="1382"/>
      <c r="P13" s="1382"/>
      <c r="Q13" s="1382"/>
      <c r="R13" s="1382"/>
      <c r="S13" s="1382"/>
      <c r="T13" s="1383"/>
      <c r="U13" s="5"/>
    </row>
    <row r="14" spans="1:21" ht="8.25" customHeight="1" thickBot="1" x14ac:dyDescent="0.25">
      <c r="B14" s="123"/>
      <c r="C14" s="417"/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56"/>
      <c r="O14" s="56"/>
      <c r="P14" s="56"/>
      <c r="Q14" s="56"/>
      <c r="T14" s="38"/>
      <c r="U14" s="5"/>
    </row>
    <row r="15" spans="1:21" ht="35.25" customHeight="1" thickBot="1" x14ac:dyDescent="0.25">
      <c r="B15" s="1339" t="s">
        <v>349</v>
      </c>
      <c r="C15" s="1340"/>
      <c r="D15" s="1340"/>
      <c r="E15" s="1340"/>
      <c r="F15" s="1340"/>
      <c r="G15" s="1340"/>
      <c r="H15" s="1340"/>
      <c r="I15" s="1340"/>
      <c r="J15" s="1340"/>
      <c r="K15" s="1340"/>
      <c r="L15" s="1340"/>
      <c r="M15" s="1340"/>
      <c r="N15" s="1340"/>
      <c r="O15" s="1340"/>
      <c r="P15" s="1340"/>
      <c r="Q15" s="1340"/>
      <c r="R15" s="1340"/>
      <c r="S15" s="1340"/>
      <c r="T15" s="1341"/>
      <c r="U15" s="5"/>
    </row>
    <row r="16" spans="1:21" customFormat="1" ht="13.5" customHeight="1" thickBot="1" x14ac:dyDescent="0.3">
      <c r="B16" s="1063"/>
      <c r="T16" s="1064"/>
    </row>
    <row r="17" spans="2:21" s="117" customFormat="1" ht="21.75" customHeight="1" thickBot="1" x14ac:dyDescent="0.35">
      <c r="B17" s="1342" t="s">
        <v>95</v>
      </c>
      <c r="C17" s="1343"/>
      <c r="D17" s="1343"/>
      <c r="E17" s="1343"/>
      <c r="F17" s="1343"/>
      <c r="G17" s="1343"/>
      <c r="H17" s="1343"/>
      <c r="I17" s="1343"/>
      <c r="J17" s="1343"/>
      <c r="K17" s="1344"/>
      <c r="N17" s="1384" t="s">
        <v>742</v>
      </c>
      <c r="O17" s="1385"/>
      <c r="P17" s="1385"/>
      <c r="Q17" s="1385"/>
      <c r="R17" s="1385"/>
      <c r="S17" s="1385"/>
      <c r="T17" s="1386"/>
    </row>
    <row r="18" spans="2:21" ht="19.5" customHeight="1" x14ac:dyDescent="0.25">
      <c r="B18" s="570" t="s">
        <v>97</v>
      </c>
      <c r="C18" s="854" t="s">
        <v>98</v>
      </c>
      <c r="D18" s="855" t="s">
        <v>99</v>
      </c>
      <c r="E18" s="855" t="s">
        <v>100</v>
      </c>
      <c r="F18" s="855" t="s">
        <v>101</v>
      </c>
      <c r="G18" s="855" t="s">
        <v>102</v>
      </c>
      <c r="H18" s="855" t="s">
        <v>103</v>
      </c>
      <c r="I18" s="856" t="s">
        <v>104</v>
      </c>
      <c r="J18" s="856" t="s">
        <v>105</v>
      </c>
      <c r="K18" s="857" t="s">
        <v>106</v>
      </c>
      <c r="N18" s="1175" t="s">
        <v>119</v>
      </c>
      <c r="O18" s="1176" t="s">
        <v>98</v>
      </c>
      <c r="P18" s="1177" t="s">
        <v>99</v>
      </c>
      <c r="Q18" s="1177" t="s">
        <v>100</v>
      </c>
      <c r="R18" s="1177" t="s">
        <v>101</v>
      </c>
      <c r="S18" s="1177" t="s">
        <v>102</v>
      </c>
      <c r="T18" s="1178" t="s">
        <v>103</v>
      </c>
      <c r="U18" s="5"/>
    </row>
    <row r="19" spans="2:21" ht="19.5" customHeight="1" x14ac:dyDescent="0.25">
      <c r="B19" s="229" t="s">
        <v>108</v>
      </c>
      <c r="C19" s="230">
        <v>0</v>
      </c>
      <c r="D19" s="231">
        <v>0</v>
      </c>
      <c r="E19" s="231">
        <v>0</v>
      </c>
      <c r="F19" s="231">
        <v>0</v>
      </c>
      <c r="G19" s="231">
        <v>0.375</v>
      </c>
      <c r="H19" s="232">
        <v>0.75</v>
      </c>
      <c r="I19" s="231">
        <v>0.75</v>
      </c>
      <c r="J19" s="231">
        <v>0.875</v>
      </c>
      <c r="K19" s="233">
        <v>0.875</v>
      </c>
      <c r="N19" s="636" t="s">
        <v>743</v>
      </c>
      <c r="O19" s="1179">
        <v>-0.375</v>
      </c>
      <c r="P19" s="114">
        <v>-0.375</v>
      </c>
      <c r="Q19" s="114">
        <v>-1</v>
      </c>
      <c r="R19" s="114">
        <v>-1.125</v>
      </c>
      <c r="S19" s="114">
        <v>-1.25</v>
      </c>
      <c r="T19" s="130">
        <v>-0.75</v>
      </c>
      <c r="U19" s="5"/>
    </row>
    <row r="20" spans="2:21" ht="19.5" customHeight="1" x14ac:dyDescent="0.25">
      <c r="B20" s="234" t="s">
        <v>110</v>
      </c>
      <c r="C20" s="235">
        <v>0</v>
      </c>
      <c r="D20" s="232">
        <v>0</v>
      </c>
      <c r="E20" s="232">
        <v>0</v>
      </c>
      <c r="F20" s="232">
        <v>0</v>
      </c>
      <c r="G20" s="232">
        <v>0.375</v>
      </c>
      <c r="H20" s="232">
        <v>0.75</v>
      </c>
      <c r="I20" s="232">
        <v>0.75</v>
      </c>
      <c r="J20" s="232">
        <v>0.875</v>
      </c>
      <c r="K20" s="236">
        <v>0.875</v>
      </c>
      <c r="N20" s="636" t="s">
        <v>744</v>
      </c>
      <c r="O20" s="1179">
        <v>-0.875</v>
      </c>
      <c r="P20" s="114">
        <v>-0.875</v>
      </c>
      <c r="Q20" s="114">
        <v>-1.125</v>
      </c>
      <c r="R20" s="114">
        <v>-1.25</v>
      </c>
      <c r="S20" s="114">
        <v>-1.75</v>
      </c>
      <c r="T20" s="130">
        <v>-0.625</v>
      </c>
      <c r="U20" s="5"/>
    </row>
    <row r="21" spans="2:21" ht="19.5" customHeight="1" x14ac:dyDescent="0.25">
      <c r="B21" s="234" t="s">
        <v>53</v>
      </c>
      <c r="C21" s="235">
        <v>0</v>
      </c>
      <c r="D21" s="232">
        <v>0</v>
      </c>
      <c r="E21" s="232">
        <v>0</v>
      </c>
      <c r="F21" s="232">
        <v>0.25</v>
      </c>
      <c r="G21" s="232">
        <v>0.625</v>
      </c>
      <c r="H21" s="237">
        <v>1</v>
      </c>
      <c r="I21" s="232">
        <v>1</v>
      </c>
      <c r="J21" s="232">
        <v>1.125</v>
      </c>
      <c r="K21" s="236">
        <v>1</v>
      </c>
      <c r="N21" s="636" t="s">
        <v>746</v>
      </c>
      <c r="O21" s="1179">
        <v>-1.125</v>
      </c>
      <c r="P21" s="114">
        <v>-1.125</v>
      </c>
      <c r="Q21" s="114">
        <v>-1.25</v>
      </c>
      <c r="R21" s="114">
        <v>-1.25</v>
      </c>
      <c r="S21" s="114">
        <v>-0.25</v>
      </c>
      <c r="T21" s="130">
        <v>-0.25</v>
      </c>
      <c r="U21" s="5"/>
    </row>
    <row r="22" spans="2:21" ht="19.5" customHeight="1" x14ac:dyDescent="0.25">
      <c r="B22" s="234" t="s">
        <v>54</v>
      </c>
      <c r="C22" s="235">
        <v>0</v>
      </c>
      <c r="D22" s="232">
        <v>0</v>
      </c>
      <c r="E22" s="232">
        <v>0.125</v>
      </c>
      <c r="F22" s="232">
        <v>0.375</v>
      </c>
      <c r="G22" s="232">
        <v>0.875</v>
      </c>
      <c r="H22" s="237">
        <v>1.375</v>
      </c>
      <c r="I22" s="232">
        <v>1.25</v>
      </c>
      <c r="J22" s="232">
        <v>1.25</v>
      </c>
      <c r="K22" s="236">
        <v>1.25</v>
      </c>
      <c r="N22" s="636" t="s">
        <v>745</v>
      </c>
      <c r="O22" s="1179">
        <v>1.25</v>
      </c>
      <c r="P22" s="114">
        <v>1.25</v>
      </c>
      <c r="Q22" s="114">
        <v>1.25</v>
      </c>
      <c r="R22" s="114">
        <v>1.25</v>
      </c>
      <c r="S22" s="114">
        <v>1.25</v>
      </c>
      <c r="T22" s="130">
        <v>1.25</v>
      </c>
      <c r="U22" s="5"/>
    </row>
    <row r="23" spans="2:21" ht="19.5" customHeight="1" thickBot="1" x14ac:dyDescent="0.3">
      <c r="B23" s="238" t="s">
        <v>55</v>
      </c>
      <c r="C23" s="239">
        <v>0</v>
      </c>
      <c r="D23" s="240">
        <v>0</v>
      </c>
      <c r="E23" s="240">
        <v>0.25</v>
      </c>
      <c r="F23" s="240">
        <v>0.75</v>
      </c>
      <c r="G23" s="240">
        <v>1.25</v>
      </c>
      <c r="H23" s="241">
        <v>1.625</v>
      </c>
      <c r="I23" s="240">
        <v>1.5</v>
      </c>
      <c r="J23" s="240">
        <v>1.5</v>
      </c>
      <c r="K23" s="242">
        <v>1.5</v>
      </c>
      <c r="N23" s="473" t="s">
        <v>751</v>
      </c>
      <c r="O23" s="1180">
        <v>0.25</v>
      </c>
      <c r="P23" s="404">
        <v>0.25</v>
      </c>
      <c r="Q23" s="404">
        <v>-0.25</v>
      </c>
      <c r="R23" s="404">
        <v>0.25</v>
      </c>
      <c r="S23" s="404">
        <v>-0.25</v>
      </c>
      <c r="T23" s="405">
        <v>0.25</v>
      </c>
      <c r="U23" s="5"/>
    </row>
    <row r="24" spans="2:21" ht="19.5" customHeight="1" thickBot="1" x14ac:dyDescent="0.3">
      <c r="B24" s="238" t="s">
        <v>57</v>
      </c>
      <c r="C24" s="239">
        <v>0</v>
      </c>
      <c r="D24" s="240">
        <v>0</v>
      </c>
      <c r="E24" s="240">
        <v>0.375</v>
      </c>
      <c r="F24" s="240">
        <v>0.875</v>
      </c>
      <c r="G24" s="240">
        <v>1.375</v>
      </c>
      <c r="H24" s="241">
        <v>1.875</v>
      </c>
      <c r="I24" s="240">
        <v>1.75</v>
      </c>
      <c r="J24" s="240">
        <v>1.75</v>
      </c>
      <c r="K24" s="242">
        <v>1.625</v>
      </c>
      <c r="T24" s="38"/>
      <c r="U24" s="5"/>
    </row>
    <row r="25" spans="2:21" ht="19.5" customHeight="1" thickBot="1" x14ac:dyDescent="0.35">
      <c r="B25" s="238" t="s">
        <v>58</v>
      </c>
      <c r="C25" s="239">
        <v>0</v>
      </c>
      <c r="D25" s="240">
        <v>0</v>
      </c>
      <c r="E25" s="240">
        <v>0.625</v>
      </c>
      <c r="F25" s="240">
        <v>1.125</v>
      </c>
      <c r="G25" s="240">
        <v>1.75</v>
      </c>
      <c r="H25" s="241">
        <v>2.25</v>
      </c>
      <c r="I25" s="240">
        <v>2</v>
      </c>
      <c r="J25" s="240">
        <v>2</v>
      </c>
      <c r="K25" s="242">
        <v>1.875</v>
      </c>
      <c r="N25" s="1384" t="s">
        <v>747</v>
      </c>
      <c r="O25" s="1385"/>
      <c r="P25" s="1385"/>
      <c r="Q25" s="1385"/>
      <c r="R25" s="1385"/>
      <c r="S25" s="1385"/>
      <c r="T25" s="1386"/>
      <c r="U25" s="5"/>
    </row>
    <row r="26" spans="2:21" ht="19.5" customHeight="1" x14ac:dyDescent="0.25">
      <c r="B26" s="238" t="s">
        <v>73</v>
      </c>
      <c r="C26" s="239">
        <v>0.375</v>
      </c>
      <c r="D26" s="240">
        <v>0.375</v>
      </c>
      <c r="E26" s="240">
        <v>1.125</v>
      </c>
      <c r="F26" s="240">
        <v>1.75</v>
      </c>
      <c r="G26" s="240">
        <v>2.25</v>
      </c>
      <c r="H26" s="241">
        <v>2.5</v>
      </c>
      <c r="I26" s="240">
        <v>2.25</v>
      </c>
      <c r="J26" s="240">
        <v>2.25</v>
      </c>
      <c r="K26" s="242">
        <v>2</v>
      </c>
      <c r="N26" s="1175" t="s">
        <v>119</v>
      </c>
      <c r="O26" s="1176" t="s">
        <v>98</v>
      </c>
      <c r="P26" s="1177" t="s">
        <v>99</v>
      </c>
      <c r="Q26" s="1177" t="s">
        <v>100</v>
      </c>
      <c r="R26" s="1177" t="s">
        <v>101</v>
      </c>
      <c r="S26" s="1177" t="s">
        <v>102</v>
      </c>
      <c r="T26" s="1178" t="s">
        <v>103</v>
      </c>
      <c r="U26" s="5"/>
    </row>
    <row r="27" spans="2:21" ht="19.5" customHeight="1" x14ac:dyDescent="0.25">
      <c r="B27" s="238" t="s">
        <v>113</v>
      </c>
      <c r="C27" s="239">
        <v>0.5</v>
      </c>
      <c r="D27" s="240">
        <v>0.5</v>
      </c>
      <c r="E27" s="240">
        <v>1.625</v>
      </c>
      <c r="F27" s="240">
        <v>2</v>
      </c>
      <c r="G27" s="240">
        <v>2.75</v>
      </c>
      <c r="H27" s="241">
        <v>3</v>
      </c>
      <c r="I27" s="240">
        <v>2.5</v>
      </c>
      <c r="J27" s="240">
        <v>2.5</v>
      </c>
      <c r="K27" s="242">
        <v>2.25</v>
      </c>
      <c r="N27" s="636" t="s">
        <v>748</v>
      </c>
      <c r="O27" s="1179">
        <v>-0.375</v>
      </c>
      <c r="P27" s="114">
        <v>-0.375</v>
      </c>
      <c r="Q27" s="114">
        <v>-0.375</v>
      </c>
      <c r="R27" s="114">
        <v>0</v>
      </c>
      <c r="S27" s="114">
        <v>0</v>
      </c>
      <c r="T27" s="130">
        <v>0</v>
      </c>
      <c r="U27" s="5"/>
    </row>
    <row r="28" spans="2:21" ht="19.5" customHeight="1" thickBot="1" x14ac:dyDescent="0.3">
      <c r="B28" s="565" t="s">
        <v>115</v>
      </c>
      <c r="C28" s="566">
        <v>0.625</v>
      </c>
      <c r="D28" s="567">
        <v>0.75</v>
      </c>
      <c r="E28" s="567">
        <v>2.125</v>
      </c>
      <c r="F28" s="567">
        <v>2.75</v>
      </c>
      <c r="G28" s="567">
        <v>3.375</v>
      </c>
      <c r="H28" s="568">
        <v>3.5</v>
      </c>
      <c r="I28" s="567">
        <v>3.25</v>
      </c>
      <c r="J28" s="567">
        <v>2.875</v>
      </c>
      <c r="K28" s="569">
        <v>2.5</v>
      </c>
      <c r="L28" s="95"/>
      <c r="N28" s="473" t="s">
        <v>746</v>
      </c>
      <c r="O28" s="1180">
        <v>-0.375</v>
      </c>
      <c r="P28" s="404">
        <v>-0.375</v>
      </c>
      <c r="Q28" s="404">
        <v>0</v>
      </c>
      <c r="R28" s="404">
        <v>0</v>
      </c>
      <c r="S28" s="404">
        <v>0</v>
      </c>
      <c r="T28" s="405">
        <v>0</v>
      </c>
      <c r="U28" s="5"/>
    </row>
    <row r="29" spans="2:21" ht="24.75" customHeight="1" x14ac:dyDescent="0.3">
      <c r="B29" s="1351" t="s">
        <v>117</v>
      </c>
      <c r="C29" s="1352"/>
      <c r="D29" s="1352"/>
      <c r="E29" s="1352"/>
      <c r="F29" s="1352"/>
      <c r="G29" s="1352"/>
      <c r="H29" s="1352"/>
      <c r="I29" s="1352"/>
      <c r="J29" s="1352"/>
      <c r="K29" s="1353"/>
      <c r="T29" s="38"/>
      <c r="U29" s="5"/>
    </row>
    <row r="30" spans="2:21" ht="22.5" customHeight="1" x14ac:dyDescent="0.25">
      <c r="B30" s="570" t="s">
        <v>119</v>
      </c>
      <c r="C30" s="854" t="s">
        <v>98</v>
      </c>
      <c r="D30" s="855" t="s">
        <v>99</v>
      </c>
      <c r="E30" s="855" t="s">
        <v>100</v>
      </c>
      <c r="F30" s="855" t="s">
        <v>101</v>
      </c>
      <c r="G30" s="855" t="s">
        <v>102</v>
      </c>
      <c r="H30" s="855" t="s">
        <v>103</v>
      </c>
      <c r="I30" s="856" t="s">
        <v>104</v>
      </c>
      <c r="J30" s="856" t="s">
        <v>105</v>
      </c>
      <c r="K30" s="857" t="s">
        <v>106</v>
      </c>
      <c r="N30" s="850"/>
      <c r="O30" s="114"/>
      <c r="P30" s="114"/>
      <c r="Q30" s="114"/>
      <c r="R30" s="114"/>
      <c r="S30" s="114"/>
      <c r="T30" s="130"/>
      <c r="U30" s="5"/>
    </row>
    <row r="31" spans="2:21" ht="19.5" customHeight="1" x14ac:dyDescent="0.25">
      <c r="B31" s="248" t="s">
        <v>121</v>
      </c>
      <c r="C31" s="1065">
        <v>0</v>
      </c>
      <c r="D31" s="1015">
        <v>0</v>
      </c>
      <c r="E31" s="1015">
        <v>0</v>
      </c>
      <c r="F31" s="1015">
        <v>0</v>
      </c>
      <c r="G31" s="1015">
        <v>0</v>
      </c>
      <c r="H31" s="1015">
        <v>0</v>
      </c>
      <c r="I31" s="1015">
        <v>0</v>
      </c>
      <c r="J31" s="1015">
        <v>0.25</v>
      </c>
      <c r="K31" s="933" t="s">
        <v>56</v>
      </c>
      <c r="T31" s="38"/>
      <c r="U31" s="5"/>
    </row>
    <row r="32" spans="2:21" ht="19.5" customHeight="1" thickBot="1" x14ac:dyDescent="0.3">
      <c r="B32" s="248" t="s">
        <v>123</v>
      </c>
      <c r="C32" s="1065">
        <v>0</v>
      </c>
      <c r="D32" s="1015">
        <v>0</v>
      </c>
      <c r="E32" s="1015">
        <v>0.125</v>
      </c>
      <c r="F32" s="1015">
        <v>0.125</v>
      </c>
      <c r="G32" s="1015">
        <v>0.75</v>
      </c>
      <c r="H32" s="1015">
        <v>0.75</v>
      </c>
      <c r="I32" s="1015">
        <v>0.75</v>
      </c>
      <c r="J32" s="1015">
        <v>0.75</v>
      </c>
      <c r="K32" s="933">
        <v>0.75</v>
      </c>
      <c r="T32" s="38"/>
      <c r="U32" s="5"/>
    </row>
    <row r="33" spans="2:21" ht="19.5" customHeight="1" x14ac:dyDescent="0.25">
      <c r="B33" s="249" t="s">
        <v>79</v>
      </c>
      <c r="C33" s="250">
        <v>0</v>
      </c>
      <c r="D33" s="251">
        <v>0</v>
      </c>
      <c r="E33" s="251">
        <v>0.375</v>
      </c>
      <c r="F33" s="251">
        <v>0.375</v>
      </c>
      <c r="G33" s="251">
        <v>0.625</v>
      </c>
      <c r="H33" s="251">
        <v>0.625</v>
      </c>
      <c r="I33" s="1015">
        <v>0.875</v>
      </c>
      <c r="J33" s="1015">
        <v>0.875</v>
      </c>
      <c r="K33" s="933" t="s">
        <v>56</v>
      </c>
      <c r="O33" s="1396" t="s">
        <v>96</v>
      </c>
      <c r="P33" s="1397"/>
      <c r="Q33" s="1397"/>
      <c r="R33" s="1397"/>
      <c r="S33" s="1398"/>
      <c r="T33" s="38"/>
      <c r="U33" s="5"/>
    </row>
    <row r="34" spans="2:21" ht="19.5" customHeight="1" x14ac:dyDescent="0.25">
      <c r="B34" s="248" t="s">
        <v>125</v>
      </c>
      <c r="C34" s="181">
        <v>1.125</v>
      </c>
      <c r="D34" s="181">
        <v>1.125</v>
      </c>
      <c r="E34" s="1015">
        <v>1.625</v>
      </c>
      <c r="F34" s="1015">
        <v>2.125</v>
      </c>
      <c r="G34" s="1015">
        <v>3.375</v>
      </c>
      <c r="H34" s="1015">
        <v>4.125</v>
      </c>
      <c r="I34" s="1015" t="s">
        <v>56</v>
      </c>
      <c r="J34" s="1015" t="s">
        <v>56</v>
      </c>
      <c r="K34" s="933" t="s">
        <v>56</v>
      </c>
      <c r="O34" s="1348" t="s">
        <v>107</v>
      </c>
      <c r="P34" s="1349"/>
      <c r="Q34" s="1349"/>
      <c r="R34" s="1349"/>
      <c r="S34" s="1350"/>
      <c r="T34" s="38"/>
      <c r="U34" s="5"/>
    </row>
    <row r="35" spans="2:21" ht="19.5" customHeight="1" x14ac:dyDescent="0.25">
      <c r="B35" s="248" t="s">
        <v>22</v>
      </c>
      <c r="C35" s="1065">
        <v>1.125</v>
      </c>
      <c r="D35" s="1015">
        <v>1.125</v>
      </c>
      <c r="E35" s="1015">
        <v>1.625</v>
      </c>
      <c r="F35" s="1015">
        <v>2.125</v>
      </c>
      <c r="G35" s="1015">
        <v>3.375</v>
      </c>
      <c r="H35" s="1015">
        <v>4.125</v>
      </c>
      <c r="I35" s="1015">
        <v>4.125</v>
      </c>
      <c r="J35" s="1015" t="s">
        <v>56</v>
      </c>
      <c r="K35" s="933" t="s">
        <v>56</v>
      </c>
      <c r="O35" s="73" t="s">
        <v>109</v>
      </c>
      <c r="P35" s="421"/>
      <c r="R35" s="27"/>
      <c r="S35" s="74">
        <v>0</v>
      </c>
      <c r="T35" s="38"/>
      <c r="U35" s="5"/>
    </row>
    <row r="36" spans="2:21" ht="19.5" customHeight="1" x14ac:dyDescent="0.25">
      <c r="B36" s="248" t="s">
        <v>131</v>
      </c>
      <c r="C36" s="1065">
        <v>0.625</v>
      </c>
      <c r="D36" s="1015">
        <v>0.625</v>
      </c>
      <c r="E36" s="1015">
        <v>0.625</v>
      </c>
      <c r="F36" s="1015">
        <v>0.875</v>
      </c>
      <c r="G36" s="1015">
        <v>1.125</v>
      </c>
      <c r="H36" s="1015">
        <v>1.125</v>
      </c>
      <c r="I36" s="1015">
        <v>1.125</v>
      </c>
      <c r="J36" s="1015">
        <v>1.875</v>
      </c>
      <c r="K36" s="933">
        <v>1.875</v>
      </c>
      <c r="O36" s="75" t="s">
        <v>111</v>
      </c>
      <c r="P36" s="422"/>
      <c r="R36" s="27"/>
      <c r="S36" s="74">
        <v>0.25</v>
      </c>
      <c r="T36" s="38"/>
      <c r="U36" s="5"/>
    </row>
    <row r="37" spans="2:21" ht="19.5" customHeight="1" thickBot="1" x14ac:dyDescent="0.3">
      <c r="B37" s="248" t="s">
        <v>132</v>
      </c>
      <c r="C37" s="1065">
        <v>0.5</v>
      </c>
      <c r="D37" s="1015">
        <v>0.5</v>
      </c>
      <c r="E37" s="1015">
        <v>0.75</v>
      </c>
      <c r="F37" s="1015">
        <v>0.75</v>
      </c>
      <c r="G37" s="1015">
        <v>1</v>
      </c>
      <c r="H37" s="1015">
        <v>1</v>
      </c>
      <c r="I37" s="1015">
        <v>1</v>
      </c>
      <c r="J37" s="1015">
        <v>1</v>
      </c>
      <c r="K37" s="933">
        <v>1</v>
      </c>
      <c r="N37" s="27"/>
      <c r="O37" s="76" t="s">
        <v>112</v>
      </c>
      <c r="P37" s="77"/>
      <c r="Q37" s="14"/>
      <c r="R37" s="78"/>
      <c r="S37" s="79">
        <v>0.5</v>
      </c>
      <c r="T37" s="94"/>
      <c r="U37" s="5"/>
    </row>
    <row r="38" spans="2:21" ht="19.5" customHeight="1" thickBot="1" x14ac:dyDescent="0.3">
      <c r="B38" s="253" t="s">
        <v>133</v>
      </c>
      <c r="C38" s="937">
        <v>1.25</v>
      </c>
      <c r="D38" s="938">
        <v>1.25</v>
      </c>
      <c r="E38" s="938">
        <v>1.5</v>
      </c>
      <c r="F38" s="938">
        <v>1.5</v>
      </c>
      <c r="G38" s="938">
        <v>2.5</v>
      </c>
      <c r="H38" s="938">
        <v>2.5</v>
      </c>
      <c r="I38" s="938">
        <v>2.5</v>
      </c>
      <c r="J38" s="938">
        <v>2.75</v>
      </c>
      <c r="K38" s="934" t="s">
        <v>56</v>
      </c>
      <c r="Q38" s="392"/>
      <c r="R38" s="392"/>
      <c r="S38" s="392"/>
      <c r="T38" s="1066"/>
      <c r="U38" s="5"/>
    </row>
    <row r="39" spans="2:21" ht="19.5" customHeight="1" thickBot="1" x14ac:dyDescent="0.3">
      <c r="B39" s="253" t="s">
        <v>666</v>
      </c>
      <c r="C39" s="928">
        <v>0.25</v>
      </c>
      <c r="D39" s="929">
        <v>0.25</v>
      </c>
      <c r="E39" s="930">
        <v>0.25</v>
      </c>
      <c r="F39" s="929">
        <v>0.375</v>
      </c>
      <c r="G39" s="929">
        <v>0.375</v>
      </c>
      <c r="H39" s="929">
        <v>0.5</v>
      </c>
      <c r="I39" s="929">
        <v>0.5</v>
      </c>
      <c r="J39" s="929">
        <v>0.5</v>
      </c>
      <c r="K39" s="931">
        <v>0.5</v>
      </c>
      <c r="Q39" s="224"/>
      <c r="R39" s="224"/>
      <c r="S39" s="224"/>
      <c r="T39" s="119"/>
      <c r="U39" s="5"/>
    </row>
    <row r="40" spans="2:21" ht="24" customHeight="1" x14ac:dyDescent="0.3">
      <c r="B40" s="1357" t="s">
        <v>135</v>
      </c>
      <c r="C40" s="1358"/>
      <c r="D40" s="1358"/>
      <c r="E40" s="1358"/>
      <c r="F40" s="1358"/>
      <c r="G40" s="1358"/>
      <c r="H40" s="1358"/>
      <c r="I40" s="1358"/>
      <c r="J40" s="1358"/>
      <c r="K40" s="1359"/>
      <c r="L40" s="125"/>
      <c r="M40" s="126"/>
      <c r="N40" s="1354" t="s">
        <v>114</v>
      </c>
      <c r="O40" s="1355"/>
      <c r="P40" s="1355"/>
      <c r="Q40" s="1355"/>
      <c r="R40" s="1355"/>
      <c r="S40" s="1355"/>
      <c r="T40" s="1356"/>
      <c r="U40" s="5"/>
    </row>
    <row r="41" spans="2:21" ht="22.5" customHeight="1" x14ac:dyDescent="0.25">
      <c r="B41" s="570" t="s">
        <v>97</v>
      </c>
      <c r="C41" s="854" t="s">
        <v>98</v>
      </c>
      <c r="D41" s="855" t="s">
        <v>99</v>
      </c>
      <c r="E41" s="855" t="s">
        <v>100</v>
      </c>
      <c r="F41" s="855" t="s">
        <v>101</v>
      </c>
      <c r="G41" s="855" t="s">
        <v>102</v>
      </c>
      <c r="H41" s="855" t="s">
        <v>103</v>
      </c>
      <c r="I41" s="856" t="s">
        <v>104</v>
      </c>
      <c r="J41" s="856" t="s">
        <v>105</v>
      </c>
      <c r="K41" s="857" t="s">
        <v>106</v>
      </c>
      <c r="N41" s="97" t="s">
        <v>116</v>
      </c>
      <c r="O41" s="571"/>
      <c r="P41" s="27"/>
      <c r="Q41" s="27"/>
      <c r="R41" s="27"/>
      <c r="S41" s="27"/>
      <c r="T41" s="74">
        <v>1.5</v>
      </c>
      <c r="U41" s="5"/>
    </row>
    <row r="42" spans="2:21" ht="19.5" customHeight="1" x14ac:dyDescent="0.25">
      <c r="B42" s="229" t="s">
        <v>108</v>
      </c>
      <c r="C42" s="230">
        <v>0</v>
      </c>
      <c r="D42" s="231">
        <v>0</v>
      </c>
      <c r="E42" s="231">
        <v>0</v>
      </c>
      <c r="F42" s="231">
        <v>0.125</v>
      </c>
      <c r="G42" s="231">
        <v>0.5</v>
      </c>
      <c r="H42" s="1181">
        <v>1</v>
      </c>
      <c r="I42" s="231">
        <v>1</v>
      </c>
      <c r="J42" s="231">
        <v>1</v>
      </c>
      <c r="K42" s="233">
        <v>1.125</v>
      </c>
      <c r="N42" s="97" t="s">
        <v>118</v>
      </c>
      <c r="O42" s="571"/>
      <c r="P42" s="27"/>
      <c r="Q42" s="27"/>
      <c r="R42" s="27"/>
      <c r="S42" s="27"/>
      <c r="T42" s="74">
        <v>0.75</v>
      </c>
      <c r="U42" s="5"/>
    </row>
    <row r="43" spans="2:21" ht="19.5" customHeight="1" x14ac:dyDescent="0.25">
      <c r="B43" s="234" t="s">
        <v>110</v>
      </c>
      <c r="C43" s="235">
        <v>0</v>
      </c>
      <c r="D43" s="232">
        <v>0</v>
      </c>
      <c r="E43" s="232">
        <v>0</v>
      </c>
      <c r="F43" s="232">
        <v>0.125</v>
      </c>
      <c r="G43" s="232">
        <v>0.5</v>
      </c>
      <c r="H43" s="237">
        <v>1</v>
      </c>
      <c r="I43" s="232">
        <v>1</v>
      </c>
      <c r="J43" s="232">
        <v>1</v>
      </c>
      <c r="K43" s="236">
        <v>1.125</v>
      </c>
      <c r="N43" s="97" t="s">
        <v>120</v>
      </c>
      <c r="O43" s="571"/>
      <c r="P43" s="27"/>
      <c r="Q43" s="27"/>
      <c r="R43" s="27"/>
      <c r="S43" s="27"/>
      <c r="T43" s="74">
        <v>0.125</v>
      </c>
      <c r="U43" s="5"/>
    </row>
    <row r="44" spans="2:21" ht="19.5" customHeight="1" x14ac:dyDescent="0.25">
      <c r="B44" s="234" t="s">
        <v>53</v>
      </c>
      <c r="C44" s="235">
        <v>0</v>
      </c>
      <c r="D44" s="232">
        <v>0</v>
      </c>
      <c r="E44" s="232">
        <v>0.125</v>
      </c>
      <c r="F44" s="232">
        <v>0.375</v>
      </c>
      <c r="G44" s="232">
        <v>0.875</v>
      </c>
      <c r="H44" s="237">
        <v>1.375</v>
      </c>
      <c r="I44" s="232">
        <v>1.25</v>
      </c>
      <c r="J44" s="232">
        <v>1.25</v>
      </c>
      <c r="K44" s="236">
        <v>1.375</v>
      </c>
      <c r="N44" s="263" t="s">
        <v>122</v>
      </c>
      <c r="O44" s="27"/>
      <c r="P44" s="27"/>
      <c r="Q44" s="27"/>
      <c r="R44" s="27"/>
      <c r="S44" s="27"/>
      <c r="T44" s="94">
        <v>0.125</v>
      </c>
      <c r="U44" s="34"/>
    </row>
    <row r="45" spans="2:21" ht="19.5" customHeight="1" x14ac:dyDescent="0.25">
      <c r="B45" s="234" t="s">
        <v>54</v>
      </c>
      <c r="C45" s="235">
        <v>0</v>
      </c>
      <c r="D45" s="232">
        <v>0</v>
      </c>
      <c r="E45" s="232">
        <v>0.25</v>
      </c>
      <c r="F45" s="232">
        <v>0.75</v>
      </c>
      <c r="G45" s="232">
        <v>1.125</v>
      </c>
      <c r="H45" s="237">
        <v>1.75</v>
      </c>
      <c r="I45" s="232">
        <v>1.625</v>
      </c>
      <c r="J45" s="232">
        <v>1.625</v>
      </c>
      <c r="K45" s="236">
        <v>1.75</v>
      </c>
      <c r="N45" s="97" t="s">
        <v>258</v>
      </c>
      <c r="O45" s="27"/>
      <c r="P45" s="27"/>
      <c r="Q45" s="27"/>
      <c r="R45" s="27"/>
      <c r="S45" s="27"/>
      <c r="T45" s="94">
        <v>0.25</v>
      </c>
      <c r="U45" s="34"/>
    </row>
    <row r="46" spans="2:21" ht="19.5" customHeight="1" thickBot="1" x14ac:dyDescent="0.3">
      <c r="B46" s="238" t="s">
        <v>55</v>
      </c>
      <c r="C46" s="239">
        <v>0</v>
      </c>
      <c r="D46" s="240">
        <v>0</v>
      </c>
      <c r="E46" s="240">
        <v>0.5</v>
      </c>
      <c r="F46" s="240">
        <v>1</v>
      </c>
      <c r="G46" s="240">
        <v>1.625</v>
      </c>
      <c r="H46" s="241">
        <v>2.125</v>
      </c>
      <c r="I46" s="240">
        <v>2</v>
      </c>
      <c r="J46" s="240">
        <v>1.875</v>
      </c>
      <c r="K46" s="242">
        <v>2</v>
      </c>
      <c r="N46" s="96" t="s">
        <v>124</v>
      </c>
      <c r="O46" s="78"/>
      <c r="P46" s="78"/>
      <c r="Q46" s="78"/>
      <c r="R46" s="78"/>
      <c r="S46" s="78"/>
      <c r="T46" s="256">
        <v>0.25</v>
      </c>
      <c r="U46" s="5"/>
    </row>
    <row r="47" spans="2:21" ht="19.5" customHeight="1" x14ac:dyDescent="0.25">
      <c r="B47" s="238" t="s">
        <v>57</v>
      </c>
      <c r="C47" s="239">
        <v>0</v>
      </c>
      <c r="D47" s="240">
        <v>0</v>
      </c>
      <c r="E47" s="240">
        <v>0.625</v>
      </c>
      <c r="F47" s="240">
        <v>1.25</v>
      </c>
      <c r="G47" s="240">
        <v>1.875</v>
      </c>
      <c r="H47" s="241">
        <v>2.5</v>
      </c>
      <c r="I47" s="240">
        <v>2.25</v>
      </c>
      <c r="J47" s="240">
        <v>2.25</v>
      </c>
      <c r="K47" s="242">
        <v>2.375</v>
      </c>
      <c r="T47" s="38"/>
      <c r="U47" s="5"/>
    </row>
    <row r="48" spans="2:21" ht="19.5" customHeight="1" x14ac:dyDescent="0.25">
      <c r="B48" s="238" t="s">
        <v>58</v>
      </c>
      <c r="C48" s="239">
        <v>0</v>
      </c>
      <c r="D48" s="240">
        <v>0</v>
      </c>
      <c r="E48" s="240">
        <v>0.875</v>
      </c>
      <c r="F48" s="240">
        <v>1.625</v>
      </c>
      <c r="G48" s="240">
        <v>2.25</v>
      </c>
      <c r="H48" s="241">
        <v>2.875</v>
      </c>
      <c r="I48" s="240">
        <v>2.625</v>
      </c>
      <c r="J48" s="240">
        <v>2.375</v>
      </c>
      <c r="K48" s="242">
        <v>2.5</v>
      </c>
      <c r="T48" s="38"/>
      <c r="U48" s="5"/>
    </row>
    <row r="49" spans="2:31" ht="19.5" customHeight="1" thickBot="1" x14ac:dyDescent="0.3">
      <c r="B49" s="238" t="s">
        <v>73</v>
      </c>
      <c r="C49" s="239">
        <v>0.375</v>
      </c>
      <c r="D49" s="240">
        <v>0.5</v>
      </c>
      <c r="E49" s="240">
        <v>1.5</v>
      </c>
      <c r="F49" s="240">
        <v>2.25</v>
      </c>
      <c r="G49" s="240">
        <v>2.875</v>
      </c>
      <c r="H49" s="241">
        <v>3.375</v>
      </c>
      <c r="I49" s="240">
        <v>2.875</v>
      </c>
      <c r="J49" s="240">
        <v>2.75</v>
      </c>
      <c r="K49" s="242">
        <v>2.875</v>
      </c>
      <c r="T49" s="38"/>
      <c r="U49" s="5"/>
    </row>
    <row r="50" spans="2:31" ht="19.5" customHeight="1" thickBot="1" x14ac:dyDescent="0.3">
      <c r="B50" s="238" t="s">
        <v>113</v>
      </c>
      <c r="C50" s="239">
        <v>0.5</v>
      </c>
      <c r="D50" s="240">
        <v>0.75</v>
      </c>
      <c r="E50" s="240">
        <v>1.875</v>
      </c>
      <c r="F50" s="240">
        <v>2.625</v>
      </c>
      <c r="G50" s="240">
        <v>3.375</v>
      </c>
      <c r="H50" s="241">
        <v>3.875</v>
      </c>
      <c r="I50" s="240">
        <v>3.375</v>
      </c>
      <c r="J50" s="240">
        <v>3.125</v>
      </c>
      <c r="K50" s="242">
        <v>3.25</v>
      </c>
      <c r="N50" s="598" t="s">
        <v>126</v>
      </c>
      <c r="O50" s="599"/>
      <c r="P50" s="599"/>
      <c r="Q50" s="599"/>
      <c r="R50" s="600"/>
      <c r="S50" s="601" t="s">
        <v>127</v>
      </c>
      <c r="T50" s="602" t="s">
        <v>128</v>
      </c>
      <c r="U50" s="5"/>
    </row>
    <row r="51" spans="2:31" ht="19.5" customHeight="1" thickBot="1" x14ac:dyDescent="0.3">
      <c r="B51" s="243" t="s">
        <v>115</v>
      </c>
      <c r="C51" s="244">
        <v>0.625</v>
      </c>
      <c r="D51" s="245">
        <v>1</v>
      </c>
      <c r="E51" s="245">
        <v>2.375</v>
      </c>
      <c r="F51" s="245">
        <v>3.125</v>
      </c>
      <c r="G51" s="245">
        <v>4.125</v>
      </c>
      <c r="H51" s="246">
        <v>4.5</v>
      </c>
      <c r="I51" s="245">
        <v>4.25</v>
      </c>
      <c r="J51" s="245">
        <v>3.125</v>
      </c>
      <c r="K51" s="247">
        <v>3.25</v>
      </c>
      <c r="N51" s="410" t="s">
        <v>129</v>
      </c>
      <c r="O51" s="595" t="s">
        <v>130</v>
      </c>
      <c r="P51" s="411"/>
      <c r="Q51" s="78"/>
      <c r="R51" s="78"/>
      <c r="S51" s="596">
        <v>-0.125</v>
      </c>
      <c r="T51" s="597">
        <v>-0.125</v>
      </c>
      <c r="U51" s="5"/>
    </row>
    <row r="52" spans="2:31" ht="24" customHeight="1" thickTop="1" thickBot="1" x14ac:dyDescent="0.35">
      <c r="B52" s="1326" t="s">
        <v>138</v>
      </c>
      <c r="C52" s="1327"/>
      <c r="D52" s="1327"/>
      <c r="E52" s="1327"/>
      <c r="F52" s="1327"/>
      <c r="G52" s="1327"/>
      <c r="H52" s="1327"/>
      <c r="I52" s="1327"/>
      <c r="J52" s="1327"/>
      <c r="K52" s="1328"/>
      <c r="T52" s="38"/>
      <c r="U52" s="5"/>
    </row>
    <row r="53" spans="2:31" ht="19.5" customHeight="1" x14ac:dyDescent="0.25">
      <c r="B53" s="570" t="s">
        <v>119</v>
      </c>
      <c r="C53" s="854" t="s">
        <v>98</v>
      </c>
      <c r="D53" s="855" t="s">
        <v>99</v>
      </c>
      <c r="E53" s="855" t="s">
        <v>100</v>
      </c>
      <c r="F53" s="855" t="s">
        <v>101</v>
      </c>
      <c r="G53" s="855" t="s">
        <v>102</v>
      </c>
      <c r="H53" s="855" t="s">
        <v>103</v>
      </c>
      <c r="I53" s="856" t="s">
        <v>104</v>
      </c>
      <c r="J53" s="856" t="s">
        <v>105</v>
      </c>
      <c r="K53" s="857" t="s">
        <v>106</v>
      </c>
      <c r="L53" s="8"/>
      <c r="M53" s="8"/>
      <c r="N53" s="1399" t="s">
        <v>298</v>
      </c>
      <c r="O53" s="1400"/>
      <c r="P53" s="1400"/>
      <c r="Q53" s="1400"/>
      <c r="R53" s="1400"/>
      <c r="S53" s="1400"/>
      <c r="T53" s="1401"/>
      <c r="U53" s="5"/>
    </row>
    <row r="54" spans="2:31" ht="19.5" customHeight="1" x14ac:dyDescent="0.25">
      <c r="B54" s="248" t="s">
        <v>121</v>
      </c>
      <c r="C54" s="1065">
        <v>0</v>
      </c>
      <c r="D54" s="1015">
        <v>0</v>
      </c>
      <c r="E54" s="1015">
        <v>0</v>
      </c>
      <c r="F54" s="1015">
        <v>0</v>
      </c>
      <c r="G54" s="1015">
        <v>0</v>
      </c>
      <c r="H54" s="1015">
        <v>0</v>
      </c>
      <c r="I54" s="1015">
        <v>0</v>
      </c>
      <c r="J54" s="1015">
        <v>0.25</v>
      </c>
      <c r="K54" s="933" t="s">
        <v>56</v>
      </c>
      <c r="L54" s="8"/>
      <c r="M54" s="8"/>
      <c r="N54" s="1336" t="s">
        <v>299</v>
      </c>
      <c r="O54" s="1337"/>
      <c r="P54" s="1337"/>
      <c r="Q54" s="1337"/>
      <c r="R54" s="1337"/>
      <c r="S54" s="1337"/>
      <c r="T54" s="1338"/>
      <c r="U54" s="5"/>
    </row>
    <row r="55" spans="2:31" ht="19.5" customHeight="1" x14ac:dyDescent="0.25">
      <c r="B55" s="248" t="s">
        <v>123</v>
      </c>
      <c r="C55" s="1065">
        <v>0</v>
      </c>
      <c r="D55" s="1015">
        <v>0</v>
      </c>
      <c r="E55" s="1015">
        <v>0.125</v>
      </c>
      <c r="F55" s="1015">
        <v>0.125</v>
      </c>
      <c r="G55" s="1015">
        <v>0.75</v>
      </c>
      <c r="H55" s="1015">
        <v>0.75</v>
      </c>
      <c r="I55" s="1015">
        <v>0.75</v>
      </c>
      <c r="J55" s="1015">
        <v>0.75</v>
      </c>
      <c r="K55" s="933">
        <v>0.75</v>
      </c>
      <c r="L55" s="8"/>
      <c r="M55" s="8"/>
      <c r="N55" s="1336" t="s">
        <v>451</v>
      </c>
      <c r="O55" s="1337"/>
      <c r="P55" s="1337"/>
      <c r="Q55" s="1337"/>
      <c r="R55" s="1337"/>
      <c r="S55" s="1337"/>
      <c r="T55" s="1338"/>
      <c r="U55" s="5"/>
      <c r="Z55" s="1067"/>
      <c r="AA55" s="1067"/>
      <c r="AB55" s="1067"/>
      <c r="AC55" s="1067"/>
      <c r="AD55" s="1067"/>
      <c r="AE55" s="1067"/>
    </row>
    <row r="56" spans="2:31" ht="19.5" customHeight="1" x14ac:dyDescent="0.25">
      <c r="B56" s="249" t="s">
        <v>79</v>
      </c>
      <c r="C56" s="250">
        <v>0</v>
      </c>
      <c r="D56" s="251">
        <v>0</v>
      </c>
      <c r="E56" s="251">
        <v>0.375</v>
      </c>
      <c r="F56" s="251">
        <v>0.375</v>
      </c>
      <c r="G56" s="251">
        <v>0.625</v>
      </c>
      <c r="H56" s="251">
        <v>0.625</v>
      </c>
      <c r="I56" s="1015">
        <v>0.875</v>
      </c>
      <c r="J56" s="1015">
        <v>0.875</v>
      </c>
      <c r="K56" s="933" t="s">
        <v>56</v>
      </c>
      <c r="L56" s="8"/>
      <c r="M56" s="8"/>
      <c r="N56" s="1336" t="s">
        <v>448</v>
      </c>
      <c r="O56" s="1337"/>
      <c r="P56" s="1337"/>
      <c r="Q56" s="1337"/>
      <c r="R56" s="1337"/>
      <c r="S56" s="1337"/>
      <c r="T56" s="1338"/>
      <c r="U56" s="5"/>
      <c r="Z56" s="1065"/>
      <c r="AA56" s="1015"/>
      <c r="AB56" s="1015"/>
      <c r="AC56" s="1015"/>
      <c r="AD56" s="1015"/>
      <c r="AE56" s="1015"/>
    </row>
    <row r="57" spans="2:31" ht="19.5" customHeight="1" thickBot="1" x14ac:dyDescent="0.3">
      <c r="B57" s="248" t="s">
        <v>125</v>
      </c>
      <c r="C57" s="181">
        <v>1.125</v>
      </c>
      <c r="D57" s="181">
        <v>1.125</v>
      </c>
      <c r="E57" s="1015">
        <v>1.625</v>
      </c>
      <c r="F57" s="1015">
        <v>2.125</v>
      </c>
      <c r="G57" s="1015">
        <v>3.375</v>
      </c>
      <c r="H57" s="1015">
        <v>4.125</v>
      </c>
      <c r="I57" s="1015" t="s">
        <v>56</v>
      </c>
      <c r="J57" s="1015" t="s">
        <v>56</v>
      </c>
      <c r="K57" s="933" t="s">
        <v>56</v>
      </c>
      <c r="L57" s="8"/>
      <c r="M57" s="8"/>
      <c r="N57" s="262"/>
      <c r="O57" s="178"/>
      <c r="P57" s="178"/>
      <c r="Q57" s="178"/>
      <c r="R57" s="178"/>
      <c r="S57" s="178"/>
      <c r="T57" s="320"/>
      <c r="U57" s="5"/>
    </row>
    <row r="58" spans="2:31" ht="19.5" customHeight="1" thickBot="1" x14ac:dyDescent="0.3">
      <c r="B58" s="248" t="s">
        <v>22</v>
      </c>
      <c r="C58" s="1065">
        <v>1.125</v>
      </c>
      <c r="D58" s="1015">
        <v>1.125</v>
      </c>
      <c r="E58" s="1015">
        <v>1.625</v>
      </c>
      <c r="F58" s="1015">
        <v>2.125</v>
      </c>
      <c r="G58" s="1015">
        <v>3.375</v>
      </c>
      <c r="H58" s="1015">
        <v>4.125</v>
      </c>
      <c r="I58" s="1015">
        <v>4.125</v>
      </c>
      <c r="J58" s="1015" t="s">
        <v>56</v>
      </c>
      <c r="K58" s="933" t="s">
        <v>56</v>
      </c>
      <c r="L58" s="8"/>
      <c r="M58" s="8"/>
      <c r="T58" s="38"/>
      <c r="U58" s="5"/>
    </row>
    <row r="59" spans="2:31" ht="19.5" customHeight="1" x14ac:dyDescent="0.25">
      <c r="B59" s="248" t="s">
        <v>131</v>
      </c>
      <c r="C59" s="1065">
        <v>0.625</v>
      </c>
      <c r="D59" s="1015">
        <v>0.625</v>
      </c>
      <c r="E59" s="1015">
        <v>0.625</v>
      </c>
      <c r="F59" s="1015">
        <v>0.875</v>
      </c>
      <c r="G59" s="1015">
        <v>1.125</v>
      </c>
      <c r="H59" s="1015">
        <v>1.125</v>
      </c>
      <c r="I59" s="1015">
        <v>1.125</v>
      </c>
      <c r="J59" s="1015">
        <v>1.875</v>
      </c>
      <c r="K59" s="933">
        <v>1.875</v>
      </c>
      <c r="L59" s="8"/>
      <c r="M59" s="8"/>
      <c r="P59" s="1354" t="s">
        <v>417</v>
      </c>
      <c r="Q59" s="1355"/>
      <c r="R59" s="1356"/>
      <c r="T59" s="38"/>
      <c r="U59" s="5"/>
    </row>
    <row r="60" spans="2:31" ht="19.5" customHeight="1" x14ac:dyDescent="0.25">
      <c r="B60" s="248" t="s">
        <v>132</v>
      </c>
      <c r="C60" s="1065">
        <v>0.5</v>
      </c>
      <c r="D60" s="1015">
        <v>0.5</v>
      </c>
      <c r="E60" s="1015">
        <v>0.75</v>
      </c>
      <c r="F60" s="1015">
        <v>0.75</v>
      </c>
      <c r="G60" s="1015">
        <v>1</v>
      </c>
      <c r="H60" s="1015">
        <v>1</v>
      </c>
      <c r="I60" s="1015">
        <v>1</v>
      </c>
      <c r="J60" s="1015">
        <v>1</v>
      </c>
      <c r="K60" s="933" t="s">
        <v>56</v>
      </c>
      <c r="L60" s="8"/>
      <c r="M60" s="8"/>
      <c r="P60" s="1309" t="s">
        <v>414</v>
      </c>
      <c r="Q60" s="1315"/>
      <c r="R60" s="1310"/>
      <c r="T60" s="38"/>
      <c r="U60" s="5"/>
    </row>
    <row r="61" spans="2:31" ht="19.5" customHeight="1" thickBot="1" x14ac:dyDescent="0.3">
      <c r="B61" s="253" t="s">
        <v>133</v>
      </c>
      <c r="C61" s="937">
        <v>1.25</v>
      </c>
      <c r="D61" s="938">
        <v>1.25</v>
      </c>
      <c r="E61" s="938">
        <v>1.5</v>
      </c>
      <c r="F61" s="938">
        <v>1.5</v>
      </c>
      <c r="G61" s="938">
        <v>2.5</v>
      </c>
      <c r="H61" s="938">
        <v>2.5</v>
      </c>
      <c r="I61" s="938">
        <v>2.5</v>
      </c>
      <c r="J61" s="938">
        <v>2.75</v>
      </c>
      <c r="K61" s="934" t="s">
        <v>56</v>
      </c>
      <c r="L61" s="8"/>
      <c r="M61" s="8"/>
      <c r="P61" s="1309" t="s">
        <v>415</v>
      </c>
      <c r="Q61" s="1315"/>
      <c r="R61" s="1310"/>
      <c r="T61" s="38"/>
      <c r="U61" s="5"/>
    </row>
    <row r="62" spans="2:31" ht="17.25" thickBot="1" x14ac:dyDescent="0.3">
      <c r="B62" s="253" t="s">
        <v>666</v>
      </c>
      <c r="C62" s="928">
        <v>0.25</v>
      </c>
      <c r="D62" s="929">
        <v>0.25</v>
      </c>
      <c r="E62" s="930">
        <v>0.25</v>
      </c>
      <c r="F62" s="929">
        <v>0.375</v>
      </c>
      <c r="G62" s="929">
        <v>0.375</v>
      </c>
      <c r="H62" s="929">
        <v>0.5</v>
      </c>
      <c r="I62" s="929">
        <v>0.5</v>
      </c>
      <c r="J62" s="929">
        <v>0.5</v>
      </c>
      <c r="K62" s="931">
        <v>0.5</v>
      </c>
      <c r="L62" s="8"/>
      <c r="M62" s="8"/>
      <c r="N62" s="27"/>
      <c r="O62" s="27"/>
      <c r="P62" s="1323" t="s">
        <v>416</v>
      </c>
      <c r="Q62" s="1324"/>
      <c r="R62" s="1325"/>
      <c r="S62" s="27"/>
      <c r="T62" s="108"/>
      <c r="U62" s="5"/>
    </row>
    <row r="63" spans="2:31" ht="24" customHeight="1" thickBot="1" x14ac:dyDescent="0.35">
      <c r="B63" s="1332" t="s">
        <v>139</v>
      </c>
      <c r="C63" s="1333"/>
      <c r="D63" s="1333"/>
      <c r="E63" s="1333"/>
      <c r="F63" s="1333"/>
      <c r="G63" s="1333"/>
      <c r="H63" s="1333"/>
      <c r="I63" s="1333"/>
      <c r="J63" s="1333"/>
      <c r="K63" s="1334"/>
      <c r="L63" s="8"/>
      <c r="M63" s="8"/>
      <c r="T63" s="38"/>
      <c r="U63" s="5"/>
    </row>
    <row r="64" spans="2:31" ht="19.5" customHeight="1" thickBot="1" x14ac:dyDescent="0.3">
      <c r="B64" s="570" t="s">
        <v>97</v>
      </c>
      <c r="C64" s="868" t="s">
        <v>98</v>
      </c>
      <c r="D64" s="855" t="s">
        <v>99</v>
      </c>
      <c r="E64" s="855" t="s">
        <v>100</v>
      </c>
      <c r="F64" s="855" t="s">
        <v>101</v>
      </c>
      <c r="G64" s="1068" t="s">
        <v>102</v>
      </c>
      <c r="H64" s="870"/>
      <c r="I64" s="1069"/>
      <c r="J64" s="1069"/>
      <c r="K64" s="1070"/>
      <c r="N64" s="1304" t="s">
        <v>134</v>
      </c>
      <c r="O64" s="1305"/>
      <c r="P64" s="1305"/>
      <c r="Q64" s="1305"/>
      <c r="R64" s="1305"/>
      <c r="S64" s="1305"/>
      <c r="T64" s="1306"/>
      <c r="U64" s="5"/>
    </row>
    <row r="65" spans="2:31" ht="19.5" customHeight="1" x14ac:dyDescent="0.25">
      <c r="B65" s="229" t="s">
        <v>108</v>
      </c>
      <c r="C65" s="230">
        <v>0.375</v>
      </c>
      <c r="D65" s="231">
        <v>0.375</v>
      </c>
      <c r="E65" s="231">
        <v>0.625</v>
      </c>
      <c r="F65" s="231">
        <v>0.875</v>
      </c>
      <c r="G65" s="353">
        <v>1.375</v>
      </c>
      <c r="H65" s="63"/>
      <c r="I65" s="62"/>
      <c r="J65" s="57"/>
      <c r="K65" s="69"/>
      <c r="N65" s="265"/>
      <c r="O65" s="168"/>
      <c r="P65" s="27"/>
      <c r="Q65" s="27"/>
      <c r="R65" s="321"/>
      <c r="S65" s="1335" t="s">
        <v>342</v>
      </c>
      <c r="T65" s="1252"/>
      <c r="U65" s="5"/>
    </row>
    <row r="66" spans="2:31" ht="19.5" customHeight="1" x14ac:dyDescent="0.25">
      <c r="B66" s="234" t="s">
        <v>110</v>
      </c>
      <c r="C66" s="235">
        <v>0.375</v>
      </c>
      <c r="D66" s="232">
        <v>0.375</v>
      </c>
      <c r="E66" s="232">
        <v>0.625</v>
      </c>
      <c r="F66" s="232">
        <v>0.875</v>
      </c>
      <c r="G66" s="354">
        <v>1.375</v>
      </c>
      <c r="H66" s="63"/>
      <c r="I66" s="57"/>
      <c r="J66" s="57"/>
      <c r="K66" s="69"/>
      <c r="N66" s="97"/>
      <c r="O66" s="168"/>
      <c r="P66" s="27"/>
      <c r="Q66" s="27"/>
      <c r="R66" s="101"/>
      <c r="S66" s="1316"/>
      <c r="T66" s="1317"/>
      <c r="U66" s="5"/>
    </row>
    <row r="67" spans="2:31" ht="19.5" customHeight="1" thickBot="1" x14ac:dyDescent="0.3">
      <c r="B67" s="234" t="s">
        <v>53</v>
      </c>
      <c r="C67" s="235">
        <v>0.375</v>
      </c>
      <c r="D67" s="232">
        <v>0.375</v>
      </c>
      <c r="E67" s="232">
        <v>0.875</v>
      </c>
      <c r="F67" s="232">
        <v>1.25</v>
      </c>
      <c r="G67" s="354">
        <v>1.875</v>
      </c>
      <c r="H67" s="63"/>
      <c r="I67" s="57"/>
      <c r="J67" s="57"/>
      <c r="K67" s="69"/>
      <c r="N67" s="1318" t="s">
        <v>136</v>
      </c>
      <c r="O67" s="1319"/>
      <c r="P67" s="1319"/>
      <c r="Q67" s="1319"/>
      <c r="R67" s="1320"/>
      <c r="S67" s="1321">
        <v>0</v>
      </c>
      <c r="T67" s="1322"/>
      <c r="U67" s="5"/>
    </row>
    <row r="68" spans="2:31" ht="19.5" customHeight="1" x14ac:dyDescent="0.25">
      <c r="B68" s="234" t="s">
        <v>54</v>
      </c>
      <c r="C68" s="235">
        <v>0.375</v>
      </c>
      <c r="D68" s="232">
        <v>0.375</v>
      </c>
      <c r="E68" s="232">
        <v>1</v>
      </c>
      <c r="F68" s="232">
        <v>1.625</v>
      </c>
      <c r="G68" s="354">
        <v>2.375</v>
      </c>
      <c r="H68" s="63"/>
      <c r="I68" s="57"/>
      <c r="J68" s="57"/>
      <c r="K68" s="69"/>
      <c r="N68" s="572" t="s">
        <v>137</v>
      </c>
      <c r="O68" s="27"/>
      <c r="P68" s="27"/>
      <c r="Q68" s="27"/>
      <c r="R68" s="27"/>
      <c r="S68" s="27"/>
      <c r="T68" s="108"/>
      <c r="U68" s="5"/>
    </row>
    <row r="69" spans="2:31" ht="19.5" customHeight="1" x14ac:dyDescent="0.25">
      <c r="B69" s="238" t="s">
        <v>55</v>
      </c>
      <c r="C69" s="239">
        <v>0.375</v>
      </c>
      <c r="D69" s="240">
        <v>0.5</v>
      </c>
      <c r="E69" s="240">
        <v>1.375</v>
      </c>
      <c r="F69" s="240">
        <v>2</v>
      </c>
      <c r="G69" s="355">
        <v>2.75</v>
      </c>
      <c r="H69" s="64"/>
      <c r="I69" s="59"/>
      <c r="J69" s="59"/>
      <c r="K69" s="70"/>
      <c r="T69" s="38"/>
      <c r="U69" s="5"/>
    </row>
    <row r="70" spans="2:31" ht="19.5" customHeight="1" thickBot="1" x14ac:dyDescent="0.35">
      <c r="B70" s="238" t="s">
        <v>57</v>
      </c>
      <c r="C70" s="239">
        <v>0.375</v>
      </c>
      <c r="D70" s="240">
        <v>0.5</v>
      </c>
      <c r="E70" s="240">
        <v>1.625</v>
      </c>
      <c r="F70" s="240">
        <v>2.625</v>
      </c>
      <c r="G70" s="355">
        <v>3.25</v>
      </c>
      <c r="H70" s="64"/>
      <c r="I70" s="59"/>
      <c r="J70" s="59"/>
      <c r="K70" s="70"/>
      <c r="N70" s="27"/>
      <c r="O70" s="27"/>
      <c r="P70" s="27"/>
      <c r="Q70" s="27"/>
      <c r="R70" s="27"/>
      <c r="S70" s="27"/>
      <c r="T70" s="108"/>
      <c r="U70" s="5"/>
      <c r="AA70" s="455"/>
      <c r="AB70" s="455"/>
      <c r="AC70" s="455"/>
      <c r="AD70" s="455"/>
      <c r="AE70" s="455"/>
    </row>
    <row r="71" spans="2:31" ht="19.5" customHeight="1" x14ac:dyDescent="0.25">
      <c r="B71" s="238" t="s">
        <v>58</v>
      </c>
      <c r="C71" s="239">
        <v>0.375</v>
      </c>
      <c r="D71" s="240">
        <v>0.625</v>
      </c>
      <c r="E71" s="240">
        <v>2</v>
      </c>
      <c r="F71" s="240">
        <v>2.875</v>
      </c>
      <c r="G71" s="355">
        <v>3.75</v>
      </c>
      <c r="H71" s="64"/>
      <c r="I71" s="59"/>
      <c r="J71" s="59"/>
      <c r="K71" s="70"/>
      <c r="N71" s="1295" t="s">
        <v>286</v>
      </c>
      <c r="O71" s="1296"/>
      <c r="P71" s="1296"/>
      <c r="Q71" s="1296"/>
      <c r="R71" s="1296"/>
      <c r="S71" s="1296"/>
      <c r="T71" s="1297"/>
      <c r="U71" s="5"/>
      <c r="AA71" s="143"/>
      <c r="AB71" s="143"/>
      <c r="AC71" s="143"/>
      <c r="AD71" s="143"/>
      <c r="AE71" s="143"/>
    </row>
    <row r="72" spans="2:31" ht="19.5" customHeight="1" x14ac:dyDescent="0.25">
      <c r="B72" s="238" t="s">
        <v>73</v>
      </c>
      <c r="C72" s="239">
        <v>0.75</v>
      </c>
      <c r="D72" s="240">
        <v>1.25</v>
      </c>
      <c r="E72" s="240">
        <v>3.125</v>
      </c>
      <c r="F72" s="240">
        <v>4.375</v>
      </c>
      <c r="G72" s="355">
        <v>5.125</v>
      </c>
      <c r="H72" s="64"/>
      <c r="I72" s="59"/>
      <c r="J72" s="59"/>
      <c r="K72" s="70"/>
      <c r="N72" s="177" t="s">
        <v>287</v>
      </c>
      <c r="O72" s="224"/>
      <c r="P72" s="224"/>
      <c r="Q72" s="224"/>
      <c r="R72" s="27"/>
      <c r="S72" s="27"/>
      <c r="T72" s="108"/>
      <c r="U72" s="5"/>
    </row>
    <row r="73" spans="2:31" ht="19.5" customHeight="1" x14ac:dyDescent="0.25">
      <c r="B73" s="238" t="s">
        <v>113</v>
      </c>
      <c r="C73" s="239">
        <v>0.875</v>
      </c>
      <c r="D73" s="240">
        <v>1.875</v>
      </c>
      <c r="E73" s="240">
        <v>3.625</v>
      </c>
      <c r="F73" s="240">
        <v>5.125</v>
      </c>
      <c r="G73" s="355">
        <v>5.625</v>
      </c>
      <c r="H73" s="64"/>
      <c r="I73" s="59"/>
      <c r="J73" s="59"/>
      <c r="K73" s="70"/>
      <c r="N73" s="177" t="s">
        <v>288</v>
      </c>
      <c r="O73" s="224"/>
      <c r="P73" s="224"/>
      <c r="Q73" s="224"/>
      <c r="R73" s="27"/>
      <c r="S73" s="27"/>
      <c r="T73" s="108"/>
      <c r="U73" s="5"/>
    </row>
    <row r="74" spans="2:31" ht="19.5" customHeight="1" thickBot="1" x14ac:dyDescent="0.3">
      <c r="B74" s="243" t="s">
        <v>115</v>
      </c>
      <c r="C74" s="244">
        <v>1</v>
      </c>
      <c r="D74" s="245">
        <v>2</v>
      </c>
      <c r="E74" s="245">
        <v>4</v>
      </c>
      <c r="F74" s="245">
        <v>5.5</v>
      </c>
      <c r="G74" s="356">
        <v>5.75</v>
      </c>
      <c r="H74" s="65"/>
      <c r="I74" s="61"/>
      <c r="J74" s="61"/>
      <c r="K74" s="71"/>
      <c r="N74" s="177" t="s">
        <v>289</v>
      </c>
      <c r="O74" s="224"/>
      <c r="P74" s="224"/>
      <c r="Q74" s="224"/>
      <c r="R74" s="27"/>
      <c r="S74" s="27"/>
      <c r="T74" s="108"/>
      <c r="U74" s="5"/>
    </row>
    <row r="75" spans="2:31" ht="24" customHeight="1" thickTop="1" x14ac:dyDescent="0.3">
      <c r="B75" s="1326" t="s">
        <v>140</v>
      </c>
      <c r="C75" s="1327"/>
      <c r="D75" s="1327"/>
      <c r="E75" s="1327"/>
      <c r="F75" s="1327"/>
      <c r="G75" s="1327"/>
      <c r="H75" s="1327"/>
      <c r="I75" s="1327"/>
      <c r="J75" s="1327"/>
      <c r="K75" s="1328"/>
      <c r="N75" s="97" t="s">
        <v>292</v>
      </c>
      <c r="O75" s="27"/>
      <c r="P75" s="27"/>
      <c r="Q75" s="27"/>
      <c r="R75" s="27"/>
      <c r="S75" s="27"/>
      <c r="T75" s="108"/>
      <c r="U75" s="5"/>
      <c r="AB75" s="117"/>
    </row>
    <row r="76" spans="2:31" ht="19.5" customHeight="1" x14ac:dyDescent="0.25">
      <c r="B76" s="570" t="s">
        <v>119</v>
      </c>
      <c r="C76" s="854" t="s">
        <v>98</v>
      </c>
      <c r="D76" s="855" t="s">
        <v>99</v>
      </c>
      <c r="E76" s="855" t="s">
        <v>100</v>
      </c>
      <c r="F76" s="855" t="s">
        <v>101</v>
      </c>
      <c r="G76" s="1068" t="s">
        <v>102</v>
      </c>
      <c r="H76" s="873"/>
      <c r="I76" s="1069"/>
      <c r="J76" s="1069"/>
      <c r="K76" s="1070"/>
      <c r="L76" s="8"/>
      <c r="M76" s="8"/>
      <c r="N76" s="97" t="s">
        <v>291</v>
      </c>
      <c r="O76" s="27"/>
      <c r="P76" s="27"/>
      <c r="Q76" s="27"/>
      <c r="R76" s="27"/>
      <c r="S76" s="27"/>
      <c r="T76" s="108"/>
      <c r="U76" s="5"/>
    </row>
    <row r="77" spans="2:31" ht="19.5" customHeight="1" thickBot="1" x14ac:dyDescent="0.35">
      <c r="B77" s="248" t="s">
        <v>121</v>
      </c>
      <c r="C77" s="1065">
        <v>0</v>
      </c>
      <c r="D77" s="1015">
        <v>0</v>
      </c>
      <c r="E77" s="1015">
        <v>0</v>
      </c>
      <c r="F77" s="1015">
        <v>0</v>
      </c>
      <c r="G77" s="874">
        <v>0</v>
      </c>
      <c r="H77" s="60"/>
      <c r="I77" s="58"/>
      <c r="J77" s="58"/>
      <c r="K77" s="72"/>
      <c r="L77" s="8"/>
      <c r="M77" s="8"/>
      <c r="N77" s="96" t="s">
        <v>290</v>
      </c>
      <c r="O77" s="78"/>
      <c r="P77" s="78"/>
      <c r="Q77" s="78"/>
      <c r="R77" s="78"/>
      <c r="S77" s="78"/>
      <c r="T77" s="134"/>
      <c r="U77" s="5"/>
      <c r="AA77" s="212"/>
      <c r="AB77" s="212"/>
      <c r="AC77" s="212"/>
      <c r="AD77" s="212"/>
      <c r="AE77" s="212"/>
    </row>
    <row r="78" spans="2:31" ht="19.5" customHeight="1" x14ac:dyDescent="0.25">
      <c r="B78" s="248" t="s">
        <v>123</v>
      </c>
      <c r="C78" s="1065">
        <v>0</v>
      </c>
      <c r="D78" s="1015">
        <v>0</v>
      </c>
      <c r="E78" s="1015">
        <v>0.125</v>
      </c>
      <c r="F78" s="1015">
        <v>0.125</v>
      </c>
      <c r="G78" s="874">
        <v>0.75</v>
      </c>
      <c r="H78" s="875"/>
      <c r="I78" s="1016"/>
      <c r="J78" s="1016"/>
      <c r="K78" s="1017"/>
      <c r="L78" s="8"/>
      <c r="M78" s="8"/>
      <c r="T78" s="38"/>
      <c r="U78" s="5"/>
      <c r="AA78" s="456"/>
      <c r="AD78" s="457"/>
      <c r="AE78" s="457"/>
    </row>
    <row r="79" spans="2:31" ht="19.5" customHeight="1" thickBot="1" x14ac:dyDescent="0.3">
      <c r="B79" s="249" t="s">
        <v>79</v>
      </c>
      <c r="C79" s="250">
        <v>0</v>
      </c>
      <c r="D79" s="251">
        <v>0</v>
      </c>
      <c r="E79" s="251">
        <v>0.375</v>
      </c>
      <c r="F79" s="251">
        <v>0.375</v>
      </c>
      <c r="G79" s="874" t="s">
        <v>56</v>
      </c>
      <c r="H79" s="875"/>
      <c r="I79" s="1016"/>
      <c r="J79" s="1016"/>
      <c r="K79" s="1017"/>
      <c r="L79" s="8"/>
      <c r="M79" s="8"/>
      <c r="T79" s="38"/>
      <c r="U79" s="5"/>
      <c r="AA79" s="458"/>
      <c r="AB79" s="18"/>
      <c r="AC79" s="18"/>
      <c r="AD79" s="459"/>
      <c r="AE79" s="459"/>
    </row>
    <row r="80" spans="2:31" ht="19.5" customHeight="1" x14ac:dyDescent="0.25">
      <c r="B80" s="248" t="s">
        <v>125</v>
      </c>
      <c r="C80" s="181">
        <v>1.125</v>
      </c>
      <c r="D80" s="181">
        <v>1.125</v>
      </c>
      <c r="E80" s="1021">
        <v>1.625</v>
      </c>
      <c r="F80" s="1015">
        <v>2.125</v>
      </c>
      <c r="G80" s="874" t="s">
        <v>56</v>
      </c>
      <c r="H80" s="875"/>
      <c r="I80" s="1016"/>
      <c r="J80" s="1016"/>
      <c r="K80" s="1017"/>
      <c r="L80" s="8"/>
      <c r="M80" s="8"/>
      <c r="N80" s="1295" t="s">
        <v>293</v>
      </c>
      <c r="O80" s="1296"/>
      <c r="P80" s="1296"/>
      <c r="Q80" s="1296"/>
      <c r="R80" s="1296"/>
      <c r="S80" s="1296"/>
      <c r="T80" s="1297"/>
      <c r="U80" s="5"/>
      <c r="AA80" s="460"/>
      <c r="AB80" s="460"/>
      <c r="AC80" s="460"/>
      <c r="AD80" s="459"/>
      <c r="AE80" s="459"/>
    </row>
    <row r="81" spans="2:31" ht="19.5" customHeight="1" x14ac:dyDescent="0.25">
      <c r="B81" s="248" t="s">
        <v>22</v>
      </c>
      <c r="C81" s="1065">
        <v>0.75</v>
      </c>
      <c r="D81" s="1015">
        <v>0.75</v>
      </c>
      <c r="E81" s="1015">
        <v>1.625</v>
      </c>
      <c r="F81" s="1015">
        <v>2.125</v>
      </c>
      <c r="G81" s="874" t="s">
        <v>56</v>
      </c>
      <c r="H81" s="1071"/>
      <c r="I81" s="1016"/>
      <c r="J81" s="1016"/>
      <c r="K81" s="1017"/>
      <c r="L81" s="8"/>
      <c r="M81" s="8"/>
      <c r="N81" s="1018"/>
      <c r="O81" s="1019"/>
      <c r="P81" s="1019"/>
      <c r="Q81" s="1019"/>
      <c r="R81" s="1019"/>
      <c r="S81" s="1019"/>
      <c r="T81" s="1020"/>
      <c r="U81" s="5"/>
      <c r="AA81" s="460"/>
      <c r="AB81" s="460"/>
      <c r="AC81" s="460"/>
      <c r="AD81" s="459"/>
      <c r="AE81" s="459"/>
    </row>
    <row r="82" spans="2:31" ht="19.5" customHeight="1" x14ac:dyDescent="0.25">
      <c r="B82" s="248" t="s">
        <v>131</v>
      </c>
      <c r="C82" s="1065">
        <v>0.625</v>
      </c>
      <c r="D82" s="1015">
        <v>0.625</v>
      </c>
      <c r="E82" s="1015">
        <v>0.625</v>
      </c>
      <c r="F82" s="1015">
        <v>0.875</v>
      </c>
      <c r="G82" s="874">
        <v>1.125</v>
      </c>
      <c r="H82" s="875"/>
      <c r="I82" s="1016"/>
      <c r="J82" s="1016"/>
      <c r="K82" s="1017"/>
      <c r="L82" s="8"/>
      <c r="M82" s="8"/>
      <c r="N82" s="1309" t="s">
        <v>294</v>
      </c>
      <c r="O82" s="1315"/>
      <c r="P82" s="1315"/>
      <c r="Q82" s="1315"/>
      <c r="R82" s="1315"/>
      <c r="S82" s="1315"/>
      <c r="T82" s="1310"/>
      <c r="U82" s="5"/>
    </row>
    <row r="83" spans="2:31" ht="19.5" customHeight="1" thickBot="1" x14ac:dyDescent="0.35">
      <c r="B83" s="248" t="s">
        <v>132</v>
      </c>
      <c r="C83" s="1065">
        <v>1.25</v>
      </c>
      <c r="D83" s="1015">
        <v>1.25</v>
      </c>
      <c r="E83" s="1015">
        <v>1.5</v>
      </c>
      <c r="F83" s="1015">
        <v>1.5</v>
      </c>
      <c r="G83" s="874">
        <v>1.75</v>
      </c>
      <c r="H83" s="875"/>
      <c r="I83" s="1016"/>
      <c r="J83" s="1016"/>
      <c r="K83" s="1017"/>
      <c r="L83" s="8"/>
      <c r="M83" s="8"/>
      <c r="N83" s="1298" t="s">
        <v>449</v>
      </c>
      <c r="O83" s="1299"/>
      <c r="P83" s="1299"/>
      <c r="Q83" s="1299"/>
      <c r="R83" s="1299"/>
      <c r="S83" s="1299"/>
      <c r="T83" s="1300"/>
      <c r="U83" s="5"/>
    </row>
    <row r="84" spans="2:31" ht="19.5" customHeight="1" thickBot="1" x14ac:dyDescent="0.3">
      <c r="B84" s="253" t="s">
        <v>133</v>
      </c>
      <c r="C84" s="937">
        <v>2</v>
      </c>
      <c r="D84" s="938">
        <v>2</v>
      </c>
      <c r="E84" s="938">
        <v>2.25</v>
      </c>
      <c r="F84" s="938">
        <v>2.25</v>
      </c>
      <c r="G84" s="878">
        <v>3.25</v>
      </c>
      <c r="H84" s="875"/>
      <c r="I84" s="1016"/>
      <c r="J84" s="1016"/>
      <c r="K84" s="1017"/>
      <c r="L84" s="8"/>
      <c r="M84" s="8"/>
      <c r="T84" s="38"/>
      <c r="U84" s="5"/>
    </row>
    <row r="85" spans="2:31" ht="19.5" customHeight="1" thickBot="1" x14ac:dyDescent="0.3">
      <c r="B85" s="253" t="s">
        <v>666</v>
      </c>
      <c r="C85" s="935">
        <v>0.25</v>
      </c>
      <c r="D85" s="929">
        <v>0.25</v>
      </c>
      <c r="E85" s="929">
        <v>0.25</v>
      </c>
      <c r="F85" s="929">
        <v>0.375</v>
      </c>
      <c r="G85" s="929">
        <v>0.375</v>
      </c>
      <c r="H85" s="879"/>
      <c r="I85" s="1072"/>
      <c r="J85" s="1072"/>
      <c r="K85" s="1073"/>
      <c r="L85" s="8"/>
      <c r="M85" s="8"/>
      <c r="T85" s="38"/>
      <c r="U85" s="5"/>
    </row>
    <row r="86" spans="2:31" ht="17.25" thickBot="1" x14ac:dyDescent="0.3">
      <c r="B86" s="95"/>
      <c r="H86" s="936"/>
      <c r="I86" s="127"/>
      <c r="J86" s="127"/>
      <c r="K86" s="127"/>
      <c r="L86" s="8"/>
      <c r="M86" s="8"/>
      <c r="T86" s="412"/>
      <c r="U86" s="5"/>
    </row>
    <row r="87" spans="2:31" ht="24" customHeight="1" thickBot="1" x14ac:dyDescent="0.35">
      <c r="B87" s="1287" t="s">
        <v>141</v>
      </c>
      <c r="C87" s="1288"/>
      <c r="D87" s="1288"/>
      <c r="E87" s="1288"/>
      <c r="F87" s="1288"/>
      <c r="G87" s="1288"/>
      <c r="H87" s="1288"/>
      <c r="I87" s="1288"/>
      <c r="J87" s="1288"/>
      <c r="K87" s="1289"/>
      <c r="L87" s="8"/>
      <c r="M87" s="8"/>
      <c r="N87" s="1295" t="s">
        <v>564</v>
      </c>
      <c r="O87" s="1296"/>
      <c r="P87" s="1296"/>
      <c r="Q87" s="1296"/>
      <c r="R87" s="1296"/>
      <c r="S87" s="1296"/>
      <c r="T87" s="1297"/>
      <c r="U87" s="5"/>
    </row>
    <row r="88" spans="2:31" ht="24" customHeight="1" thickBot="1" x14ac:dyDescent="0.3">
      <c r="B88" s="1292" t="s">
        <v>142</v>
      </c>
      <c r="C88" s="1293"/>
      <c r="D88" s="1293"/>
      <c r="E88" s="1293"/>
      <c r="F88" s="1293"/>
      <c r="G88" s="1293"/>
      <c r="H88" s="1293"/>
      <c r="I88" s="1293"/>
      <c r="J88" s="1293"/>
      <c r="K88" s="1294"/>
      <c r="N88" s="1323" t="s">
        <v>296</v>
      </c>
      <c r="O88" s="1324"/>
      <c r="P88" s="1324"/>
      <c r="Q88" s="1324"/>
      <c r="R88" s="1324"/>
      <c r="S88" s="1324"/>
      <c r="T88" s="1325"/>
      <c r="U88" s="5"/>
    </row>
    <row r="89" spans="2:31" ht="20.25" customHeight="1" x14ac:dyDescent="0.25">
      <c r="B89" s="270" t="s">
        <v>119</v>
      </c>
      <c r="C89" s="271" t="s">
        <v>143</v>
      </c>
      <c r="D89" s="272" t="s">
        <v>144</v>
      </c>
      <c r="E89" s="271" t="s">
        <v>54</v>
      </c>
      <c r="F89" s="271" t="s">
        <v>55</v>
      </c>
      <c r="G89" s="271" t="s">
        <v>57</v>
      </c>
      <c r="H89" s="271" t="s">
        <v>58</v>
      </c>
      <c r="I89" s="271" t="s">
        <v>73</v>
      </c>
      <c r="J89" s="273" t="s">
        <v>113</v>
      </c>
      <c r="K89" s="274" t="s">
        <v>115</v>
      </c>
      <c r="N89" s="106" t="s">
        <v>275</v>
      </c>
      <c r="O89" s="224"/>
      <c r="P89" s="224"/>
      <c r="Q89" s="27"/>
      <c r="R89" s="1393">
        <v>832750</v>
      </c>
      <c r="S89" s="1393"/>
      <c r="T89" s="412"/>
      <c r="U89" s="5"/>
    </row>
    <row r="90" spans="2:31" ht="19.5" customHeight="1" x14ac:dyDescent="0.25">
      <c r="B90" s="275" t="s">
        <v>145</v>
      </c>
      <c r="C90" s="276">
        <v>0.35</v>
      </c>
      <c r="D90" s="277">
        <v>2.2999999999999998</v>
      </c>
      <c r="E90" s="277">
        <v>3.32</v>
      </c>
      <c r="F90" s="277">
        <v>4.2300000000000004</v>
      </c>
      <c r="G90" s="277">
        <v>5.05</v>
      </c>
      <c r="H90" s="277">
        <v>6.27</v>
      </c>
      <c r="I90" s="277">
        <v>8.42</v>
      </c>
      <c r="J90" s="277">
        <v>9.1300000000000008</v>
      </c>
      <c r="K90" s="278">
        <v>10</v>
      </c>
      <c r="N90" s="106" t="s">
        <v>276</v>
      </c>
      <c r="O90" s="224"/>
      <c r="P90" s="224"/>
      <c r="Q90" s="27"/>
      <c r="R90" s="1394">
        <v>1066250</v>
      </c>
      <c r="S90" s="1394"/>
      <c r="T90" s="412"/>
      <c r="U90" s="5"/>
      <c r="AC90" s="6"/>
      <c r="AD90" s="6"/>
    </row>
    <row r="91" spans="2:31" ht="19.5" customHeight="1" x14ac:dyDescent="0.25">
      <c r="B91" s="275" t="s">
        <v>146</v>
      </c>
      <c r="C91" s="276">
        <v>0.3</v>
      </c>
      <c r="D91" s="279">
        <v>1.89</v>
      </c>
      <c r="E91" s="280">
        <v>2.65</v>
      </c>
      <c r="F91" s="280">
        <v>3.32</v>
      </c>
      <c r="G91" s="280">
        <v>3.93</v>
      </c>
      <c r="H91" s="280">
        <v>4.8499999999999996</v>
      </c>
      <c r="I91" s="280">
        <v>6.43</v>
      </c>
      <c r="J91" s="281">
        <v>6.99</v>
      </c>
      <c r="K91" s="282">
        <v>7.75</v>
      </c>
      <c r="N91" s="106" t="s">
        <v>277</v>
      </c>
      <c r="O91" s="224"/>
      <c r="P91" s="224"/>
      <c r="Q91" s="27"/>
      <c r="R91" s="1394">
        <v>1288800</v>
      </c>
      <c r="S91" s="1394"/>
      <c r="T91" s="412"/>
      <c r="U91" s="39"/>
      <c r="V91" s="54"/>
      <c r="Y91" s="36"/>
      <c r="Z91" s="36"/>
      <c r="AA91" s="36"/>
      <c r="AB91" s="36"/>
      <c r="AC91" s="6"/>
      <c r="AD91" s="6"/>
    </row>
    <row r="92" spans="2:31" ht="19.5" customHeight="1" thickBot="1" x14ac:dyDescent="0.3">
      <c r="B92" s="283" t="s">
        <v>147</v>
      </c>
      <c r="C92" s="276">
        <v>0.25</v>
      </c>
      <c r="D92" s="277">
        <v>1.43</v>
      </c>
      <c r="E92" s="284">
        <v>2.04</v>
      </c>
      <c r="F92" s="284">
        <v>2.5</v>
      </c>
      <c r="G92" s="284">
        <v>3.01</v>
      </c>
      <c r="H92" s="284">
        <v>3.67</v>
      </c>
      <c r="I92" s="284">
        <v>5.05</v>
      </c>
      <c r="J92" s="285">
        <v>5.36</v>
      </c>
      <c r="K92" s="278">
        <v>5.87</v>
      </c>
      <c r="N92" s="410" t="s">
        <v>278</v>
      </c>
      <c r="O92" s="411"/>
      <c r="P92" s="411"/>
      <c r="Q92" s="78"/>
      <c r="R92" s="1395">
        <v>1601750</v>
      </c>
      <c r="S92" s="1395"/>
      <c r="T92" s="413"/>
      <c r="U92" s="5"/>
      <c r="W92" s="6"/>
      <c r="X92" s="6"/>
      <c r="Y92" s="6"/>
      <c r="AB92" s="6"/>
      <c r="AC92" s="6"/>
      <c r="AD92" s="6"/>
    </row>
    <row r="93" spans="2:31" ht="19.5" customHeight="1" x14ac:dyDescent="0.25">
      <c r="B93" s="286" t="s">
        <v>148</v>
      </c>
      <c r="C93" s="287">
        <v>0.12</v>
      </c>
      <c r="D93" s="277">
        <v>0.71</v>
      </c>
      <c r="E93" s="284">
        <v>0.87</v>
      </c>
      <c r="F93" s="284">
        <v>1.02</v>
      </c>
      <c r="G93" s="284">
        <v>1.17</v>
      </c>
      <c r="H93" s="284">
        <v>1.38</v>
      </c>
      <c r="I93" s="284">
        <v>1.84</v>
      </c>
      <c r="J93" s="285">
        <v>2.04</v>
      </c>
      <c r="K93" s="278">
        <v>2.19</v>
      </c>
      <c r="N93" s="224"/>
      <c r="O93" s="224"/>
      <c r="P93" s="224"/>
      <c r="Q93" s="27"/>
      <c r="R93" s="27"/>
      <c r="S93" s="573"/>
      <c r="T93" s="412"/>
      <c r="U93" s="5"/>
      <c r="W93" s="6"/>
      <c r="X93" s="6"/>
      <c r="Y93" s="6"/>
      <c r="AB93" s="6"/>
      <c r="AC93" s="6"/>
      <c r="AD93" s="6"/>
    </row>
    <row r="94" spans="2:31" ht="19.5" customHeight="1" thickBot="1" x14ac:dyDescent="0.25">
      <c r="B94" s="1301" t="s">
        <v>149</v>
      </c>
      <c r="C94" s="1302"/>
      <c r="D94" s="1302"/>
      <c r="E94" s="1302"/>
      <c r="F94" s="1302"/>
      <c r="G94" s="1302"/>
      <c r="H94" s="1302"/>
      <c r="I94" s="1302"/>
      <c r="J94" s="1302"/>
      <c r="K94" s="1303"/>
      <c r="T94" s="38"/>
      <c r="U94" s="5"/>
      <c r="W94" s="6"/>
      <c r="X94" s="6"/>
      <c r="Y94" s="6"/>
      <c r="AB94" s="6"/>
      <c r="AC94" s="6"/>
      <c r="AD94" s="6"/>
    </row>
    <row r="95" spans="2:31" ht="24" customHeight="1" thickBot="1" x14ac:dyDescent="0.3">
      <c r="B95" s="275" t="s">
        <v>146</v>
      </c>
      <c r="C95" s="276">
        <v>0.25</v>
      </c>
      <c r="D95" s="277">
        <v>1.45</v>
      </c>
      <c r="E95" s="284">
        <v>2.12</v>
      </c>
      <c r="F95" s="284">
        <v>2.68</v>
      </c>
      <c r="G95" s="284">
        <v>3.09</v>
      </c>
      <c r="H95" s="284">
        <v>3.9</v>
      </c>
      <c r="I95" s="284">
        <v>5.12</v>
      </c>
      <c r="J95" s="285">
        <v>5.63</v>
      </c>
      <c r="K95" s="278">
        <v>6.24</v>
      </c>
      <c r="L95" s="8"/>
      <c r="M95" s="8"/>
      <c r="N95" s="1304" t="s">
        <v>279</v>
      </c>
      <c r="O95" s="1305"/>
      <c r="P95" s="1305"/>
      <c r="Q95" s="1305"/>
      <c r="R95" s="1305"/>
      <c r="S95" s="1305"/>
      <c r="T95" s="1306"/>
      <c r="U95" s="5"/>
      <c r="AA95" s="36"/>
      <c r="AB95" s="6"/>
      <c r="AC95" s="6"/>
      <c r="AD95" s="6"/>
    </row>
    <row r="96" spans="2:31" ht="19.5" customHeight="1" thickBot="1" x14ac:dyDescent="0.3">
      <c r="B96" s="275" t="s">
        <v>147</v>
      </c>
      <c r="C96" s="288">
        <v>0.12</v>
      </c>
      <c r="D96" s="277">
        <v>0.79</v>
      </c>
      <c r="E96" s="284">
        <v>1.04</v>
      </c>
      <c r="F96" s="284">
        <v>1.3</v>
      </c>
      <c r="G96" s="284">
        <v>1.45</v>
      </c>
      <c r="H96" s="284">
        <v>1.76</v>
      </c>
      <c r="I96" s="284">
        <v>2.31</v>
      </c>
      <c r="J96" s="285">
        <v>2.52</v>
      </c>
      <c r="K96" s="278">
        <v>2.77</v>
      </c>
      <c r="L96" s="8"/>
      <c r="M96" s="8"/>
      <c r="N96" s="30" t="s">
        <v>119</v>
      </c>
      <c r="O96" s="266"/>
      <c r="P96" s="266"/>
      <c r="Q96" s="217"/>
      <c r="R96" s="1210" t="s">
        <v>295</v>
      </c>
      <c r="S96" s="1223"/>
      <c r="T96" s="267" t="s">
        <v>285</v>
      </c>
      <c r="U96" s="5"/>
      <c r="AA96" s="8"/>
      <c r="AB96" s="6"/>
      <c r="AC96" s="6"/>
      <c r="AD96" s="6"/>
    </row>
    <row r="97" spans="2:28" ht="19.5" customHeight="1" x14ac:dyDescent="0.25">
      <c r="B97" s="289" t="s">
        <v>148</v>
      </c>
      <c r="C97" s="290">
        <v>0.06</v>
      </c>
      <c r="D97" s="291">
        <v>0.55000000000000004</v>
      </c>
      <c r="E97" s="291">
        <v>0.55000000000000004</v>
      </c>
      <c r="F97" s="291">
        <v>0.55000000000000004</v>
      </c>
      <c r="G97" s="291">
        <v>0.55000000000000004</v>
      </c>
      <c r="H97" s="291">
        <v>0.59</v>
      </c>
      <c r="I97" s="291">
        <v>0.73</v>
      </c>
      <c r="J97" s="292">
        <v>0.78</v>
      </c>
      <c r="K97" s="293">
        <v>0.89</v>
      </c>
      <c r="L97" s="8"/>
      <c r="N97" s="97" t="s">
        <v>282</v>
      </c>
      <c r="O97" s="27"/>
      <c r="P97" s="27"/>
      <c r="Q97" s="108"/>
      <c r="R97" s="1307" t="s">
        <v>56</v>
      </c>
      <c r="S97" s="1308"/>
      <c r="T97" s="268">
        <v>0.25</v>
      </c>
      <c r="U97" s="5"/>
      <c r="W97" s="6"/>
      <c r="X97" s="6"/>
      <c r="Y97" s="6"/>
    </row>
    <row r="98" spans="2:28" ht="19.5" customHeight="1" x14ac:dyDescent="0.25">
      <c r="B98" s="1390" t="s">
        <v>150</v>
      </c>
      <c r="C98" s="1391"/>
      <c r="D98" s="1391"/>
      <c r="E98" s="1391"/>
      <c r="F98" s="1391"/>
      <c r="G98" s="1391"/>
      <c r="H98" s="1391"/>
      <c r="I98" s="1391"/>
      <c r="J98" s="1391"/>
      <c r="K98" s="1392"/>
      <c r="L98" s="8"/>
      <c r="N98" s="97" t="s">
        <v>280</v>
      </c>
      <c r="O98" s="27"/>
      <c r="P98" s="27"/>
      <c r="Q98" s="108"/>
      <c r="R98" s="1309" t="s">
        <v>56</v>
      </c>
      <c r="S98" s="1310"/>
      <c r="T98" s="268">
        <v>0.35</v>
      </c>
      <c r="U98" s="5"/>
      <c r="W98" s="6"/>
      <c r="X98" s="6"/>
      <c r="Y98" s="6"/>
    </row>
    <row r="99" spans="2:28" ht="22.5" customHeight="1" x14ac:dyDescent="0.25">
      <c r="B99" s="294" t="s">
        <v>125</v>
      </c>
      <c r="C99" s="295"/>
      <c r="D99" s="284">
        <v>1.19</v>
      </c>
      <c r="E99" s="280">
        <v>1.19</v>
      </c>
      <c r="F99" s="284">
        <v>1.33</v>
      </c>
      <c r="G99" s="284">
        <v>1.75</v>
      </c>
      <c r="H99" s="284">
        <v>1.75</v>
      </c>
      <c r="I99" s="284">
        <v>2.63</v>
      </c>
      <c r="J99" s="284">
        <v>2.63</v>
      </c>
      <c r="K99" s="278">
        <v>2.63</v>
      </c>
      <c r="L99" s="8"/>
      <c r="N99" s="97" t="s">
        <v>281</v>
      </c>
      <c r="O99" s="27"/>
      <c r="P99" s="27"/>
      <c r="Q99" s="108"/>
      <c r="R99" s="1311">
        <v>0.25</v>
      </c>
      <c r="S99" s="1312"/>
      <c r="T99" s="268">
        <v>0.3</v>
      </c>
      <c r="U99" s="5"/>
      <c r="W99" s="6"/>
      <c r="X99" s="6"/>
      <c r="Y99" s="6"/>
    </row>
    <row r="100" spans="2:28" ht="19.5" customHeight="1" x14ac:dyDescent="0.25">
      <c r="B100" s="294" t="s">
        <v>22</v>
      </c>
      <c r="C100" s="295"/>
      <c r="D100" s="296">
        <v>0.25</v>
      </c>
      <c r="E100" s="296">
        <v>0.25</v>
      </c>
      <c r="F100" s="296">
        <v>0.49</v>
      </c>
      <c r="G100" s="296">
        <v>0.7</v>
      </c>
      <c r="H100" s="296">
        <v>0.7</v>
      </c>
      <c r="I100" s="296">
        <v>1.23</v>
      </c>
      <c r="J100" s="296">
        <v>1.23</v>
      </c>
      <c r="K100" s="297">
        <v>1.23</v>
      </c>
      <c r="L100" s="8"/>
      <c r="M100" s="8"/>
      <c r="N100" s="97" t="s">
        <v>283</v>
      </c>
      <c r="O100" s="27"/>
      <c r="P100" s="27"/>
      <c r="Q100" s="108"/>
      <c r="R100" s="1311">
        <v>0.12</v>
      </c>
      <c r="S100" s="1312"/>
      <c r="T100" s="268">
        <v>0.25</v>
      </c>
      <c r="U100" s="47"/>
      <c r="V100" s="47"/>
      <c r="W100" s="47"/>
      <c r="X100" s="47"/>
      <c r="Y100" s="47"/>
      <c r="Z100" s="47"/>
      <c r="AA100" s="47"/>
      <c r="AB100" s="47"/>
    </row>
    <row r="101" spans="2:28" ht="19.5" customHeight="1" thickBot="1" x14ac:dyDescent="0.3">
      <c r="B101" s="294" t="s">
        <v>151</v>
      </c>
      <c r="C101" s="295"/>
      <c r="D101" s="296">
        <v>0</v>
      </c>
      <c r="E101" s="296">
        <v>0</v>
      </c>
      <c r="F101" s="296">
        <v>0</v>
      </c>
      <c r="G101" s="296">
        <v>0.53</v>
      </c>
      <c r="H101" s="296">
        <v>0.53</v>
      </c>
      <c r="I101" s="296">
        <v>1.05</v>
      </c>
      <c r="J101" s="296">
        <v>1.05</v>
      </c>
      <c r="K101" s="297">
        <v>1.05</v>
      </c>
      <c r="L101" s="8"/>
      <c r="M101" s="8"/>
      <c r="N101" s="96" t="s">
        <v>284</v>
      </c>
      <c r="O101" s="78"/>
      <c r="P101" s="78"/>
      <c r="Q101" s="134"/>
      <c r="R101" s="1313">
        <v>0.06</v>
      </c>
      <c r="S101" s="1314"/>
      <c r="T101" s="269">
        <v>0.12</v>
      </c>
      <c r="U101" s="66"/>
      <c r="X101" s="49"/>
    </row>
    <row r="102" spans="2:28" ht="19.5" customHeight="1" x14ac:dyDescent="0.25">
      <c r="B102" s="1301" t="s">
        <v>152</v>
      </c>
      <c r="C102" s="1302"/>
      <c r="D102" s="1302"/>
      <c r="E102" s="1302"/>
      <c r="F102" s="1302"/>
      <c r="G102" s="1302"/>
      <c r="H102" s="1302"/>
      <c r="I102" s="1302"/>
      <c r="J102" s="1302"/>
      <c r="K102" s="1303"/>
      <c r="L102" s="8"/>
      <c r="N102" s="423" t="s">
        <v>297</v>
      </c>
      <c r="O102" s="27"/>
      <c r="P102" s="27"/>
      <c r="Q102" s="27"/>
      <c r="R102" s="27"/>
      <c r="S102" s="27"/>
      <c r="T102" s="108"/>
      <c r="U102" s="66"/>
      <c r="X102" s="49"/>
    </row>
    <row r="103" spans="2:28" ht="21.75" customHeight="1" x14ac:dyDescent="0.25">
      <c r="B103" s="298" t="s">
        <v>145</v>
      </c>
      <c r="C103" s="299"/>
      <c r="D103" s="284">
        <v>0.38</v>
      </c>
      <c r="E103" s="280">
        <v>0.62</v>
      </c>
      <c r="F103" s="280">
        <v>0.76</v>
      </c>
      <c r="G103" s="280">
        <v>1.06</v>
      </c>
      <c r="H103" s="280">
        <v>1.24</v>
      </c>
      <c r="I103" s="280">
        <v>1.42</v>
      </c>
      <c r="J103" s="280">
        <v>1.6</v>
      </c>
      <c r="K103" s="282">
        <v>1.82</v>
      </c>
      <c r="L103" s="8"/>
      <c r="T103" s="38"/>
      <c r="U103" s="66"/>
      <c r="V103" s="51"/>
      <c r="X103" s="49"/>
      <c r="Y103" s="51"/>
      <c r="Z103" s="51"/>
      <c r="AA103" s="51"/>
      <c r="AB103" s="51"/>
    </row>
    <row r="104" spans="2:28" ht="19.5" customHeight="1" x14ac:dyDescent="0.25">
      <c r="B104" s="298" t="s">
        <v>146</v>
      </c>
      <c r="C104" s="299"/>
      <c r="D104" s="284">
        <v>0.35</v>
      </c>
      <c r="E104" s="280">
        <v>0.44</v>
      </c>
      <c r="F104" s="280">
        <v>0.56999999999999995</v>
      </c>
      <c r="G104" s="280">
        <v>0.72</v>
      </c>
      <c r="H104" s="280">
        <v>1</v>
      </c>
      <c r="I104" s="280">
        <v>1.1200000000000001</v>
      </c>
      <c r="J104" s="280">
        <v>1.27</v>
      </c>
      <c r="K104" s="282">
        <v>1.53</v>
      </c>
      <c r="L104" s="8"/>
      <c r="T104" s="38"/>
      <c r="U104" s="66"/>
      <c r="V104" s="51"/>
      <c r="X104" s="49"/>
      <c r="Y104" s="51"/>
      <c r="Z104" s="51"/>
      <c r="AA104" s="51"/>
      <c r="AB104" s="51"/>
    </row>
    <row r="105" spans="2:28" ht="19.5" customHeight="1" x14ac:dyDescent="0.25">
      <c r="B105" s="298" t="s">
        <v>147</v>
      </c>
      <c r="C105" s="299"/>
      <c r="D105" s="284">
        <v>0.28000000000000003</v>
      </c>
      <c r="E105" s="280">
        <v>0.39</v>
      </c>
      <c r="F105" s="280">
        <v>0.5</v>
      </c>
      <c r="G105" s="280">
        <v>0.62</v>
      </c>
      <c r="H105" s="280">
        <v>0.75</v>
      </c>
      <c r="I105" s="280">
        <v>0.89</v>
      </c>
      <c r="J105" s="280">
        <v>1.01</v>
      </c>
      <c r="K105" s="282">
        <v>1.25</v>
      </c>
      <c r="L105" s="8"/>
      <c r="M105" s="8"/>
      <c r="T105" s="38"/>
      <c r="U105" s="66"/>
      <c r="V105" s="51"/>
      <c r="X105" s="49"/>
      <c r="Y105" s="51"/>
      <c r="Z105" s="51"/>
      <c r="AA105" s="51"/>
      <c r="AB105" s="51"/>
    </row>
    <row r="106" spans="2:28" ht="19.5" customHeight="1" thickBot="1" x14ac:dyDescent="0.3">
      <c r="B106" s="300" t="s">
        <v>148</v>
      </c>
      <c r="C106" s="301"/>
      <c r="D106" s="302">
        <v>0.11</v>
      </c>
      <c r="E106" s="302">
        <v>0.17</v>
      </c>
      <c r="F106" s="302">
        <v>0.22</v>
      </c>
      <c r="G106" s="302">
        <v>0.3</v>
      </c>
      <c r="H106" s="303">
        <v>0.38</v>
      </c>
      <c r="I106" s="303">
        <v>0.42</v>
      </c>
      <c r="J106" s="303">
        <v>0.44</v>
      </c>
      <c r="K106" s="304">
        <v>0.49</v>
      </c>
      <c r="L106" s="8"/>
      <c r="M106" s="8"/>
      <c r="T106" s="38"/>
      <c r="U106" s="66"/>
      <c r="V106" s="67"/>
      <c r="X106" s="49"/>
      <c r="Y106" s="51"/>
      <c r="Z106" s="51"/>
      <c r="AA106" s="51"/>
      <c r="AB106" s="51"/>
    </row>
    <row r="107" spans="2:28" ht="5.25" customHeight="1" thickBot="1" x14ac:dyDescent="0.3">
      <c r="B107" s="139"/>
      <c r="C107" s="14"/>
      <c r="D107" s="14"/>
      <c r="E107" s="14"/>
      <c r="F107" s="14"/>
      <c r="G107" s="14"/>
      <c r="H107" s="14"/>
      <c r="I107" s="14"/>
      <c r="J107" s="14"/>
      <c r="K107" s="14"/>
      <c r="L107" s="26"/>
      <c r="M107" s="26"/>
      <c r="N107" s="14"/>
      <c r="O107" s="14"/>
      <c r="P107" s="14"/>
      <c r="Q107" s="14"/>
      <c r="R107" s="14"/>
      <c r="S107" s="14"/>
      <c r="T107" s="48"/>
      <c r="U107" s="66"/>
      <c r="V107" s="33"/>
      <c r="W107" s="33"/>
      <c r="X107" s="49"/>
      <c r="Y107" s="68"/>
      <c r="Z107" s="68"/>
      <c r="AA107" s="68"/>
    </row>
    <row r="108" spans="2:28" ht="19.5" customHeight="1" x14ac:dyDescent="0.25">
      <c r="B108" s="1250" t="s">
        <v>676</v>
      </c>
      <c r="C108" s="1251"/>
      <c r="D108" s="1251"/>
      <c r="E108" s="1251"/>
      <c r="F108" s="1251"/>
      <c r="G108" s="1251"/>
      <c r="H108" s="1251"/>
      <c r="I108" s="1251"/>
      <c r="J108" s="1251"/>
      <c r="K108" s="1251"/>
      <c r="L108" s="1251"/>
      <c r="M108" s="1251"/>
      <c r="N108" s="1251"/>
      <c r="O108" s="1251"/>
      <c r="P108" s="1251"/>
      <c r="Q108" s="1251"/>
      <c r="R108" s="1251"/>
      <c r="S108" s="1251"/>
      <c r="T108" s="1252"/>
      <c r="U108" s="42"/>
      <c r="V108" s="10"/>
      <c r="W108" s="11"/>
      <c r="X108" s="46"/>
      <c r="Y108" s="42"/>
      <c r="Z108" s="11"/>
      <c r="AA108" s="11"/>
      <c r="AB108" s="11"/>
    </row>
    <row r="109" spans="2:28" ht="19.5" customHeight="1" x14ac:dyDescent="0.25">
      <c r="B109" s="1387" t="s">
        <v>10</v>
      </c>
      <c r="C109" s="1388"/>
      <c r="D109" s="1388"/>
      <c r="E109" s="1388"/>
      <c r="F109" s="1388"/>
      <c r="G109" s="1388"/>
      <c r="H109" s="1388"/>
      <c r="I109" s="1388"/>
      <c r="J109" s="1388"/>
      <c r="K109" s="1388"/>
      <c r="L109" s="1388"/>
      <c r="M109" s="1388"/>
      <c r="N109" s="1388"/>
      <c r="O109" s="1388"/>
      <c r="P109" s="1388"/>
      <c r="Q109" s="1388"/>
      <c r="R109" s="1388"/>
      <c r="S109" s="1388"/>
      <c r="T109" s="1389"/>
      <c r="U109" s="42"/>
      <c r="V109" s="10"/>
      <c r="W109" s="11"/>
      <c r="X109" s="46"/>
      <c r="Y109" s="42"/>
      <c r="Z109" s="11"/>
      <c r="AA109" s="11"/>
      <c r="AB109" s="11"/>
    </row>
    <row r="110" spans="2:28" ht="19.5" customHeight="1" thickBot="1" x14ac:dyDescent="0.3">
      <c r="B110" s="1275" t="s">
        <v>23</v>
      </c>
      <c r="C110" s="1276"/>
      <c r="D110" s="1276"/>
      <c r="E110" s="1276"/>
      <c r="F110" s="1276"/>
      <c r="G110" s="1276"/>
      <c r="H110" s="1276"/>
      <c r="I110" s="1276"/>
      <c r="J110" s="1276"/>
      <c r="K110" s="1276"/>
      <c r="L110" s="1276"/>
      <c r="M110" s="1276"/>
      <c r="N110" s="1276"/>
      <c r="O110" s="1276"/>
      <c r="P110" s="1276"/>
      <c r="Q110" s="1276"/>
      <c r="R110" s="1276"/>
      <c r="S110" s="1276"/>
      <c r="T110" s="1277"/>
      <c r="U110" s="42"/>
      <c r="V110" s="10"/>
      <c r="W110" s="11"/>
      <c r="X110" s="46"/>
      <c r="Y110" s="42"/>
      <c r="Z110" s="11"/>
      <c r="AA110" s="11"/>
      <c r="AB110" s="11"/>
    </row>
    <row r="111" spans="2:28" ht="19.5" customHeight="1" x14ac:dyDescent="0.2">
      <c r="B111" s="145"/>
      <c r="C111" s="126"/>
      <c r="D111" s="126"/>
      <c r="E111" s="126"/>
      <c r="F111" s="126"/>
      <c r="G111" s="126"/>
      <c r="H111" s="126"/>
      <c r="I111" s="146"/>
      <c r="J111" s="126"/>
      <c r="K111" s="126"/>
      <c r="L111" s="8"/>
      <c r="M111" s="8"/>
      <c r="N111" s="12"/>
      <c r="O111" s="12"/>
      <c r="P111" s="12"/>
      <c r="Q111" s="12"/>
      <c r="U111" s="42"/>
      <c r="V111" s="10"/>
      <c r="W111" s="11"/>
      <c r="X111" s="46"/>
      <c r="Y111" s="42"/>
      <c r="Z111" s="11"/>
      <c r="AA111" s="11"/>
      <c r="AB111" s="11"/>
    </row>
    <row r="112" spans="2:28" ht="19.5" customHeight="1" x14ac:dyDescent="0.25"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"/>
      <c r="M112" s="8"/>
      <c r="N112" s="12"/>
      <c r="O112" s="12"/>
      <c r="P112" s="12"/>
      <c r="Q112" s="12"/>
      <c r="U112" s="42"/>
      <c r="V112" s="10"/>
      <c r="W112" s="11"/>
      <c r="X112" s="46"/>
      <c r="Y112" s="42"/>
      <c r="Z112" s="11"/>
      <c r="AA112" s="11"/>
      <c r="AB112" s="11"/>
    </row>
    <row r="113" spans="2:28" ht="19.5" customHeight="1" x14ac:dyDescent="0.2">
      <c r="B113" s="147"/>
      <c r="C113" s="126"/>
      <c r="D113" s="126"/>
      <c r="E113" s="126"/>
      <c r="F113" s="126"/>
      <c r="G113" s="126"/>
      <c r="H113" s="126"/>
      <c r="I113" s="145"/>
      <c r="J113" s="145"/>
      <c r="K113" s="145"/>
      <c r="L113" s="8"/>
      <c r="M113" s="8"/>
      <c r="N113" s="12"/>
      <c r="O113" s="12"/>
      <c r="P113" s="12"/>
      <c r="Q113" s="12"/>
      <c r="U113" s="42"/>
      <c r="V113" s="10"/>
      <c r="W113" s="11"/>
      <c r="X113" s="46"/>
      <c r="Y113" s="42"/>
      <c r="Z113" s="11"/>
      <c r="AA113" s="11"/>
      <c r="AB113" s="11"/>
    </row>
    <row r="114" spans="2:28" ht="19.5" customHeight="1" x14ac:dyDescent="0.2">
      <c r="B114" s="125"/>
      <c r="C114" s="126"/>
      <c r="D114" s="126"/>
      <c r="E114" s="126"/>
      <c r="F114" s="126"/>
      <c r="G114" s="126"/>
      <c r="H114" s="126"/>
      <c r="I114" s="126"/>
      <c r="J114" s="126"/>
      <c r="K114" s="126"/>
      <c r="L114" s="8"/>
      <c r="M114" s="8"/>
      <c r="N114" s="12"/>
      <c r="O114" s="12"/>
      <c r="P114" s="12"/>
      <c r="Q114" s="12"/>
      <c r="U114" s="42"/>
      <c r="V114" s="10"/>
      <c r="W114" s="11"/>
      <c r="X114" s="46"/>
      <c r="Y114" s="42"/>
      <c r="Z114" s="11"/>
      <c r="AA114" s="11"/>
      <c r="AB114" s="11"/>
    </row>
    <row r="115" spans="2:28" ht="19.5" customHeight="1" x14ac:dyDescent="0.2">
      <c r="B115" s="125"/>
      <c r="C115" s="126"/>
      <c r="D115" s="126"/>
      <c r="E115" s="126"/>
      <c r="F115" s="126"/>
      <c r="G115" s="126"/>
      <c r="H115" s="126"/>
      <c r="I115" s="126"/>
      <c r="J115" s="126"/>
      <c r="K115" s="126"/>
      <c r="L115" s="8"/>
      <c r="M115" s="8"/>
      <c r="N115" s="12"/>
      <c r="O115" s="12"/>
      <c r="P115" s="12"/>
      <c r="Q115" s="12"/>
      <c r="U115" s="42"/>
      <c r="V115" s="10"/>
      <c r="W115" s="11"/>
      <c r="X115" s="46"/>
      <c r="Y115" s="42"/>
      <c r="Z115" s="11"/>
      <c r="AA115" s="11"/>
      <c r="AB115" s="11"/>
    </row>
    <row r="116" spans="2:28" ht="19.5" customHeight="1" x14ac:dyDescent="0.2">
      <c r="B116" s="125"/>
      <c r="C116" s="126"/>
      <c r="D116" s="126"/>
      <c r="E116" s="126"/>
      <c r="F116" s="126"/>
      <c r="G116" s="126"/>
      <c r="H116" s="126"/>
      <c r="I116" s="126"/>
      <c r="J116" s="126"/>
      <c r="K116" s="126"/>
      <c r="L116" s="8"/>
      <c r="M116" s="8"/>
      <c r="N116" s="12"/>
      <c r="O116" s="12"/>
      <c r="P116" s="12"/>
      <c r="Q116" s="12"/>
      <c r="U116" s="42"/>
      <c r="V116" s="10"/>
      <c r="W116" s="11"/>
      <c r="X116" s="46"/>
      <c r="Y116" s="42"/>
      <c r="Z116" s="11"/>
      <c r="AA116" s="11"/>
      <c r="AB116" s="11"/>
    </row>
    <row r="117" spans="2:28" ht="19.5" customHeight="1" x14ac:dyDescent="0.2">
      <c r="B117" s="125"/>
      <c r="C117" s="126"/>
      <c r="D117" s="126"/>
      <c r="E117" s="126"/>
      <c r="F117" s="126"/>
      <c r="G117" s="126"/>
      <c r="H117" s="126"/>
      <c r="I117" s="126"/>
      <c r="J117" s="126"/>
      <c r="K117" s="126"/>
      <c r="L117" s="8"/>
      <c r="M117" s="8"/>
      <c r="N117" s="12"/>
      <c r="O117" s="12"/>
      <c r="P117" s="12"/>
      <c r="Q117" s="12"/>
      <c r="U117" s="42"/>
      <c r="V117" s="10"/>
      <c r="W117" s="11"/>
      <c r="X117" s="46"/>
      <c r="Y117" s="42"/>
      <c r="Z117" s="11"/>
      <c r="AA117" s="11"/>
      <c r="AB117" s="11"/>
    </row>
    <row r="118" spans="2:28" ht="19.5" customHeight="1" x14ac:dyDescent="0.2">
      <c r="B118" s="125"/>
      <c r="C118" s="126"/>
      <c r="D118" s="126"/>
      <c r="E118" s="126"/>
      <c r="F118" s="126"/>
      <c r="G118" s="126"/>
      <c r="H118" s="126"/>
      <c r="I118" s="126"/>
      <c r="J118" s="126"/>
      <c r="K118" s="126"/>
      <c r="L118" s="8"/>
      <c r="M118" s="8"/>
      <c r="N118" s="12"/>
      <c r="O118" s="12"/>
      <c r="P118" s="12"/>
      <c r="Q118" s="12"/>
      <c r="U118" s="42"/>
      <c r="V118" s="10"/>
      <c r="W118" s="11"/>
      <c r="X118" s="46"/>
      <c r="Y118" s="42"/>
      <c r="Z118" s="11"/>
      <c r="AA118" s="11"/>
      <c r="AB118" s="11"/>
    </row>
    <row r="119" spans="2:28" ht="19.5" customHeight="1" x14ac:dyDescent="0.2">
      <c r="B119" s="125"/>
      <c r="C119" s="126"/>
      <c r="D119" s="126"/>
      <c r="E119" s="126"/>
      <c r="F119" s="126"/>
      <c r="G119" s="126"/>
      <c r="H119" s="126"/>
      <c r="I119" s="126"/>
      <c r="J119" s="126"/>
      <c r="K119" s="126"/>
      <c r="L119" s="8"/>
      <c r="M119" s="8"/>
      <c r="N119" s="12"/>
      <c r="O119" s="12"/>
      <c r="P119" s="12"/>
      <c r="Q119" s="12"/>
      <c r="U119" s="42"/>
      <c r="V119" s="10"/>
      <c r="W119" s="11"/>
      <c r="X119" s="46"/>
      <c r="Y119" s="42"/>
      <c r="Z119" s="11"/>
      <c r="AA119" s="11"/>
      <c r="AB119" s="11"/>
    </row>
    <row r="120" spans="2:28" ht="19.5" customHeight="1" x14ac:dyDescent="0.2">
      <c r="B120" s="125"/>
      <c r="C120" s="126"/>
      <c r="D120" s="126"/>
      <c r="E120" s="126"/>
      <c r="F120" s="126"/>
      <c r="G120" s="126"/>
      <c r="H120" s="126"/>
      <c r="I120" s="126"/>
      <c r="J120" s="126"/>
      <c r="K120" s="126"/>
      <c r="L120" s="8"/>
      <c r="M120" s="8"/>
      <c r="N120" s="12"/>
      <c r="O120" s="12"/>
      <c r="P120" s="12"/>
      <c r="Q120" s="12"/>
      <c r="U120" s="42"/>
      <c r="V120" s="10"/>
      <c r="W120" s="11"/>
      <c r="X120" s="46"/>
      <c r="Y120" s="42"/>
      <c r="Z120" s="11"/>
      <c r="AA120" s="11"/>
      <c r="AB120" s="11"/>
    </row>
    <row r="121" spans="2:28" ht="19.5" customHeight="1" x14ac:dyDescent="0.2">
      <c r="B121" s="125"/>
      <c r="C121" s="126"/>
      <c r="D121" s="126"/>
      <c r="E121" s="126"/>
      <c r="F121" s="126"/>
      <c r="G121" s="126"/>
      <c r="H121" s="126"/>
      <c r="I121" s="126"/>
      <c r="J121" s="126"/>
      <c r="K121" s="126"/>
      <c r="L121" s="8"/>
      <c r="M121" s="8"/>
      <c r="N121" s="12"/>
      <c r="O121" s="12"/>
      <c r="P121" s="12"/>
      <c r="Q121" s="12"/>
      <c r="U121" s="42"/>
      <c r="V121" s="10"/>
      <c r="W121" s="11"/>
      <c r="X121" s="46"/>
      <c r="Y121" s="42"/>
      <c r="Z121" s="11"/>
      <c r="AA121" s="11"/>
      <c r="AB121" s="11"/>
    </row>
    <row r="122" spans="2:28" ht="19.5" customHeight="1" x14ac:dyDescent="0.2">
      <c r="B122" s="125"/>
      <c r="C122" s="126"/>
      <c r="D122" s="126"/>
      <c r="E122" s="126"/>
      <c r="F122" s="126"/>
      <c r="G122" s="126"/>
      <c r="H122" s="126"/>
      <c r="I122" s="126"/>
      <c r="J122" s="126"/>
      <c r="K122" s="126"/>
      <c r="L122" s="8"/>
      <c r="M122" s="8"/>
      <c r="N122" s="12"/>
      <c r="O122" s="12"/>
      <c r="P122" s="12"/>
      <c r="Q122" s="12"/>
      <c r="U122" s="42"/>
      <c r="V122" s="10"/>
      <c r="W122" s="11"/>
      <c r="X122" s="46"/>
      <c r="Y122" s="42"/>
      <c r="Z122" s="11"/>
      <c r="AA122" s="11"/>
      <c r="AB122" s="11"/>
    </row>
    <row r="123" spans="2:28" ht="19.5" customHeight="1" x14ac:dyDescent="0.2">
      <c r="B123" s="125"/>
      <c r="C123" s="126"/>
      <c r="D123" s="126"/>
      <c r="E123" s="126"/>
      <c r="F123" s="126"/>
      <c r="G123" s="126"/>
      <c r="H123" s="126"/>
      <c r="I123" s="126"/>
      <c r="J123" s="126"/>
      <c r="K123" s="126"/>
      <c r="L123" s="8"/>
      <c r="M123" s="8"/>
      <c r="N123" s="12"/>
      <c r="O123" s="12"/>
      <c r="P123" s="12"/>
      <c r="Q123" s="12"/>
      <c r="U123" s="42"/>
      <c r="V123" s="10"/>
      <c r="W123" s="11"/>
      <c r="X123" s="46"/>
      <c r="Y123" s="42"/>
      <c r="Z123" s="11"/>
      <c r="AA123" s="11"/>
      <c r="AB123" s="11"/>
    </row>
    <row r="124" spans="2:28" ht="19.5" customHeight="1" x14ac:dyDescent="0.25"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8"/>
      <c r="M124" s="8"/>
      <c r="N124" s="12"/>
      <c r="O124" s="12"/>
      <c r="P124" s="12"/>
      <c r="Q124" s="12"/>
      <c r="U124" s="42"/>
      <c r="V124" s="10"/>
      <c r="W124" s="11"/>
      <c r="X124" s="46"/>
      <c r="Y124" s="42"/>
      <c r="Z124" s="11"/>
      <c r="AA124" s="11"/>
      <c r="AB124" s="11"/>
    </row>
    <row r="125" spans="2:28" ht="19.5" customHeight="1" x14ac:dyDescent="0.2">
      <c r="B125" s="147"/>
      <c r="C125" s="126"/>
      <c r="D125" s="126"/>
      <c r="E125" s="126"/>
      <c r="F125" s="126"/>
      <c r="G125" s="126"/>
      <c r="H125" s="126"/>
      <c r="I125" s="145"/>
      <c r="J125" s="145"/>
      <c r="K125" s="145"/>
      <c r="L125" s="8"/>
      <c r="M125" s="8"/>
      <c r="N125" s="12"/>
      <c r="O125" s="12"/>
      <c r="P125" s="12"/>
      <c r="Q125" s="12"/>
      <c r="U125" s="42"/>
      <c r="V125" s="10"/>
      <c r="W125" s="11"/>
      <c r="X125" s="46"/>
      <c r="Y125" s="42"/>
      <c r="Z125" s="11"/>
      <c r="AA125" s="11"/>
      <c r="AB125" s="11"/>
    </row>
    <row r="126" spans="2:28" ht="19.5" customHeight="1" x14ac:dyDescent="0.2">
      <c r="B126" s="145"/>
      <c r="C126" s="126"/>
      <c r="D126" s="126"/>
      <c r="E126" s="126"/>
      <c r="F126" s="126"/>
      <c r="G126" s="126"/>
      <c r="H126" s="126"/>
      <c r="I126" s="126"/>
      <c r="J126" s="126"/>
      <c r="K126" s="126"/>
      <c r="L126" s="8"/>
      <c r="M126" s="8"/>
      <c r="N126" s="12"/>
      <c r="O126" s="12"/>
      <c r="P126" s="12"/>
      <c r="Q126" s="12"/>
      <c r="U126" s="42"/>
      <c r="V126" s="10"/>
      <c r="W126" s="11"/>
      <c r="X126" s="46"/>
      <c r="Y126" s="42"/>
      <c r="Z126" s="11"/>
      <c r="AA126" s="11"/>
      <c r="AB126" s="11"/>
    </row>
    <row r="127" spans="2:28" ht="19.5" customHeight="1" x14ac:dyDescent="0.2">
      <c r="B127" s="145"/>
      <c r="C127" s="126"/>
      <c r="D127" s="126"/>
      <c r="E127" s="126"/>
      <c r="F127" s="126"/>
      <c r="G127" s="126"/>
      <c r="H127" s="126"/>
      <c r="I127" s="126"/>
      <c r="J127" s="126"/>
      <c r="K127" s="126"/>
      <c r="L127" s="8"/>
      <c r="M127" s="8"/>
      <c r="N127" s="12"/>
      <c r="O127" s="12"/>
      <c r="P127" s="12"/>
      <c r="Q127" s="12"/>
      <c r="U127" s="42"/>
      <c r="V127" s="10"/>
      <c r="W127" s="11"/>
      <c r="X127" s="46"/>
      <c r="Y127" s="42"/>
      <c r="Z127" s="11"/>
      <c r="AA127" s="11"/>
      <c r="AB127" s="11"/>
    </row>
    <row r="128" spans="2:28" ht="19.5" customHeight="1" x14ac:dyDescent="0.2">
      <c r="B128" s="145"/>
      <c r="C128" s="126"/>
      <c r="D128" s="126"/>
      <c r="E128" s="126"/>
      <c r="F128" s="126"/>
      <c r="G128" s="126"/>
      <c r="H128" s="126"/>
      <c r="I128" s="126"/>
      <c r="J128" s="126"/>
      <c r="K128" s="126"/>
      <c r="L128" s="8"/>
      <c r="M128" s="8"/>
      <c r="N128" s="12"/>
      <c r="O128" s="12"/>
      <c r="P128" s="12"/>
      <c r="Q128" s="12"/>
      <c r="U128" s="42"/>
      <c r="V128" s="10"/>
      <c r="W128" s="11"/>
      <c r="X128" s="46"/>
      <c r="Y128" s="42"/>
      <c r="Z128" s="11"/>
      <c r="AA128" s="11"/>
      <c r="AB128" s="11"/>
    </row>
    <row r="129" spans="2:28" ht="19.5" customHeight="1" x14ac:dyDescent="0.2">
      <c r="B129" s="145"/>
      <c r="C129" s="126"/>
      <c r="D129" s="126"/>
      <c r="E129" s="126"/>
      <c r="F129" s="126"/>
      <c r="G129" s="126"/>
      <c r="H129" s="126"/>
      <c r="I129" s="126"/>
      <c r="J129" s="126"/>
      <c r="K129" s="126"/>
      <c r="L129" s="8"/>
      <c r="M129" s="8"/>
      <c r="N129" s="12"/>
      <c r="O129" s="12"/>
      <c r="P129" s="12"/>
      <c r="Q129" s="12"/>
      <c r="U129" s="42"/>
      <c r="V129" s="10"/>
      <c r="W129" s="11"/>
      <c r="X129" s="46"/>
      <c r="Y129" s="42"/>
      <c r="Z129" s="11"/>
      <c r="AA129" s="11"/>
      <c r="AB129" s="11"/>
    </row>
    <row r="130" spans="2:28" ht="19.5" customHeight="1" x14ac:dyDescent="0.2">
      <c r="B130" s="145"/>
      <c r="C130" s="126"/>
      <c r="D130" s="126"/>
      <c r="E130" s="126"/>
      <c r="F130" s="126"/>
      <c r="G130" s="126"/>
      <c r="H130" s="126"/>
      <c r="I130" s="126"/>
      <c r="J130" s="126"/>
      <c r="K130" s="126"/>
      <c r="L130" s="8"/>
      <c r="M130" s="8"/>
      <c r="N130" s="12"/>
      <c r="O130" s="12"/>
      <c r="P130" s="12"/>
      <c r="Q130" s="12"/>
      <c r="U130" s="42"/>
      <c r="V130" s="10"/>
      <c r="W130" s="11"/>
      <c r="X130" s="46"/>
      <c r="Y130" s="42"/>
      <c r="Z130" s="11"/>
      <c r="AA130" s="11"/>
      <c r="AB130" s="11"/>
    </row>
    <row r="131" spans="2:28" ht="19.5" customHeight="1" x14ac:dyDescent="0.2">
      <c r="B131" s="145"/>
      <c r="C131" s="126"/>
      <c r="D131" s="126"/>
      <c r="E131" s="126"/>
      <c r="F131" s="126"/>
      <c r="G131" s="126"/>
      <c r="H131" s="126"/>
      <c r="I131" s="126"/>
      <c r="J131" s="126"/>
      <c r="K131" s="126"/>
      <c r="L131" s="8"/>
      <c r="M131" s="8"/>
      <c r="N131" s="12"/>
      <c r="O131" s="12"/>
      <c r="P131" s="12"/>
      <c r="Q131" s="12"/>
      <c r="U131" s="42"/>
      <c r="V131" s="10"/>
      <c r="W131" s="11"/>
      <c r="X131" s="46"/>
      <c r="Y131" s="42"/>
      <c r="Z131" s="11"/>
      <c r="AA131" s="11"/>
      <c r="AB131" s="11"/>
    </row>
    <row r="132" spans="2:28" ht="19.5" customHeight="1" x14ac:dyDescent="0.2">
      <c r="B132" s="145"/>
      <c r="C132" s="126"/>
      <c r="D132" s="126"/>
      <c r="E132" s="126"/>
      <c r="F132" s="126"/>
      <c r="G132" s="126"/>
      <c r="H132" s="126"/>
      <c r="I132" s="126"/>
      <c r="J132" s="126"/>
      <c r="K132" s="126"/>
      <c r="L132" s="8"/>
      <c r="M132" s="8"/>
      <c r="N132" s="12"/>
      <c r="O132" s="12"/>
      <c r="P132" s="12"/>
      <c r="Q132" s="12"/>
      <c r="U132" s="42"/>
      <c r="V132" s="10"/>
      <c r="W132" s="11"/>
      <c r="X132" s="46"/>
      <c r="Y132" s="42"/>
      <c r="Z132" s="11"/>
      <c r="AA132" s="11"/>
      <c r="AB132" s="11"/>
    </row>
    <row r="133" spans="2:28" ht="19.5" customHeight="1" x14ac:dyDescent="0.2">
      <c r="B133" s="145"/>
      <c r="C133" s="126"/>
      <c r="D133" s="126"/>
      <c r="E133" s="126"/>
      <c r="F133" s="126"/>
      <c r="G133" s="126"/>
      <c r="H133" s="126"/>
      <c r="I133" s="126"/>
      <c r="J133" s="126"/>
      <c r="K133" s="126"/>
      <c r="L133" s="8"/>
      <c r="M133" s="8"/>
      <c r="N133" s="12"/>
      <c r="O133" s="12"/>
      <c r="P133" s="12"/>
      <c r="Q133" s="12"/>
      <c r="U133" s="42"/>
      <c r="V133" s="10"/>
      <c r="W133" s="11"/>
      <c r="X133" s="46"/>
      <c r="Y133" s="42"/>
      <c r="Z133" s="11"/>
      <c r="AA133" s="11"/>
      <c r="AB133" s="11"/>
    </row>
    <row r="134" spans="2:28" ht="19.5" customHeight="1" x14ac:dyDescent="0.2">
      <c r="B134" s="145"/>
      <c r="C134" s="126"/>
      <c r="D134" s="126"/>
      <c r="E134" s="126"/>
      <c r="F134" s="126"/>
      <c r="G134" s="126"/>
      <c r="H134" s="126"/>
      <c r="I134" s="126"/>
      <c r="J134" s="126"/>
      <c r="K134" s="126"/>
      <c r="L134" s="8"/>
      <c r="M134" s="8"/>
      <c r="N134" s="12"/>
      <c r="O134" s="12"/>
      <c r="P134" s="12"/>
      <c r="Q134" s="12"/>
      <c r="U134" s="42"/>
      <c r="V134" s="10"/>
      <c r="W134" s="11"/>
      <c r="X134" s="46"/>
      <c r="Y134" s="42"/>
      <c r="Z134" s="11"/>
      <c r="AA134" s="11"/>
      <c r="AB134" s="11"/>
    </row>
    <row r="135" spans="2:28" ht="19.5" customHeight="1" x14ac:dyDescent="0.2">
      <c r="B135" s="145"/>
      <c r="C135" s="126"/>
      <c r="D135" s="126"/>
      <c r="E135" s="126"/>
      <c r="F135" s="126"/>
      <c r="G135" s="126"/>
      <c r="H135" s="126"/>
      <c r="I135" s="126"/>
      <c r="J135" s="126"/>
      <c r="K135" s="126"/>
      <c r="L135" s="8"/>
      <c r="M135" s="8"/>
      <c r="N135" s="12"/>
      <c r="O135" s="12"/>
      <c r="P135" s="12"/>
      <c r="Q135" s="12"/>
      <c r="U135" s="42"/>
      <c r="V135" s="10"/>
      <c r="W135" s="11"/>
      <c r="X135" s="46"/>
      <c r="Y135" s="42"/>
      <c r="Z135" s="11"/>
      <c r="AA135" s="11"/>
      <c r="AB135" s="11"/>
    </row>
    <row r="136" spans="2:28" ht="19.5" customHeight="1" x14ac:dyDescent="0.25"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8"/>
      <c r="M136" s="8"/>
      <c r="N136" s="12"/>
      <c r="O136" s="12"/>
      <c r="P136" s="12"/>
      <c r="Q136" s="12"/>
      <c r="U136" s="42"/>
      <c r="V136" s="10"/>
      <c r="W136" s="11"/>
      <c r="X136" s="46"/>
      <c r="Y136" s="42"/>
      <c r="Z136" s="11"/>
      <c r="AA136" s="11"/>
      <c r="AB136" s="11"/>
    </row>
    <row r="137" spans="2:28" ht="19.5" customHeight="1" x14ac:dyDescent="0.2">
      <c r="B137" s="147"/>
      <c r="C137" s="126"/>
      <c r="D137" s="126"/>
      <c r="E137" s="126"/>
      <c r="F137" s="126"/>
      <c r="G137" s="126"/>
      <c r="H137" s="126"/>
      <c r="I137" s="145"/>
      <c r="J137" s="145"/>
      <c r="K137" s="145"/>
      <c r="L137" s="8"/>
      <c r="M137" s="8"/>
      <c r="N137" s="12"/>
      <c r="O137" s="12"/>
      <c r="P137" s="12"/>
      <c r="Q137" s="12"/>
      <c r="U137" s="42"/>
      <c r="V137" s="10"/>
      <c r="W137" s="11"/>
      <c r="X137" s="46"/>
      <c r="Y137" s="42"/>
      <c r="Z137" s="11"/>
      <c r="AA137" s="11"/>
      <c r="AB137" s="11"/>
    </row>
    <row r="138" spans="2:28" ht="19.5" customHeight="1" x14ac:dyDescent="0.2">
      <c r="B138" s="125"/>
      <c r="C138" s="126"/>
      <c r="D138" s="126"/>
      <c r="E138" s="126"/>
      <c r="F138" s="126"/>
      <c r="G138" s="126"/>
      <c r="H138" s="126"/>
      <c r="I138" s="126"/>
      <c r="J138" s="126"/>
      <c r="K138" s="126"/>
      <c r="L138" s="8"/>
      <c r="M138" s="8"/>
      <c r="N138" s="12"/>
      <c r="O138" s="12"/>
      <c r="P138" s="12"/>
      <c r="Q138" s="12"/>
      <c r="U138" s="42"/>
      <c r="V138" s="10"/>
      <c r="W138" s="11"/>
      <c r="X138" s="46"/>
      <c r="Y138" s="42"/>
      <c r="Z138" s="11"/>
      <c r="AA138" s="11"/>
      <c r="AB138" s="11"/>
    </row>
    <row r="139" spans="2:28" ht="19.5" customHeight="1" x14ac:dyDescent="0.2">
      <c r="B139" s="125"/>
      <c r="C139" s="126"/>
      <c r="D139" s="126"/>
      <c r="E139" s="126"/>
      <c r="F139" s="126"/>
      <c r="G139" s="126"/>
      <c r="H139" s="126"/>
      <c r="I139" s="126"/>
      <c r="J139" s="126"/>
      <c r="K139" s="126"/>
      <c r="L139" s="8"/>
      <c r="M139" s="8"/>
      <c r="N139" s="12"/>
      <c r="O139" s="12"/>
      <c r="P139" s="12"/>
      <c r="Q139" s="12"/>
      <c r="U139" s="42"/>
      <c r="V139" s="10"/>
      <c r="W139" s="11"/>
      <c r="X139" s="46"/>
      <c r="Y139" s="42"/>
      <c r="Z139" s="11"/>
      <c r="AA139" s="11"/>
      <c r="AB139" s="11"/>
    </row>
    <row r="140" spans="2:28" ht="19.5" customHeight="1" x14ac:dyDescent="0.2">
      <c r="B140" s="125"/>
      <c r="C140" s="126"/>
      <c r="D140" s="126"/>
      <c r="E140" s="126"/>
      <c r="F140" s="126"/>
      <c r="G140" s="126"/>
      <c r="H140" s="126"/>
      <c r="I140" s="126"/>
      <c r="J140" s="126"/>
      <c r="K140" s="126"/>
      <c r="L140" s="8"/>
      <c r="M140" s="8"/>
      <c r="N140" s="12"/>
      <c r="O140" s="12"/>
      <c r="P140" s="12"/>
      <c r="Q140" s="12"/>
      <c r="U140" s="42"/>
      <c r="V140" s="10"/>
      <c r="W140" s="11"/>
      <c r="X140" s="46"/>
      <c r="Y140" s="42"/>
      <c r="Z140" s="11"/>
      <c r="AA140" s="11"/>
      <c r="AB140" s="11"/>
    </row>
    <row r="141" spans="2:28" ht="19.5" customHeight="1" x14ac:dyDescent="0.2">
      <c r="B141" s="125"/>
      <c r="C141" s="126"/>
      <c r="D141" s="126"/>
      <c r="E141" s="126"/>
      <c r="F141" s="126"/>
      <c r="G141" s="126"/>
      <c r="H141" s="126"/>
      <c r="I141" s="126"/>
      <c r="J141" s="126"/>
      <c r="K141" s="126"/>
      <c r="L141" s="8"/>
      <c r="M141" s="8"/>
      <c r="N141" s="12"/>
      <c r="O141" s="12"/>
      <c r="P141" s="12"/>
      <c r="Q141" s="12"/>
      <c r="U141" s="42"/>
      <c r="V141" s="10"/>
      <c r="W141" s="11"/>
      <c r="X141" s="46"/>
      <c r="Y141" s="42"/>
      <c r="Z141" s="11"/>
      <c r="AA141" s="11"/>
      <c r="AB141" s="11"/>
    </row>
    <row r="142" spans="2:28" ht="19.5" customHeight="1" x14ac:dyDescent="0.2">
      <c r="B142" s="125"/>
      <c r="C142" s="126"/>
      <c r="D142" s="126"/>
      <c r="E142" s="126"/>
      <c r="F142" s="126"/>
      <c r="G142" s="126"/>
      <c r="H142" s="126"/>
      <c r="I142" s="126"/>
      <c r="J142" s="126"/>
      <c r="K142" s="126"/>
      <c r="L142" s="8"/>
      <c r="M142" s="8"/>
      <c r="N142" s="12"/>
      <c r="O142" s="12"/>
      <c r="P142" s="12"/>
      <c r="Q142" s="12"/>
      <c r="U142" s="42"/>
      <c r="V142" s="10"/>
      <c r="W142" s="11"/>
      <c r="X142" s="46"/>
      <c r="Y142" s="42"/>
      <c r="Z142" s="11"/>
      <c r="AA142" s="11"/>
      <c r="AB142" s="11"/>
    </row>
    <row r="143" spans="2:28" ht="19.5" customHeight="1" x14ac:dyDescent="0.2">
      <c r="B143" s="125"/>
      <c r="C143" s="126"/>
      <c r="D143" s="126"/>
      <c r="E143" s="126"/>
      <c r="F143" s="126"/>
      <c r="G143" s="126"/>
      <c r="H143" s="126"/>
      <c r="I143" s="126"/>
      <c r="J143" s="126"/>
      <c r="K143" s="126"/>
      <c r="L143" s="8"/>
      <c r="M143" s="8"/>
      <c r="N143" s="12"/>
      <c r="O143" s="12"/>
      <c r="P143" s="12"/>
      <c r="Q143" s="12"/>
      <c r="U143" s="42"/>
      <c r="V143" s="10"/>
      <c r="W143" s="11"/>
      <c r="X143" s="46"/>
      <c r="Y143" s="42"/>
      <c r="Z143" s="11"/>
      <c r="AA143" s="11"/>
      <c r="AB143" s="11"/>
    </row>
    <row r="144" spans="2:28" ht="19.5" customHeight="1" x14ac:dyDescent="0.2">
      <c r="B144" s="125"/>
      <c r="C144" s="126"/>
      <c r="D144" s="126"/>
      <c r="E144" s="126"/>
      <c r="F144" s="126"/>
      <c r="G144" s="126"/>
      <c r="H144" s="126"/>
      <c r="I144" s="126"/>
      <c r="J144" s="126"/>
      <c r="K144" s="126"/>
      <c r="L144" s="8"/>
      <c r="M144" s="8"/>
      <c r="N144" s="12"/>
      <c r="O144" s="12"/>
      <c r="P144" s="12"/>
      <c r="Q144" s="12"/>
      <c r="U144" s="42"/>
      <c r="V144" s="10"/>
      <c r="W144" s="11"/>
      <c r="X144" s="46"/>
      <c r="Y144" s="42"/>
      <c r="Z144" s="11"/>
      <c r="AA144" s="11"/>
      <c r="AB144" s="11"/>
    </row>
    <row r="145" spans="2:28" ht="19.5" customHeight="1" x14ac:dyDescent="0.2">
      <c r="B145" s="125"/>
      <c r="C145" s="126"/>
      <c r="D145" s="126"/>
      <c r="E145" s="126"/>
      <c r="F145" s="126"/>
      <c r="G145" s="126"/>
      <c r="H145" s="126"/>
      <c r="I145" s="126"/>
      <c r="J145" s="126"/>
      <c r="K145" s="126"/>
      <c r="L145" s="8"/>
      <c r="M145" s="8"/>
      <c r="N145" s="12"/>
      <c r="O145" s="12"/>
      <c r="P145" s="12"/>
      <c r="Q145" s="12"/>
      <c r="U145" s="42"/>
      <c r="V145" s="10"/>
      <c r="W145" s="11"/>
      <c r="X145" s="46"/>
      <c r="Y145" s="42"/>
      <c r="Z145" s="11"/>
      <c r="AA145" s="11"/>
      <c r="AB145" s="11"/>
    </row>
    <row r="146" spans="2:28" ht="19.5" customHeight="1" x14ac:dyDescent="0.2">
      <c r="B146" s="125"/>
      <c r="C146" s="126"/>
      <c r="D146" s="126"/>
      <c r="E146" s="126"/>
      <c r="F146" s="126"/>
      <c r="G146" s="126"/>
      <c r="H146" s="126"/>
      <c r="I146" s="126"/>
      <c r="J146" s="126"/>
      <c r="K146" s="126"/>
      <c r="L146" s="8"/>
      <c r="M146" s="8"/>
      <c r="N146" s="12"/>
      <c r="O146" s="12"/>
      <c r="P146" s="12"/>
      <c r="Q146" s="12"/>
      <c r="U146" s="42"/>
      <c r="V146" s="10"/>
      <c r="W146" s="11"/>
      <c r="X146" s="46"/>
      <c r="Y146" s="42"/>
      <c r="Z146" s="11"/>
      <c r="AA146" s="11"/>
      <c r="AB146" s="11"/>
    </row>
    <row r="147" spans="2:28" ht="19.5" customHeight="1" x14ac:dyDescent="0.2">
      <c r="B147" s="125"/>
      <c r="C147" s="126"/>
      <c r="D147" s="126"/>
      <c r="E147" s="126"/>
      <c r="F147" s="126"/>
      <c r="G147" s="126"/>
      <c r="H147" s="126"/>
      <c r="I147" s="126"/>
      <c r="J147" s="126"/>
      <c r="K147" s="126"/>
      <c r="L147" s="8"/>
      <c r="M147" s="8"/>
      <c r="N147" s="12"/>
      <c r="O147" s="12"/>
      <c r="P147" s="12"/>
      <c r="Q147" s="12"/>
      <c r="U147" s="42"/>
      <c r="V147" s="10"/>
      <c r="W147" s="11"/>
      <c r="X147" s="46"/>
      <c r="Y147" s="42"/>
      <c r="Z147" s="11"/>
      <c r="AA147" s="11"/>
      <c r="AB147" s="11"/>
    </row>
    <row r="148" spans="2:28" ht="19.5" customHeight="1" x14ac:dyDescent="0.2">
      <c r="J148" s="12"/>
      <c r="K148" s="12"/>
      <c r="L148" s="8"/>
      <c r="M148" s="8"/>
      <c r="N148" s="12"/>
      <c r="O148" s="12"/>
      <c r="P148" s="12"/>
      <c r="Q148" s="12"/>
      <c r="U148" s="42"/>
      <c r="V148" s="10"/>
      <c r="W148" s="11"/>
      <c r="X148" s="46"/>
      <c r="Y148" s="42"/>
      <c r="Z148" s="11"/>
      <c r="AA148" s="11"/>
      <c r="AB148" s="11"/>
    </row>
    <row r="149" spans="2:28" ht="19.5" customHeight="1" x14ac:dyDescent="0.2">
      <c r="J149" s="12"/>
      <c r="K149" s="12"/>
      <c r="L149" s="8"/>
      <c r="M149" s="8"/>
      <c r="N149" s="12"/>
      <c r="O149" s="12"/>
      <c r="P149" s="12"/>
      <c r="Q149" s="12"/>
      <c r="U149" s="42"/>
      <c r="V149" s="10"/>
      <c r="W149" s="11"/>
      <c r="X149" s="46"/>
      <c r="Y149" s="42"/>
      <c r="Z149" s="11"/>
      <c r="AA149" s="11"/>
      <c r="AB149" s="11"/>
    </row>
    <row r="150" spans="2:28" ht="19.5" customHeight="1" x14ac:dyDescent="0.2">
      <c r="J150" s="12"/>
      <c r="K150" s="12"/>
      <c r="L150" s="8"/>
      <c r="M150" s="8"/>
      <c r="N150" s="12"/>
      <c r="O150" s="12"/>
      <c r="P150" s="12"/>
      <c r="Q150" s="12"/>
      <c r="U150" s="42"/>
      <c r="V150" s="10"/>
      <c r="W150" s="11"/>
      <c r="X150" s="46"/>
      <c r="Y150" s="42"/>
      <c r="Z150" s="11"/>
      <c r="AA150" s="11"/>
      <c r="AB150" s="11"/>
    </row>
    <row r="151" spans="2:28" ht="19.5" customHeight="1" x14ac:dyDescent="0.2">
      <c r="J151" s="12"/>
      <c r="K151" s="12"/>
      <c r="L151" s="8"/>
      <c r="M151" s="8"/>
      <c r="N151" s="12"/>
      <c r="O151" s="12"/>
      <c r="P151" s="12"/>
      <c r="Q151" s="12"/>
      <c r="U151" s="42"/>
      <c r="V151" s="10"/>
      <c r="W151" s="11"/>
      <c r="X151" s="46"/>
      <c r="Y151" s="42"/>
      <c r="Z151" s="11"/>
      <c r="AA151" s="11"/>
      <c r="AB151" s="11"/>
    </row>
    <row r="158" spans="2:28" x14ac:dyDescent="0.2">
      <c r="K158" s="4"/>
      <c r="N158" s="1"/>
      <c r="O158" s="2"/>
      <c r="P158" s="2"/>
      <c r="Q158" s="2"/>
      <c r="R158" s="2"/>
    </row>
    <row r="159" spans="2:28" x14ac:dyDescent="0.2">
      <c r="K159" s="4"/>
    </row>
    <row r="160" spans="2:28" x14ac:dyDescent="0.2">
      <c r="K160" s="4"/>
    </row>
  </sheetData>
  <mergeCells count="62">
    <mergeCell ref="R92:S92"/>
    <mergeCell ref="O33:S33"/>
    <mergeCell ref="O34:S34"/>
    <mergeCell ref="N40:T40"/>
    <mergeCell ref="N53:T53"/>
    <mergeCell ref="R96:S96"/>
    <mergeCell ref="N54:T54"/>
    <mergeCell ref="N55:T55"/>
    <mergeCell ref="N56:T56"/>
    <mergeCell ref="P59:R59"/>
    <mergeCell ref="P60:R60"/>
    <mergeCell ref="P61:R61"/>
    <mergeCell ref="P62:R62"/>
    <mergeCell ref="N64:T64"/>
    <mergeCell ref="S65:T65"/>
    <mergeCell ref="S66:T66"/>
    <mergeCell ref="N67:R67"/>
    <mergeCell ref="S67:T67"/>
    <mergeCell ref="R89:S89"/>
    <mergeCell ref="R90:S90"/>
    <mergeCell ref="R91:S91"/>
    <mergeCell ref="B110:T110"/>
    <mergeCell ref="B108:T108"/>
    <mergeCell ref="B109:T109"/>
    <mergeCell ref="B102:K102"/>
    <mergeCell ref="B98:K98"/>
    <mergeCell ref="R98:S98"/>
    <mergeCell ref="R99:S99"/>
    <mergeCell ref="R100:S100"/>
    <mergeCell ref="R101:S101"/>
    <mergeCell ref="R97:S97"/>
    <mergeCell ref="N71:T71"/>
    <mergeCell ref="N95:T95"/>
    <mergeCell ref="N83:T83"/>
    <mergeCell ref="B17:K17"/>
    <mergeCell ref="B40:K40"/>
    <mergeCell ref="N17:T17"/>
    <mergeCell ref="B29:K29"/>
    <mergeCell ref="B94:K94"/>
    <mergeCell ref="B75:K75"/>
    <mergeCell ref="B63:K63"/>
    <mergeCell ref="B88:K88"/>
    <mergeCell ref="N88:T88"/>
    <mergeCell ref="N82:T82"/>
    <mergeCell ref="N80:T80"/>
    <mergeCell ref="N87:T87"/>
    <mergeCell ref="B52:K52"/>
    <mergeCell ref="B87:K87"/>
    <mergeCell ref="R2:T2"/>
    <mergeCell ref="B8:T8"/>
    <mergeCell ref="B10:T11"/>
    <mergeCell ref="B15:T15"/>
    <mergeCell ref="B6:D6"/>
    <mergeCell ref="B2:D2"/>
    <mergeCell ref="B3:D3"/>
    <mergeCell ref="B4:D4"/>
    <mergeCell ref="B5:D5"/>
    <mergeCell ref="J7:K7"/>
    <mergeCell ref="L7:N7"/>
    <mergeCell ref="O7:Q7"/>
    <mergeCell ref="B12:T13"/>
    <mergeCell ref="N25:T25"/>
  </mergeCells>
  <hyperlinks>
    <hyperlink ref="B6" r:id="rId1" xr:uid="{89EF10E5-08BA-439E-9E8B-1BFC45C14449}"/>
    <hyperlink ref="N83" r:id="rId2" display="https://www.amwestcorrespondent.com/Licensed-States" xr:uid="{84C0B5B3-4865-4927-97D9-1A873BB63CA7}"/>
  </hyperlinks>
  <printOptions horizontalCentered="1" verticalCentered="1"/>
  <pageMargins left="0.1" right="0.1" top="0.1" bottom="0.1" header="0.1" footer="0.1"/>
  <pageSetup paperSize="5" scale="47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FDE6-927A-48E1-8C1A-6D6833C11877}">
  <sheetPr codeName="Sheet4">
    <pageSetUpPr fitToPage="1"/>
  </sheetPr>
  <dimension ref="A1:AD242"/>
  <sheetViews>
    <sheetView zoomScale="80" zoomScaleNormal="80" zoomScalePageLayoutView="70" workbookViewId="0">
      <selection activeCell="H19" sqref="H19"/>
    </sheetView>
  </sheetViews>
  <sheetFormatPr defaultColWidth="8.85546875" defaultRowHeight="14.25" x14ac:dyDescent="0.2"/>
  <cols>
    <col min="1" max="1" width="7.5703125" style="5" customWidth="1"/>
    <col min="2" max="2" width="22.85546875" style="5" customWidth="1"/>
    <col min="3" max="3" width="13" style="5" customWidth="1"/>
    <col min="4" max="7" width="12.28515625" style="5" customWidth="1"/>
    <col min="8" max="8" width="12.7109375" style="5" customWidth="1"/>
    <col min="9" max="9" width="12.28515625" style="5" customWidth="1"/>
    <col min="10" max="10" width="11.85546875" style="5" customWidth="1"/>
    <col min="11" max="11" width="12.140625" style="5" customWidth="1"/>
    <col min="12" max="12" width="15.42578125" style="5" customWidth="1"/>
    <col min="13" max="13" width="12.85546875" style="5" customWidth="1"/>
    <col min="14" max="14" width="13.28515625" style="5" customWidth="1"/>
    <col min="15" max="15" width="12.5703125" style="5" customWidth="1"/>
    <col min="16" max="16" width="13.140625" style="5" customWidth="1"/>
    <col min="17" max="17" width="7.5703125" style="5" customWidth="1"/>
    <col min="18" max="20" width="8.85546875" style="5"/>
    <col min="21" max="21" width="8.85546875" style="172"/>
    <col min="22" max="22" width="27.28515625" style="5" customWidth="1"/>
    <col min="23" max="16384" width="8.85546875" style="5"/>
  </cols>
  <sheetData>
    <row r="1" spans="1:22" ht="18" customHeight="1" x14ac:dyDescent="0.25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326" t="s">
        <v>721</v>
      </c>
      <c r="U1" s="5"/>
    </row>
    <row r="2" spans="1:22" ht="17.25" customHeight="1" x14ac:dyDescent="0.25">
      <c r="B2" s="1500" t="s">
        <v>0</v>
      </c>
      <c r="C2" s="1501"/>
      <c r="D2" s="1502"/>
      <c r="E2" s="27"/>
      <c r="F2" s="27"/>
      <c r="G2" s="27"/>
      <c r="H2" s="27"/>
      <c r="I2" s="27"/>
      <c r="J2" s="27"/>
      <c r="K2" s="27"/>
      <c r="L2" s="27"/>
      <c r="M2" s="27"/>
      <c r="N2" s="1366"/>
      <c r="O2" s="1367"/>
      <c r="P2" s="1368"/>
      <c r="U2" s="5"/>
    </row>
    <row r="3" spans="1:22" ht="17.25" customHeight="1" x14ac:dyDescent="0.25">
      <c r="A3" s="149"/>
      <c r="B3" s="1272" t="s">
        <v>1</v>
      </c>
      <c r="C3" s="1273"/>
      <c r="D3" s="1274"/>
      <c r="E3" s="27"/>
      <c r="F3" s="117"/>
      <c r="G3" s="117"/>
      <c r="H3" s="117"/>
      <c r="I3" s="117"/>
      <c r="J3" s="117"/>
      <c r="K3" s="117"/>
      <c r="L3" s="117"/>
      <c r="M3" s="117"/>
      <c r="N3" s="309"/>
      <c r="O3" s="167"/>
      <c r="P3" s="310"/>
      <c r="U3" s="5"/>
    </row>
    <row r="4" spans="1:22" ht="17.25" customHeight="1" x14ac:dyDescent="0.25">
      <c r="A4" s="149"/>
      <c r="B4" s="1272" t="s">
        <v>2</v>
      </c>
      <c r="C4" s="1273"/>
      <c r="D4" s="1274"/>
      <c r="E4" s="27"/>
      <c r="F4" s="117"/>
      <c r="G4" s="117"/>
      <c r="H4" s="117"/>
      <c r="I4" s="117"/>
      <c r="J4" s="117"/>
      <c r="K4" s="117"/>
      <c r="L4" s="117"/>
      <c r="M4" s="117"/>
      <c r="N4" s="309"/>
      <c r="O4" s="167"/>
      <c r="P4" s="310"/>
      <c r="U4" s="5"/>
    </row>
    <row r="5" spans="1:22" ht="17.25" customHeight="1" x14ac:dyDescent="0.25">
      <c r="A5" s="149"/>
      <c r="B5" s="1272" t="s">
        <v>3</v>
      </c>
      <c r="C5" s="1273"/>
      <c r="D5" s="1274"/>
      <c r="E5" s="157"/>
      <c r="F5" s="27"/>
      <c r="G5" s="27"/>
      <c r="H5" s="27"/>
      <c r="I5" s="27"/>
      <c r="J5" s="27"/>
      <c r="K5" s="27"/>
      <c r="L5" s="27"/>
      <c r="M5" s="27"/>
      <c r="N5" s="309"/>
      <c r="O5" s="167"/>
      <c r="P5" s="310"/>
      <c r="U5" s="5"/>
    </row>
    <row r="6" spans="1:22" ht="17.25" customHeight="1" x14ac:dyDescent="0.25">
      <c r="A6" s="149"/>
      <c r="B6" s="1266" t="s">
        <v>4</v>
      </c>
      <c r="C6" s="1267"/>
      <c r="D6" s="1268"/>
      <c r="E6" s="313"/>
      <c r="F6" s="117"/>
      <c r="G6" s="117"/>
      <c r="H6" s="117"/>
      <c r="I6" s="117"/>
      <c r="J6" s="117"/>
      <c r="K6" s="117"/>
      <c r="L6" s="117"/>
      <c r="M6" s="117"/>
      <c r="N6" s="311"/>
      <c r="O6" s="135"/>
      <c r="P6" s="312"/>
      <c r="U6" s="5"/>
    </row>
    <row r="7" spans="1:22" ht="17.25" customHeight="1" thickBot="1" x14ac:dyDescent="0.3">
      <c r="B7" s="314"/>
      <c r="C7" s="27"/>
      <c r="D7" s="27"/>
      <c r="E7" s="27"/>
      <c r="F7" s="117" t="s">
        <v>5</v>
      </c>
      <c r="G7" s="27"/>
      <c r="H7" s="117"/>
      <c r="I7" s="117"/>
      <c r="J7" s="1369" t="s">
        <v>6</v>
      </c>
      <c r="K7" s="1369"/>
      <c r="L7" s="315">
        <f ca="1">TODAY()</f>
        <v>46101</v>
      </c>
      <c r="M7" s="576" t="str">
        <f>LLPAS!O7</f>
        <v>8:00 AM PST</v>
      </c>
      <c r="N7" s="27"/>
      <c r="O7" s="27"/>
      <c r="P7" s="27"/>
      <c r="U7" s="5"/>
    </row>
    <row r="8" spans="1:22" ht="27" customHeight="1" x14ac:dyDescent="0.2">
      <c r="B8" s="1503" t="s">
        <v>7</v>
      </c>
      <c r="C8" s="1504"/>
      <c r="D8" s="1504"/>
      <c r="E8" s="1504"/>
      <c r="F8" s="1504"/>
      <c r="G8" s="1504"/>
      <c r="H8" s="1504"/>
      <c r="I8" s="1504"/>
      <c r="J8" s="1504"/>
      <c r="K8" s="1504"/>
      <c r="L8" s="1504"/>
      <c r="M8" s="1504"/>
      <c r="N8" s="1504"/>
      <c r="O8" s="1504"/>
      <c r="P8" s="1505"/>
      <c r="U8" s="5"/>
    </row>
    <row r="9" spans="1:22" ht="23.25" customHeight="1" x14ac:dyDescent="0.2">
      <c r="B9" s="316" t="s">
        <v>364</v>
      </c>
      <c r="C9" s="324"/>
      <c r="D9" s="322"/>
      <c r="E9" s="323"/>
      <c r="F9" s="323"/>
      <c r="G9" s="325" t="s">
        <v>9</v>
      </c>
      <c r="H9" s="325"/>
      <c r="I9" s="325"/>
      <c r="J9" s="325" t="s">
        <v>352</v>
      </c>
      <c r="K9" s="325"/>
      <c r="L9" s="325"/>
      <c r="M9" s="1506" t="s">
        <v>625</v>
      </c>
      <c r="N9" s="1506"/>
      <c r="O9" s="1506"/>
      <c r="P9" s="1507"/>
      <c r="U9" s="5"/>
    </row>
    <row r="10" spans="1:22" ht="15.75" customHeight="1" x14ac:dyDescent="0.2">
      <c r="B10" s="1497" t="s">
        <v>11</v>
      </c>
      <c r="C10" s="1498"/>
      <c r="D10" s="1498"/>
      <c r="E10" s="1498"/>
      <c r="F10" s="1498"/>
      <c r="G10" s="1498"/>
      <c r="H10" s="1498"/>
      <c r="I10" s="1498"/>
      <c r="J10" s="1498"/>
      <c r="K10" s="1498"/>
      <c r="L10" s="1498"/>
      <c r="M10" s="1498"/>
      <c r="N10" s="1498"/>
      <c r="O10" s="1498"/>
      <c r="P10" s="1499"/>
      <c r="U10" s="5"/>
    </row>
    <row r="11" spans="1:22" ht="12" customHeight="1" x14ac:dyDescent="0.2">
      <c r="B11" s="1497"/>
      <c r="C11" s="1498"/>
      <c r="D11" s="1498"/>
      <c r="E11" s="1498"/>
      <c r="F11" s="1498"/>
      <c r="G11" s="1498"/>
      <c r="H11" s="1498"/>
      <c r="I11" s="1498"/>
      <c r="J11" s="1498"/>
      <c r="K11" s="1498"/>
      <c r="L11" s="1498"/>
      <c r="M11" s="1498"/>
      <c r="N11" s="1498"/>
      <c r="O11" s="1498"/>
      <c r="P11" s="1499"/>
      <c r="U11" s="5"/>
    </row>
    <row r="12" spans="1:22" ht="23.25" customHeight="1" x14ac:dyDescent="0.2">
      <c r="B12" s="1491" t="s">
        <v>441</v>
      </c>
      <c r="C12" s="1492"/>
      <c r="D12" s="1492"/>
      <c r="E12" s="1492"/>
      <c r="F12" s="1492"/>
      <c r="G12" s="1492"/>
      <c r="H12" s="1492"/>
      <c r="I12" s="1492"/>
      <c r="J12" s="1492"/>
      <c r="K12" s="1492"/>
      <c r="L12" s="1492"/>
      <c r="M12" s="1492"/>
      <c r="N12" s="1492"/>
      <c r="O12" s="1492"/>
      <c r="P12" s="1493"/>
      <c r="U12" s="5"/>
    </row>
    <row r="13" spans="1:22" ht="18" customHeight="1" x14ac:dyDescent="0.2">
      <c r="B13" s="1494"/>
      <c r="C13" s="1495"/>
      <c r="D13" s="1495"/>
      <c r="E13" s="1495"/>
      <c r="F13" s="1495"/>
      <c r="G13" s="1495"/>
      <c r="H13" s="1495"/>
      <c r="I13" s="1495"/>
      <c r="J13" s="1495"/>
      <c r="K13" s="1495"/>
      <c r="L13" s="1495"/>
      <c r="M13" s="1495"/>
      <c r="N13" s="1495"/>
      <c r="O13" s="1495"/>
      <c r="P13" s="1496"/>
      <c r="U13" s="5"/>
    </row>
    <row r="14" spans="1:22" ht="7.5" customHeight="1" thickBot="1" x14ac:dyDescent="0.3">
      <c r="B14" s="122"/>
      <c r="C14" s="449"/>
      <c r="D14" s="449"/>
      <c r="E14" s="449"/>
      <c r="F14" s="449"/>
      <c r="G14" s="449"/>
      <c r="H14" s="449"/>
      <c r="I14" s="449"/>
      <c r="J14" s="449"/>
      <c r="K14" s="449"/>
      <c r="L14" s="449"/>
      <c r="M14" s="449"/>
      <c r="N14" s="204"/>
      <c r="O14" s="204"/>
      <c r="P14" s="116"/>
      <c r="U14" s="5"/>
    </row>
    <row r="15" spans="1:22" ht="30.75" customHeight="1" thickBot="1" x14ac:dyDescent="0.45">
      <c r="B15" s="1488" t="s">
        <v>345</v>
      </c>
      <c r="C15" s="1489"/>
      <c r="D15" s="1489"/>
      <c r="E15" s="1489"/>
      <c r="F15" s="1489"/>
      <c r="G15" s="1489"/>
      <c r="H15" s="1489"/>
      <c r="I15" s="1489"/>
      <c r="J15" s="1489"/>
      <c r="K15" s="1489"/>
      <c r="L15" s="1489"/>
      <c r="M15" s="1489"/>
      <c r="N15" s="1489"/>
      <c r="O15" s="1489"/>
      <c r="P15" s="1490"/>
      <c r="U15" s="5"/>
    </row>
    <row r="16" spans="1:22" ht="21" customHeight="1" x14ac:dyDescent="0.4">
      <c r="B16" s="1480" t="s">
        <v>27</v>
      </c>
      <c r="C16" s="1481"/>
      <c r="D16" s="1481"/>
      <c r="E16" s="1481"/>
      <c r="F16" s="1481"/>
      <c r="G16" s="1482"/>
      <c r="H16" s="1483" t="s">
        <v>344</v>
      </c>
      <c r="I16" s="1481"/>
      <c r="J16" s="1481"/>
      <c r="K16" s="1481"/>
      <c r="L16" s="1481"/>
      <c r="M16" s="1481"/>
      <c r="N16" s="1481"/>
      <c r="O16" s="1481"/>
      <c r="P16" s="1149"/>
      <c r="U16" s="5"/>
      <c r="V16" s="195" t="s">
        <v>13</v>
      </c>
    </row>
    <row r="17" spans="2:22" s="117" customFormat="1" ht="19.5" customHeight="1" x14ac:dyDescent="0.3">
      <c r="B17" s="1473" t="s">
        <v>390</v>
      </c>
      <c r="C17" s="1474"/>
      <c r="D17" s="1475"/>
      <c r="E17" s="1476" t="s">
        <v>391</v>
      </c>
      <c r="F17" s="1476"/>
      <c r="G17" s="1476"/>
      <c r="H17" s="1486" t="s">
        <v>373</v>
      </c>
      <c r="I17" s="1474"/>
      <c r="J17" s="1475"/>
      <c r="K17" s="1486" t="s">
        <v>374</v>
      </c>
      <c r="L17" s="1474"/>
      <c r="M17" s="1475"/>
      <c r="N17" s="1486" t="s">
        <v>375</v>
      </c>
      <c r="O17" s="1474"/>
      <c r="P17" s="1487"/>
      <c r="V17" s="173" t="s">
        <v>256</v>
      </c>
    </row>
    <row r="18" spans="2:22" ht="16.5" x14ac:dyDescent="0.25">
      <c r="B18" s="1151" t="s">
        <v>14</v>
      </c>
      <c r="C18" s="1152" t="s">
        <v>15</v>
      </c>
      <c r="D18" s="1153" t="s">
        <v>44</v>
      </c>
      <c r="E18" s="1154" t="s">
        <v>14</v>
      </c>
      <c r="F18" s="1152" t="s">
        <v>15</v>
      </c>
      <c r="G18" s="1153" t="s">
        <v>44</v>
      </c>
      <c r="H18" s="1152" t="s">
        <v>14</v>
      </c>
      <c r="I18" s="1152" t="s">
        <v>15</v>
      </c>
      <c r="J18" s="1152" t="s">
        <v>44</v>
      </c>
      <c r="K18" s="1154" t="s">
        <v>14</v>
      </c>
      <c r="L18" s="1152" t="s">
        <v>15</v>
      </c>
      <c r="M18" s="1153" t="s">
        <v>44</v>
      </c>
      <c r="N18" s="1154" t="s">
        <v>14</v>
      </c>
      <c r="O18" s="1152" t="s">
        <v>15</v>
      </c>
      <c r="P18" s="1155" t="s">
        <v>44</v>
      </c>
      <c r="U18" s="5"/>
      <c r="V18" s="196">
        <v>-0.125</v>
      </c>
    </row>
    <row r="19" spans="2:22" ht="15" customHeight="1" x14ac:dyDescent="0.25">
      <c r="B19" s="111">
        <v>5.375</v>
      </c>
      <c r="C19" s="93">
        <f>100-VLOOKUP(B19,'[1]Pricing '!$A$140:$K$164,11,FALSE)</f>
        <v>3.578703491229362</v>
      </c>
      <c r="D19" s="93">
        <f t="shared" ref="D19:D38" si="0">C19-$V$18</f>
        <v>3.703703491229362</v>
      </c>
      <c r="E19" s="99">
        <v>5.375</v>
      </c>
      <c r="F19" s="114">
        <f>100-VLOOKUP(E19,'[1]Pricing '!$A$2034:$K$2059,11,FALSE)</f>
        <v>3.6732835237788493</v>
      </c>
      <c r="G19" s="100">
        <f t="shared" ref="G19:G37" si="1">F19-$V$18</f>
        <v>3.7982835237788493</v>
      </c>
      <c r="H19" s="107">
        <v>5.125</v>
      </c>
      <c r="I19" s="93">
        <f>100-VLOOKUP(H19,'[1]Pricing '!$A$353:$K$372,11,FALSE)</f>
        <v>0.90085542775072724</v>
      </c>
      <c r="J19" s="100">
        <f t="shared" ref="J19:J34" si="2">I19-$V$18</f>
        <v>1.0258554277507272</v>
      </c>
      <c r="K19" s="107">
        <v>5.125</v>
      </c>
      <c r="L19" s="114">
        <f>100-VLOOKUP(K19,'[1]Pricing '!$A$375:$K$394,11,FALSE)</f>
        <v>1.217936710731351</v>
      </c>
      <c r="M19" s="100">
        <f t="shared" ref="M19:M35" si="3">L19-$V$18</f>
        <v>1.342936710731351</v>
      </c>
      <c r="N19" s="99">
        <v>5.125</v>
      </c>
      <c r="O19" s="93">
        <f>100-VLOOKUP(N19,'[1]Pricing '!$A$397:$K$416,11,FALSE)</f>
        <v>1.9186049226356374</v>
      </c>
      <c r="P19" s="94">
        <f>O19-$V$18</f>
        <v>2.0436049226356374</v>
      </c>
      <c r="U19" s="5"/>
    </row>
    <row r="20" spans="2:22" ht="15" customHeight="1" x14ac:dyDescent="0.25">
      <c r="B20" s="111">
        <f>B19+0.125</f>
        <v>5.5</v>
      </c>
      <c r="C20" s="93">
        <f>100-VLOOKUP(B20,'[1]Pricing '!$A$140:$K$164,11,FALSE)</f>
        <v>2.9310002302383964</v>
      </c>
      <c r="D20" s="93">
        <f t="shared" si="0"/>
        <v>3.0560002302383964</v>
      </c>
      <c r="E20" s="99">
        <f>E19+0.125</f>
        <v>5.5</v>
      </c>
      <c r="F20" s="114">
        <f>100-VLOOKUP(E20,'[1]Pricing '!$A$2034:$K$2059,11,FALSE)</f>
        <v>3.06284265507756</v>
      </c>
      <c r="G20" s="100">
        <f t="shared" si="1"/>
        <v>3.18784265507756</v>
      </c>
      <c r="H20" s="107">
        <f>H19+0.125</f>
        <v>5.25</v>
      </c>
      <c r="I20" s="93">
        <f>100-VLOOKUP(H20,'[1]Pricing '!$A$353:$K$372,11,FALSE)</f>
        <v>0.66179644081908862</v>
      </c>
      <c r="J20" s="100">
        <f t="shared" si="2"/>
        <v>0.78679644081908862</v>
      </c>
      <c r="K20" s="107">
        <f>K19+0.125</f>
        <v>5.25</v>
      </c>
      <c r="L20" s="114">
        <f>100-VLOOKUP(K20,'[1]Pricing '!$A$375:$K$394,11,FALSE)</f>
        <v>0.93232517273000326</v>
      </c>
      <c r="M20" s="100">
        <f t="shared" si="3"/>
        <v>1.0573251727300033</v>
      </c>
      <c r="N20" s="99">
        <f>N19+0.125</f>
        <v>5.25</v>
      </c>
      <c r="O20" s="93">
        <f>100-VLOOKUP(N20,'[1]Pricing '!$A$397:$K$416,11,FALSE)</f>
        <v>1.503145947854776</v>
      </c>
      <c r="P20" s="94">
        <f t="shared" ref="P20:P34" si="4">O20-$V$18</f>
        <v>1.628145947854776</v>
      </c>
      <c r="U20" s="5"/>
    </row>
    <row r="21" spans="2:22" ht="15" customHeight="1" x14ac:dyDescent="0.25">
      <c r="B21" s="111">
        <f t="shared" ref="B21:B28" si="5">B20+0.125</f>
        <v>5.625</v>
      </c>
      <c r="C21" s="93">
        <f>100-VLOOKUP(B21,'[1]Pricing '!$A$140:$K$164,11,FALSE)</f>
        <v>2.309047684029764</v>
      </c>
      <c r="D21" s="93">
        <f t="shared" ref="D21:D28" si="6">C21-$V$18</f>
        <v>2.434047684029764</v>
      </c>
      <c r="E21" s="99">
        <f t="shared" ref="E21:E28" si="7">E20+0.125</f>
        <v>5.625</v>
      </c>
      <c r="F21" s="114">
        <f>100-VLOOKUP(E21,'[1]Pricing '!$A$2034:$K$2059,11,FALSE)</f>
        <v>2.4840852680912633</v>
      </c>
      <c r="G21" s="100">
        <f t="shared" ref="G21:G28" si="8">F21-$V$18</f>
        <v>2.6090852680912633</v>
      </c>
      <c r="H21" s="107">
        <f t="shared" ref="H21:H28" si="9">H20+0.125</f>
        <v>5.375</v>
      </c>
      <c r="I21" s="93">
        <f>100-VLOOKUP(H21,'[1]Pricing '!$A$353:$K$372,11,FALSE)</f>
        <v>0.44613089879024415</v>
      </c>
      <c r="J21" s="100">
        <f t="shared" ref="J21:J28" si="10">I21-$V$18</f>
        <v>0.57113089879024415</v>
      </c>
      <c r="K21" s="107">
        <f t="shared" ref="K21:K28" si="11">K20+0.125</f>
        <v>5.375</v>
      </c>
      <c r="L21" s="114">
        <f>100-VLOOKUP(K21,'[1]Pricing '!$A$375:$K$394,11,FALSE)</f>
        <v>0.65604786135232018</v>
      </c>
      <c r="M21" s="100">
        <f t="shared" ref="M21:M28" si="12">L21-$V$18</f>
        <v>0.78104786135232018</v>
      </c>
      <c r="N21" s="99">
        <f t="shared" ref="N21:N28" si="13">N20+0.125</f>
        <v>5.375</v>
      </c>
      <c r="O21" s="93">
        <f>100-VLOOKUP(N21,'[1]Pricing '!$A$397:$K$416,11,FALSE)</f>
        <v>1.1581668030510599</v>
      </c>
      <c r="P21" s="94">
        <f t="shared" ref="P21:P28" si="14">O21-$V$18</f>
        <v>1.2831668030510599</v>
      </c>
      <c r="U21" s="5"/>
    </row>
    <row r="22" spans="2:22" ht="15" customHeight="1" x14ac:dyDescent="0.25">
      <c r="B22" s="111">
        <f t="shared" si="5"/>
        <v>5.75</v>
      </c>
      <c r="C22" s="93">
        <f>100-VLOOKUP(B22,'[1]Pricing '!$A$140:$K$164,11,FALSE)</f>
        <v>1.7066395653942266</v>
      </c>
      <c r="D22" s="93">
        <f t="shared" si="6"/>
        <v>1.8316395653942266</v>
      </c>
      <c r="E22" s="99">
        <f t="shared" si="7"/>
        <v>5.75</v>
      </c>
      <c r="F22" s="114">
        <f>100-VLOOKUP(E22,'[1]Pricing '!$A$2034:$K$2059,11,FALSE)</f>
        <v>1.9879593426186517</v>
      </c>
      <c r="G22" s="100">
        <f t="shared" si="8"/>
        <v>2.1129593426186517</v>
      </c>
      <c r="H22" s="107">
        <f t="shared" si="9"/>
        <v>5.5</v>
      </c>
      <c r="I22" s="93">
        <f>100-VLOOKUP(H22,'[1]Pricing '!$A$353:$K$372,11,FALSE)</f>
        <v>0.22122219026375944</v>
      </c>
      <c r="J22" s="100">
        <f t="shared" si="10"/>
        <v>0.34622219026375944</v>
      </c>
      <c r="K22" s="107">
        <f t="shared" si="11"/>
        <v>5.5</v>
      </c>
      <c r="L22" s="114">
        <f>100-VLOOKUP(K22,'[1]Pricing '!$A$375:$K$394,11,FALSE)</f>
        <v>0.41730280102528639</v>
      </c>
      <c r="M22" s="100">
        <f t="shared" si="12"/>
        <v>0.54230280102528639</v>
      </c>
      <c r="N22" s="99">
        <f t="shared" si="13"/>
        <v>5.5</v>
      </c>
      <c r="O22" s="93">
        <f>100-VLOOKUP(N22,'[1]Pricing '!$A$397:$K$416,11,FALSE)</f>
        <v>0.84129532842595722</v>
      </c>
      <c r="P22" s="94">
        <f t="shared" si="14"/>
        <v>0.96629532842595722</v>
      </c>
      <c r="U22" s="5"/>
    </row>
    <row r="23" spans="2:22" ht="15" customHeight="1" x14ac:dyDescent="0.25">
      <c r="B23" s="111">
        <f t="shared" si="5"/>
        <v>5.875</v>
      </c>
      <c r="C23" s="93">
        <f>100-VLOOKUP(B23,'[1]Pricing '!$A$140:$K$164,11,FALSE)</f>
        <v>1.0933457170352625</v>
      </c>
      <c r="D23" s="93">
        <f t="shared" si="6"/>
        <v>1.2183457170352625</v>
      </c>
      <c r="E23" s="99">
        <f t="shared" si="7"/>
        <v>5.875</v>
      </c>
      <c r="F23" s="114">
        <f>100-VLOOKUP(E23,'[1]Pricing '!$A$2034:$K$2059,11,FALSE)</f>
        <v>1.49030914678778</v>
      </c>
      <c r="G23" s="100">
        <f t="shared" si="8"/>
        <v>1.61530914678778</v>
      </c>
      <c r="H23" s="107">
        <f t="shared" si="9"/>
        <v>5.625</v>
      </c>
      <c r="I23" s="93">
        <f>100-VLOOKUP(H23,'[1]Pricing '!$A$353:$K$372,11,FALSE)</f>
        <v>-1.7571259500371639E-2</v>
      </c>
      <c r="J23" s="100">
        <f t="shared" si="10"/>
        <v>0.10742874049962836</v>
      </c>
      <c r="K23" s="107">
        <f t="shared" si="11"/>
        <v>5.625</v>
      </c>
      <c r="L23" s="114">
        <f>100-VLOOKUP(K23,'[1]Pricing '!$A$375:$K$394,11,FALSE)</f>
        <v>0.23646565649583806</v>
      </c>
      <c r="M23" s="100">
        <f t="shared" si="12"/>
        <v>0.36146565649583806</v>
      </c>
      <c r="N23" s="99">
        <f t="shared" si="13"/>
        <v>5.625</v>
      </c>
      <c r="O23" s="93">
        <f>100-VLOOKUP(N23,'[1]Pricing '!$A$397:$K$416,11,FALSE)</f>
        <v>0.57159726367409291</v>
      </c>
      <c r="P23" s="94">
        <f t="shared" si="14"/>
        <v>0.69659726367409291</v>
      </c>
      <c r="U23" s="5"/>
    </row>
    <row r="24" spans="2:22" ht="15" customHeight="1" x14ac:dyDescent="0.25">
      <c r="B24" s="111">
        <f t="shared" si="5"/>
        <v>6</v>
      </c>
      <c r="C24" s="93">
        <f>100-VLOOKUP(B24,'[1]Pricing '!$A$140:$K$164,11,FALSE)</f>
        <v>0.50549670071487185</v>
      </c>
      <c r="D24" s="93">
        <f t="shared" si="6"/>
        <v>0.63049670071487185</v>
      </c>
      <c r="E24" s="99">
        <f t="shared" si="7"/>
        <v>6</v>
      </c>
      <c r="F24" s="114">
        <f>100-VLOOKUP(E24,'[1]Pricing '!$A$2034:$K$2059,11,FALSE)</f>
        <v>1.0406448046798999</v>
      </c>
      <c r="G24" s="100">
        <f t="shared" si="8"/>
        <v>1.1656448046798999</v>
      </c>
      <c r="H24" s="107">
        <f t="shared" si="9"/>
        <v>5.75</v>
      </c>
      <c r="I24" s="93">
        <f>100-VLOOKUP(H24,'[1]Pricing '!$A$353:$K$372,11,FALSE)</f>
        <v>-0.22346296189077464</v>
      </c>
      <c r="J24" s="100">
        <f t="shared" si="10"/>
        <v>-9.8462961890774636E-2</v>
      </c>
      <c r="K24" s="107">
        <f t="shared" si="11"/>
        <v>5.75</v>
      </c>
      <c r="L24" s="114">
        <f>100-VLOOKUP(K24,'[1]Pricing '!$A$375:$K$394,11,FALSE)</f>
        <v>1.7665656495836402E-2</v>
      </c>
      <c r="M24" s="100">
        <f t="shared" si="12"/>
        <v>0.1426656564958364</v>
      </c>
      <c r="N24" s="99">
        <f t="shared" si="13"/>
        <v>5.75</v>
      </c>
      <c r="O24" s="93">
        <f>100-VLOOKUP(N24,'[1]Pricing '!$A$397:$K$416,11,FALSE)</f>
        <v>0.29982664672219528</v>
      </c>
      <c r="P24" s="94">
        <f t="shared" si="14"/>
        <v>0.42482664672219528</v>
      </c>
      <c r="U24" s="5"/>
    </row>
    <row r="25" spans="2:22" ht="15" customHeight="1" x14ac:dyDescent="0.25">
      <c r="B25" s="111">
        <f t="shared" si="5"/>
        <v>6.125</v>
      </c>
      <c r="C25" s="93">
        <f>100-VLOOKUP(B25,'[1]Pricing '!$A$140:$K$164,11,FALSE)</f>
        <v>-0.16116193826461256</v>
      </c>
      <c r="D25" s="93">
        <f t="shared" si="6"/>
        <v>-3.6161938264612559E-2</v>
      </c>
      <c r="E25" s="99">
        <f t="shared" si="7"/>
        <v>6.125</v>
      </c>
      <c r="F25" s="114">
        <f>100-VLOOKUP(E25,'[1]Pricing '!$A$2034:$K$2059,11,FALSE)</f>
        <v>0.66120709597282712</v>
      </c>
      <c r="G25" s="100">
        <f t="shared" si="8"/>
        <v>0.78620709597282712</v>
      </c>
      <c r="H25" s="107">
        <f t="shared" si="9"/>
        <v>5.875</v>
      </c>
      <c r="I25" s="93">
        <f>100-VLOOKUP(H25,'[1]Pricing '!$A$353:$K$372,11,FALSE)</f>
        <v>-0.3779544745253105</v>
      </c>
      <c r="J25" s="100">
        <f t="shared" si="10"/>
        <v>-0.2529544745253105</v>
      </c>
      <c r="K25" s="107">
        <f t="shared" si="11"/>
        <v>5.875</v>
      </c>
      <c r="L25" s="114">
        <f>100-VLOOKUP(K25,'[1]Pricing '!$A$375:$K$394,11,FALSE)</f>
        <v>-0.24152907637055421</v>
      </c>
      <c r="M25" s="100">
        <f t="shared" si="12"/>
        <v>-0.11652907637055421</v>
      </c>
      <c r="N25" s="99">
        <f t="shared" si="13"/>
        <v>5.875</v>
      </c>
      <c r="O25" s="93">
        <f>100-VLOOKUP(N25,'[1]Pricing '!$A$397:$K$416,11,FALSE)</f>
        <v>1.072664672219048E-2</v>
      </c>
      <c r="P25" s="94">
        <f t="shared" si="14"/>
        <v>0.13572664672219048</v>
      </c>
      <c r="U25" s="5"/>
    </row>
    <row r="26" spans="2:22" ht="15" customHeight="1" x14ac:dyDescent="0.25">
      <c r="B26" s="111">
        <f t="shared" si="5"/>
        <v>6.25</v>
      </c>
      <c r="C26" s="93">
        <f>100-VLOOKUP(B26,'[1]Pricing '!$A$140:$K$164,11,FALSE)</f>
        <v>-0.59983415441047327</v>
      </c>
      <c r="D26" s="93">
        <f t="shared" si="6"/>
        <v>-0.47483415441047327</v>
      </c>
      <c r="E26" s="99">
        <f t="shared" si="7"/>
        <v>6.25</v>
      </c>
      <c r="F26" s="114">
        <f>100-VLOOKUP(E26,'[1]Pricing '!$A$2034:$K$2059,11,FALSE)</f>
        <v>7.8201696954025124E-2</v>
      </c>
      <c r="G26" s="100">
        <f t="shared" si="8"/>
        <v>0.20320169695402512</v>
      </c>
      <c r="H26" s="107">
        <f t="shared" si="9"/>
        <v>6</v>
      </c>
      <c r="I26" s="93">
        <f>100-VLOOKUP(H26,'[1]Pricing '!$A$353:$K$372,11,FALSE)</f>
        <v>-0.53523004948736741</v>
      </c>
      <c r="J26" s="100">
        <f t="shared" si="10"/>
        <v>-0.41023004948736741</v>
      </c>
      <c r="K26" s="107">
        <f t="shared" si="11"/>
        <v>6</v>
      </c>
      <c r="L26" s="114">
        <f>100-VLOOKUP(K26,'[1]Pricing '!$A$375:$K$394,11,FALSE)</f>
        <v>-0.41935655993586352</v>
      </c>
      <c r="M26" s="100">
        <f t="shared" si="12"/>
        <v>-0.29435655993586352</v>
      </c>
      <c r="N26" s="99">
        <f t="shared" si="13"/>
        <v>6</v>
      </c>
      <c r="O26" s="93">
        <f>100-VLOOKUP(N26,'[1]Pricing '!$A$397:$K$416,11,FALSE)</f>
        <v>-0.21250463348195581</v>
      </c>
      <c r="P26" s="94">
        <f t="shared" si="14"/>
        <v>-8.7504633481955807E-2</v>
      </c>
      <c r="U26" s="5"/>
    </row>
    <row r="27" spans="2:22" ht="15" customHeight="1" x14ac:dyDescent="0.25">
      <c r="B27" s="111">
        <f t="shared" si="5"/>
        <v>6.375</v>
      </c>
      <c r="C27" s="93">
        <f>100-VLOOKUP(B27,'[1]Pricing '!$A$140:$K$164,11,FALSE)</f>
        <v>-1.0909731089140138</v>
      </c>
      <c r="D27" s="93">
        <f t="shared" si="6"/>
        <v>-0.96597310891401378</v>
      </c>
      <c r="E27" s="99">
        <f t="shared" si="7"/>
        <v>6.375</v>
      </c>
      <c r="F27" s="114">
        <f>100-VLOOKUP(E27,'[1]Pricing '!$A$2034:$K$2059,11,FALSE)</f>
        <v>-0.27984573367680809</v>
      </c>
      <c r="G27" s="100">
        <f t="shared" si="8"/>
        <v>-0.15484573367680809</v>
      </c>
      <c r="H27" s="107">
        <f t="shared" si="9"/>
        <v>6.125</v>
      </c>
      <c r="I27" s="93">
        <f>100-VLOOKUP(H27,'[1]Pricing '!$A$353:$K$372,11,FALSE)</f>
        <v>-0.69546310495159958</v>
      </c>
      <c r="J27" s="100">
        <f t="shared" si="10"/>
        <v>-0.57046310495159958</v>
      </c>
      <c r="K27" s="107">
        <f t="shared" si="11"/>
        <v>6.125</v>
      </c>
      <c r="L27" s="114">
        <f>100-VLOOKUP(K27,'[1]Pricing '!$A$375:$K$394,11,FALSE)</f>
        <v>-0.46690182646993605</v>
      </c>
      <c r="M27" s="100">
        <f t="shared" si="12"/>
        <v>-0.34190182646993605</v>
      </c>
      <c r="N27" s="99">
        <f t="shared" si="13"/>
        <v>6.125</v>
      </c>
      <c r="O27" s="93">
        <f>100-VLOOKUP(N27,'[1]Pricing '!$A$397:$K$416,11,FALSE)</f>
        <v>-0.34107427107394983</v>
      </c>
      <c r="P27" s="94">
        <f t="shared" si="14"/>
        <v>-0.21607427107394983</v>
      </c>
      <c r="U27" s="5"/>
    </row>
    <row r="28" spans="2:22" ht="15" customHeight="1" x14ac:dyDescent="0.25">
      <c r="B28" s="111">
        <f t="shared" si="5"/>
        <v>6.5</v>
      </c>
      <c r="C28" s="93">
        <f>100-VLOOKUP(B28,'[1]Pricing '!$A$140:$K$164,11,FALSE)</f>
        <v>-1.539457972593425</v>
      </c>
      <c r="D28" s="93">
        <f t="shared" si="6"/>
        <v>-1.414457972593425</v>
      </c>
      <c r="E28" s="99">
        <f t="shared" si="7"/>
        <v>6.5</v>
      </c>
      <c r="F28" s="114">
        <f>100-VLOOKUP(E28,'[1]Pricing '!$A$2034:$K$2059,11,FALSE)</f>
        <v>-0.57351536640886991</v>
      </c>
      <c r="G28" s="100">
        <f t="shared" si="8"/>
        <v>-0.44851536640886991</v>
      </c>
      <c r="H28" s="107">
        <f t="shared" si="9"/>
        <v>6.25</v>
      </c>
      <c r="I28" s="93">
        <f>100-VLOOKUP(H28,'[1]Pricing '!$A$353:$K$372,11,FALSE)</f>
        <v>-0.83675803371826873</v>
      </c>
      <c r="J28" s="100">
        <f t="shared" si="10"/>
        <v>-0.71175803371826873</v>
      </c>
      <c r="K28" s="107">
        <f t="shared" si="11"/>
        <v>6.25</v>
      </c>
      <c r="L28" s="114">
        <f>100-VLOOKUP(K28,'[1]Pricing '!$A$375:$K$394,11,FALSE)</f>
        <v>-0.52818396092021658</v>
      </c>
      <c r="M28" s="100">
        <f t="shared" si="12"/>
        <v>-0.40318396092021658</v>
      </c>
      <c r="N28" s="99">
        <f t="shared" si="13"/>
        <v>6.25</v>
      </c>
      <c r="O28" s="93">
        <f>100-VLOOKUP(N28,'[1]Pricing '!$A$397:$K$416,11,FALSE)</f>
        <v>-0.496341079115453</v>
      </c>
      <c r="P28" s="94">
        <f t="shared" si="14"/>
        <v>-0.371341079115453</v>
      </c>
      <c r="U28" s="5"/>
    </row>
    <row r="29" spans="2:22" ht="15" customHeight="1" x14ac:dyDescent="0.25">
      <c r="B29" s="111">
        <f t="shared" ref="B29:B38" si="15">B28+0.125</f>
        <v>6.625</v>
      </c>
      <c r="C29" s="93">
        <f>100-VLOOKUP(B29,'[1]Pricing '!$A$140:$K$164,11,FALSE)</f>
        <v>-1.9353419487640906</v>
      </c>
      <c r="D29" s="93">
        <f t="shared" si="0"/>
        <v>-1.8103419487640906</v>
      </c>
      <c r="E29" s="99">
        <f t="shared" ref="E29:E38" si="16">E28+0.125</f>
        <v>6.625</v>
      </c>
      <c r="F29" s="114">
        <f>100-VLOOKUP(E29,'[1]Pricing '!$A$2034:$K$2059,11,FALSE)</f>
        <v>-0.76095542717033027</v>
      </c>
      <c r="G29" s="100">
        <f t="shared" si="1"/>
        <v>-0.63595542717033027</v>
      </c>
      <c r="H29" s="107">
        <f t="shared" ref="H29:H38" si="17">H28+0.125</f>
        <v>6.375</v>
      </c>
      <c r="I29" s="93">
        <f>100-VLOOKUP(H29,'[1]Pricing '!$A$353:$K$372,11,FALSE)</f>
        <v>-0.94885406954107054</v>
      </c>
      <c r="J29" s="100">
        <f t="shared" si="2"/>
        <v>-0.82385406954107054</v>
      </c>
      <c r="K29" s="107">
        <f t="shared" ref="K29:K38" si="18">K28+0.125</f>
        <v>6.375</v>
      </c>
      <c r="L29" s="114">
        <f>100-VLOOKUP(K29,'[1]Pricing '!$A$375:$K$394,11,FALSE)</f>
        <v>-0.6066918237178669</v>
      </c>
      <c r="M29" s="100">
        <f t="shared" si="3"/>
        <v>-0.4816918237178669</v>
      </c>
      <c r="N29" s="99">
        <f t="shared" ref="N29:N38" si="19">N28+0.125</f>
        <v>6.375</v>
      </c>
      <c r="O29" s="93">
        <f>100-VLOOKUP(N29,'[1]Pricing '!$A$397:$K$416,11,FALSE)</f>
        <v>-0.68405185438832916</v>
      </c>
      <c r="P29" s="94">
        <f t="shared" si="4"/>
        <v>-0.55905185438832916</v>
      </c>
      <c r="R29" s="5" t="s">
        <v>255</v>
      </c>
      <c r="U29" s="5"/>
    </row>
    <row r="30" spans="2:22" ht="15" customHeight="1" x14ac:dyDescent="0.25">
      <c r="B30" s="111">
        <f>B29+0.125</f>
        <v>6.75</v>
      </c>
      <c r="C30" s="93">
        <f>100-VLOOKUP(B30,'[1]Pricing '!$A$140:$K$164,11,FALSE)</f>
        <v>-2.3352353823492535</v>
      </c>
      <c r="D30" s="93">
        <f t="shared" si="0"/>
        <v>-2.2102353823492535</v>
      </c>
      <c r="E30" s="99">
        <f>E29+0.125</f>
        <v>6.75</v>
      </c>
      <c r="F30" s="114">
        <f>100-VLOOKUP(E30,'[1]Pricing '!$A$2034:$K$2059,11,FALSE)</f>
        <v>-1.1418147535829206</v>
      </c>
      <c r="G30" s="100">
        <f t="shared" si="1"/>
        <v>-1.0168147535829206</v>
      </c>
      <c r="H30" s="107">
        <f>H29+0.125</f>
        <v>6.5</v>
      </c>
      <c r="I30" s="93">
        <f>100-VLOOKUP(H30,'[1]Pricing '!$A$353:$K$372,11,FALSE)</f>
        <v>-1.0470811326311349</v>
      </c>
      <c r="J30" s="100">
        <f t="shared" si="2"/>
        <v>-0.92208113263113489</v>
      </c>
      <c r="K30" s="107">
        <f>K29+0.125</f>
        <v>6.5</v>
      </c>
      <c r="L30" s="114">
        <f>100-VLOOKUP(K30,'[1]Pricing '!$A$375:$K$394,11,FALSE)</f>
        <v>-0.70866035851911136</v>
      </c>
      <c r="M30" s="100">
        <f t="shared" si="3"/>
        <v>-0.58366035851911136</v>
      </c>
      <c r="N30" s="107">
        <f>N29+0.125</f>
        <v>6.5</v>
      </c>
      <c r="O30" s="93">
        <f>100-VLOOKUP(N30,'[1]Pricing '!$A$397:$K$416,11,FALSE)</f>
        <v>-0.86185261204633434</v>
      </c>
      <c r="P30" s="94">
        <f t="shared" si="4"/>
        <v>-0.73685261204633434</v>
      </c>
      <c r="U30" s="5"/>
    </row>
    <row r="31" spans="2:22" ht="15" customHeight="1" x14ac:dyDescent="0.25">
      <c r="B31" s="111">
        <f t="shared" si="15"/>
        <v>6.875</v>
      </c>
      <c r="C31" s="114">
        <f>100-VLOOKUP(B31,'[1]Pricing '!$A$140:$K$164,11,FALSE)</f>
        <v>-2.7594370702999669</v>
      </c>
      <c r="D31" s="93">
        <f t="shared" si="0"/>
        <v>-2.6344370702999669</v>
      </c>
      <c r="E31" s="99">
        <f t="shared" si="16"/>
        <v>6.875</v>
      </c>
      <c r="F31" s="114">
        <f>100-VLOOKUP(E31,'[1]Pricing '!$A$2034:$K$2059,11,FALSE)</f>
        <v>-1.4371034985663442</v>
      </c>
      <c r="G31" s="100">
        <f t="shared" si="1"/>
        <v>-1.3121034985663442</v>
      </c>
      <c r="H31" s="107">
        <f t="shared" si="17"/>
        <v>6.625</v>
      </c>
      <c r="I31" s="93">
        <f>100-VLOOKUP(H31,'[1]Pricing '!$A$353:$K$372,11,FALSE)</f>
        <v>-1.1167034786747791</v>
      </c>
      <c r="J31" s="100">
        <f t="shared" si="2"/>
        <v>-0.99170347867477915</v>
      </c>
      <c r="K31" s="107">
        <f t="shared" si="18"/>
        <v>6.625</v>
      </c>
      <c r="L31" s="114">
        <f>100-VLOOKUP(K31,'[1]Pricing '!$A$375:$K$394,11,FALSE)</f>
        <v>-0.83545899452686001</v>
      </c>
      <c r="M31" s="100">
        <f t="shared" si="3"/>
        <v>-0.71045899452686001</v>
      </c>
      <c r="N31" s="107">
        <f t="shared" si="19"/>
        <v>6.625</v>
      </c>
      <c r="O31" s="93">
        <f>100-VLOOKUP(N31,'[1]Pricing '!$A$397:$K$416,11,FALSE)</f>
        <v>-1.0164158364673739</v>
      </c>
      <c r="P31" s="94">
        <f t="shared" si="4"/>
        <v>-0.89141583646737388</v>
      </c>
      <c r="U31" s="5"/>
    </row>
    <row r="32" spans="2:22" ht="16.5" customHeight="1" x14ac:dyDescent="0.25">
      <c r="B32" s="111">
        <f t="shared" si="15"/>
        <v>7</v>
      </c>
      <c r="C32" s="114">
        <f>100-VLOOKUP(B32,'[1]Pricing '!$A$140:$K$164,11,FALSE)</f>
        <v>-3.1775188214809731</v>
      </c>
      <c r="D32" s="93">
        <f t="shared" si="0"/>
        <v>-3.0525188214809731</v>
      </c>
      <c r="E32" s="99">
        <f t="shared" si="16"/>
        <v>7</v>
      </c>
      <c r="F32" s="114">
        <f>100-VLOOKUP(E32,'[1]Pricing '!$A$2034:$K$2059,11,FALSE)</f>
        <v>-1.4265288528375066</v>
      </c>
      <c r="G32" s="100">
        <f t="shared" si="1"/>
        <v>-1.3015288528375066</v>
      </c>
      <c r="H32" s="107">
        <f t="shared" si="17"/>
        <v>6.75</v>
      </c>
      <c r="I32" s="93">
        <f>100-VLOOKUP(H32,'[1]Pricing '!$A$353:$K$372,11,FALSE)</f>
        <v>-1.1627349604006838</v>
      </c>
      <c r="J32" s="100">
        <f t="shared" si="2"/>
        <v>-1.0377349604006838</v>
      </c>
      <c r="K32" s="107">
        <f t="shared" si="18"/>
        <v>6.75</v>
      </c>
      <c r="L32" s="114">
        <f>100-VLOOKUP(K32,'[1]Pricing '!$A$375:$K$394,11,FALSE)</f>
        <v>-0.9478747500063065</v>
      </c>
      <c r="M32" s="100">
        <f t="shared" si="3"/>
        <v>-0.8228747500063065</v>
      </c>
      <c r="N32" s="107">
        <f t="shared" si="19"/>
        <v>6.75</v>
      </c>
      <c r="O32" s="93">
        <f>100-VLOOKUP(N32,'[1]Pricing '!$A$397:$K$416,11,FALSE)</f>
        <v>-1.12085094141284</v>
      </c>
      <c r="P32" s="94">
        <f t="shared" si="4"/>
        <v>-0.99585094141284003</v>
      </c>
      <c r="U32" s="5"/>
    </row>
    <row r="33" spans="2:23" ht="15" customHeight="1" x14ac:dyDescent="0.25">
      <c r="B33" s="111">
        <f t="shared" si="15"/>
        <v>7.125</v>
      </c>
      <c r="C33" s="114">
        <f>100-VLOOKUP(B33,'[1]Pricing '!$A$140:$K$164,11,FALSE)</f>
        <v>-3.5567342986537653</v>
      </c>
      <c r="D33" s="93">
        <f t="shared" si="0"/>
        <v>-3.4317342986537653</v>
      </c>
      <c r="E33" s="99">
        <f t="shared" si="16"/>
        <v>7.125</v>
      </c>
      <c r="F33" s="114">
        <f>100-VLOOKUP(E33,'[1]Pricing '!$A$2034:$K$2059,11,FALSE)</f>
        <v>-1.6553449818077013</v>
      </c>
      <c r="G33" s="100">
        <f t="shared" si="1"/>
        <v>-1.5303449818077013</v>
      </c>
      <c r="H33" s="107">
        <f t="shared" si="17"/>
        <v>6.875</v>
      </c>
      <c r="I33" s="93">
        <f>100-VLOOKUP(H33,'[1]Pricing '!$A$353:$K$372,11,FALSE)</f>
        <v>-1.1612902820291851</v>
      </c>
      <c r="J33" s="100">
        <f t="shared" si="2"/>
        <v>-1.0362902820291851</v>
      </c>
      <c r="K33" s="107">
        <f t="shared" si="18"/>
        <v>6.875</v>
      </c>
      <c r="L33" s="114">
        <f>100-VLOOKUP(K33,'[1]Pricing '!$A$375:$K$394,11,FALSE)</f>
        <v>-1.022000024363507</v>
      </c>
      <c r="M33" s="100">
        <f t="shared" si="3"/>
        <v>-0.89700002436350701</v>
      </c>
      <c r="N33" s="107">
        <f t="shared" si="19"/>
        <v>6.875</v>
      </c>
      <c r="O33" s="93">
        <f>100-VLOOKUP(N33,'[1]Pricing '!$A$397:$K$416,11,FALSE)</f>
        <v>-1.1360469599994332</v>
      </c>
      <c r="P33" s="94">
        <f t="shared" si="4"/>
        <v>-1.0110469599994332</v>
      </c>
      <c r="U33" s="5"/>
    </row>
    <row r="34" spans="2:23" ht="15" customHeight="1" x14ac:dyDescent="0.25">
      <c r="B34" s="111">
        <f t="shared" si="15"/>
        <v>7.25</v>
      </c>
      <c r="C34" s="1156">
        <f>100-VLOOKUP(B34,'[1]Pricing '!$A$140:$K$164,11,FALSE)</f>
        <v>-3.908823218073934</v>
      </c>
      <c r="D34" s="93">
        <f t="shared" si="0"/>
        <v>-3.783823218073934</v>
      </c>
      <c r="E34" s="99">
        <f t="shared" si="16"/>
        <v>7.25</v>
      </c>
      <c r="F34" s="114">
        <f>100-VLOOKUP(E34,'[1]Pricing '!$A$2034:$K$2059,11,FALSE)</f>
        <v>-1.9121252056708329</v>
      </c>
      <c r="G34" s="100">
        <f t="shared" si="1"/>
        <v>-1.7871252056708329</v>
      </c>
      <c r="H34" s="107">
        <f t="shared" si="17"/>
        <v>7</v>
      </c>
      <c r="I34" s="93">
        <f>100-VLOOKUP(H34,'[1]Pricing '!$A$353:$K$372,11,FALSE)</f>
        <v>-1.1624090246507564</v>
      </c>
      <c r="J34" s="100">
        <f t="shared" si="2"/>
        <v>-1.0374090246507564</v>
      </c>
      <c r="K34" s="107">
        <f t="shared" si="18"/>
        <v>7</v>
      </c>
      <c r="L34" s="114">
        <f>100-VLOOKUP(K34,'[1]Pricing '!$A$375:$K$394,11,FALSE)</f>
        <v>-1.1454256783015779</v>
      </c>
      <c r="M34" s="100">
        <f t="shared" si="3"/>
        <v>-1.0204256783015779</v>
      </c>
      <c r="N34" s="107">
        <f t="shared" si="19"/>
        <v>7</v>
      </c>
      <c r="O34" s="93">
        <f>100-VLOOKUP(N34,'[1]Pricing '!$A$397:$K$416,11,FALSE)</f>
        <v>-1.1478822427550028</v>
      </c>
      <c r="P34" s="94">
        <f t="shared" si="4"/>
        <v>-1.0228822427550028</v>
      </c>
      <c r="U34" s="5"/>
    </row>
    <row r="35" spans="2:23" ht="15" customHeight="1" x14ac:dyDescent="0.25">
      <c r="B35" s="111">
        <f t="shared" si="15"/>
        <v>7.375</v>
      </c>
      <c r="C35" s="1156">
        <f>100-VLOOKUP(B35,'[1]Pricing '!$A$140:$K$164,11,FALSE)</f>
        <v>-4.2303793530222578</v>
      </c>
      <c r="D35" s="93">
        <f t="shared" si="0"/>
        <v>-4.1053793530222578</v>
      </c>
      <c r="E35" s="99">
        <f t="shared" si="16"/>
        <v>7.375</v>
      </c>
      <c r="F35" s="114">
        <f>100-VLOOKUP(E35,'[1]Pricing '!$A$2034:$K$2059,11,FALSE)</f>
        <v>-1.9713664203948298</v>
      </c>
      <c r="G35" s="100">
        <f t="shared" si="1"/>
        <v>-1.8463664203948298</v>
      </c>
      <c r="H35" s="107">
        <f t="shared" si="17"/>
        <v>7.125</v>
      </c>
      <c r="I35" s="93">
        <f>100-VLOOKUP(H35,'[1]Pricing '!$A$353:$K$372,11,FALSE)</f>
        <v>-1.1558096749798494</v>
      </c>
      <c r="J35" s="100">
        <f t="shared" ref="J35" si="20">I35-$V$18</f>
        <v>-1.0308096749798494</v>
      </c>
      <c r="K35" s="107">
        <f t="shared" si="18"/>
        <v>7.125</v>
      </c>
      <c r="L35" s="114">
        <f>100-VLOOKUP(K35,'[1]Pricing '!$A$375:$K$394,11,FALSE)</f>
        <v>-1.3282490732612331</v>
      </c>
      <c r="M35" s="100">
        <f t="shared" si="3"/>
        <v>-1.2032490732612331</v>
      </c>
      <c r="N35" s="107">
        <f t="shared" si="19"/>
        <v>7.125</v>
      </c>
      <c r="O35" s="93">
        <f>100-VLOOKUP(N35,'[1]Pricing '!$A$397:$K$416,11,FALSE)</f>
        <v>-1.1439608564752319</v>
      </c>
      <c r="P35" s="94">
        <f t="shared" ref="P35" si="21">O35-$V$18</f>
        <v>-1.0189608564752319</v>
      </c>
      <c r="U35" s="5"/>
    </row>
    <row r="36" spans="2:23" ht="15" customHeight="1" x14ac:dyDescent="0.25">
      <c r="B36" s="111">
        <f t="shared" si="15"/>
        <v>7.5</v>
      </c>
      <c r="C36" s="1156">
        <f>100-VLOOKUP(B36,'[1]Pricing '!$A$140:$K$164,11,FALSE)</f>
        <v>-4.5188060180409906</v>
      </c>
      <c r="D36" s="93">
        <f t="shared" si="0"/>
        <v>-4.3938060180409906</v>
      </c>
      <c r="E36" s="99">
        <f t="shared" si="16"/>
        <v>7.5</v>
      </c>
      <c r="F36" s="114">
        <f>100-VLOOKUP(E36,'[1]Pricing '!$A$2034:$K$2059,11,FALSE)</f>
        <v>-2.0868903711710374</v>
      </c>
      <c r="G36" s="100">
        <f t="shared" si="1"/>
        <v>-1.9618903711710374</v>
      </c>
      <c r="H36" s="107">
        <f t="shared" si="17"/>
        <v>7.25</v>
      </c>
      <c r="I36" s="93">
        <f>100-VLOOKUP(H36,'[1]Pricing '!$A$353:$K$372,11,FALSE)</f>
        <v>-1.150405541665819</v>
      </c>
      <c r="J36" s="100">
        <f t="shared" ref="J36" si="22">I36-$V$18</f>
        <v>-1.025405541665819</v>
      </c>
      <c r="K36" s="107">
        <f t="shared" si="18"/>
        <v>7.25</v>
      </c>
      <c r="L36" s="114">
        <f>100-VLOOKUP(K36,'[1]Pricing '!$A$375:$K$394,11,FALSE)</f>
        <v>-1.4772828830432871</v>
      </c>
      <c r="M36" s="100">
        <f t="shared" ref="M36" si="23">L36-$V$18</f>
        <v>-1.3522828830432871</v>
      </c>
      <c r="N36" s="107">
        <f t="shared" si="19"/>
        <v>7.25</v>
      </c>
      <c r="O36" s="93">
        <f>100-VLOOKUP(N36,'[1]Pricing '!$A$397:$K$416,11,FALSE)</f>
        <v>-1.1587359342143912</v>
      </c>
      <c r="P36" s="94">
        <f t="shared" ref="P36" si="24">O36-$V$18</f>
        <v>-1.0337359342143912</v>
      </c>
      <c r="U36" s="5"/>
    </row>
    <row r="37" spans="2:23" ht="17.25" customHeight="1" x14ac:dyDescent="0.25">
      <c r="B37" s="111">
        <f t="shared" si="15"/>
        <v>7.625</v>
      </c>
      <c r="C37" s="1156">
        <f>100-VLOOKUP(B37,'[1]Pricing '!$A$140:$K$164,11,FALSE)</f>
        <v>-4.7891203116761289</v>
      </c>
      <c r="D37" s="93">
        <f t="shared" si="0"/>
        <v>-4.6641203116761289</v>
      </c>
      <c r="E37" s="99">
        <f t="shared" si="16"/>
        <v>7.625</v>
      </c>
      <c r="F37" s="114">
        <f>100-VLOOKUP(E37,'[1]Pricing '!$A$2034:$K$2059,11,FALSE)</f>
        <v>-2.2767845578142243</v>
      </c>
      <c r="G37" s="100">
        <f t="shared" si="1"/>
        <v>-2.1517845578142243</v>
      </c>
      <c r="H37" s="107">
        <f t="shared" si="17"/>
        <v>7.375</v>
      </c>
      <c r="I37" s="93">
        <f>100-VLOOKUP(H37,'[1]Pricing '!$A$353:$K$372,11,FALSE)</f>
        <v>-1.1304149878190941</v>
      </c>
      <c r="J37" s="100">
        <f t="shared" ref="J37:J38" si="25">I37-$V$18</f>
        <v>-1.0054149878190941</v>
      </c>
      <c r="K37" s="107">
        <f t="shared" si="18"/>
        <v>7.375</v>
      </c>
      <c r="L37" s="114">
        <f>100-VLOOKUP(K37,'[1]Pricing '!$A$375:$K$394,11,FALSE)</f>
        <v>-1.5552882532433614</v>
      </c>
      <c r="M37" s="100">
        <f t="shared" ref="M37:M38" si="26">L37-$V$18</f>
        <v>-1.4302882532433614</v>
      </c>
      <c r="N37" s="107">
        <f t="shared" si="19"/>
        <v>7.375</v>
      </c>
      <c r="O37" s="93">
        <f>100-VLOOKUP(N37,'[1]Pricing '!$A$397:$K$416,11,FALSE)</f>
        <v>-1.1867517239145258</v>
      </c>
      <c r="P37" s="94">
        <f t="shared" ref="P37:P38" si="27">O37-$V$18</f>
        <v>-1.0617517239145258</v>
      </c>
      <c r="U37" s="5"/>
    </row>
    <row r="38" spans="2:23" ht="16.5" customHeight="1" thickBot="1" x14ac:dyDescent="0.3">
      <c r="B38" s="1135">
        <f t="shared" si="15"/>
        <v>7.75</v>
      </c>
      <c r="C38" s="1157">
        <f>100-VLOOKUP(B38,'[1]Pricing '!$A$140:$K$164,11,FALSE)</f>
        <v>-3.9932265345003799</v>
      </c>
      <c r="D38" s="539">
        <f t="shared" si="0"/>
        <v>-3.8682265345003799</v>
      </c>
      <c r="E38" s="1145">
        <f t="shared" si="16"/>
        <v>7.75</v>
      </c>
      <c r="F38" s="404">
        <f>100-VLOOKUP(E38,'[1]Pricing '!$A$2034:$K$2059,11,FALSE)</f>
        <v>-2.3888092152258622</v>
      </c>
      <c r="G38" s="596">
        <f t="shared" ref="G38" si="28">F38-$V$18</f>
        <v>-2.2638092152258622</v>
      </c>
      <c r="H38" s="771">
        <f t="shared" si="17"/>
        <v>7.5</v>
      </c>
      <c r="I38" s="539">
        <f>100-VLOOKUP(H38,'[1]Pricing '!$A$353:$K$372,11,FALSE)</f>
        <v>-1.1193031511697598</v>
      </c>
      <c r="J38" s="596">
        <f t="shared" si="25"/>
        <v>-0.99430315116975976</v>
      </c>
      <c r="K38" s="771">
        <f t="shared" si="18"/>
        <v>7.5</v>
      </c>
      <c r="L38" s="404">
        <f>100-VLOOKUP(K38,'[1]Pricing '!$A$375:$K$394,11,FALSE)</f>
        <v>-1.623018003387358</v>
      </c>
      <c r="M38" s="596">
        <f t="shared" si="26"/>
        <v>-1.498018003387358</v>
      </c>
      <c r="N38" s="771">
        <f t="shared" si="19"/>
        <v>7.5</v>
      </c>
      <c r="O38" s="539">
        <f>100-VLOOKUP(N38,'[1]Pricing '!$A$397:$K$416,11,FALSE)</f>
        <v>-1.2078673517776934</v>
      </c>
      <c r="P38" s="256">
        <f t="shared" si="27"/>
        <v>-1.0828673517776934</v>
      </c>
      <c r="U38" s="5"/>
      <c r="W38" s="9"/>
    </row>
    <row r="39" spans="2:23" ht="30" customHeight="1" thickBot="1" x14ac:dyDescent="0.45">
      <c r="B39" s="1477" t="s">
        <v>346</v>
      </c>
      <c r="C39" s="1478"/>
      <c r="D39" s="1478"/>
      <c r="E39" s="1478"/>
      <c r="F39" s="1478"/>
      <c r="G39" s="1478"/>
      <c r="H39" s="1478"/>
      <c r="I39" s="1478"/>
      <c r="J39" s="1478"/>
      <c r="K39" s="1478"/>
      <c r="L39" s="1478"/>
      <c r="M39" s="1478"/>
      <c r="N39" s="1478"/>
      <c r="O39" s="1478"/>
      <c r="P39" s="1479"/>
      <c r="U39" s="5"/>
    </row>
    <row r="40" spans="2:23" ht="21" customHeight="1" x14ac:dyDescent="0.3">
      <c r="B40" s="1470" t="s">
        <v>27</v>
      </c>
      <c r="C40" s="1471"/>
      <c r="D40" s="1471"/>
      <c r="E40" s="1471"/>
      <c r="F40" s="1471"/>
      <c r="G40" s="1472"/>
      <c r="H40" s="1484" t="s">
        <v>344</v>
      </c>
      <c r="I40" s="1485"/>
      <c r="J40" s="1485"/>
      <c r="K40" s="1485"/>
      <c r="L40" s="1485"/>
      <c r="M40" s="1485"/>
      <c r="N40" s="1485"/>
      <c r="O40" s="1485"/>
      <c r="P40" s="203"/>
      <c r="U40" s="5"/>
    </row>
    <row r="41" spans="2:23" ht="19.5" customHeight="1" x14ac:dyDescent="0.25">
      <c r="B41" s="1458" t="s">
        <v>392</v>
      </c>
      <c r="C41" s="1459"/>
      <c r="D41" s="1459"/>
      <c r="E41" s="1459" t="s">
        <v>393</v>
      </c>
      <c r="F41" s="1459"/>
      <c r="G41" s="1459"/>
      <c r="H41" s="1463" t="s">
        <v>376</v>
      </c>
      <c r="I41" s="1464"/>
      <c r="J41" s="1465"/>
      <c r="K41" s="1463" t="s">
        <v>377</v>
      </c>
      <c r="L41" s="1464"/>
      <c r="M41" s="1465"/>
      <c r="N41" s="1463" t="s">
        <v>378</v>
      </c>
      <c r="O41" s="1464"/>
      <c r="P41" s="1466"/>
      <c r="U41" s="5"/>
    </row>
    <row r="42" spans="2:23" ht="16.5" x14ac:dyDescent="0.25">
      <c r="B42" s="162" t="s">
        <v>14</v>
      </c>
      <c r="C42" s="190" t="s">
        <v>15</v>
      </c>
      <c r="D42" s="191" t="s">
        <v>44</v>
      </c>
      <c r="E42" s="160" t="s">
        <v>14</v>
      </c>
      <c r="F42" s="190" t="s">
        <v>15</v>
      </c>
      <c r="G42" s="191" t="s">
        <v>44</v>
      </c>
      <c r="H42" s="190" t="s">
        <v>14</v>
      </c>
      <c r="I42" s="190" t="s">
        <v>15</v>
      </c>
      <c r="J42" s="190" t="s">
        <v>44</v>
      </c>
      <c r="K42" s="160" t="s">
        <v>14</v>
      </c>
      <c r="L42" s="190" t="s">
        <v>15</v>
      </c>
      <c r="M42" s="191" t="s">
        <v>44</v>
      </c>
      <c r="N42" s="160" t="s">
        <v>14</v>
      </c>
      <c r="O42" s="190" t="s">
        <v>15</v>
      </c>
      <c r="P42" s="161" t="s">
        <v>44</v>
      </c>
      <c r="U42" s="5"/>
    </row>
    <row r="43" spans="2:23" ht="15" customHeight="1" x14ac:dyDescent="0.25">
      <c r="B43" s="111">
        <v>5.375</v>
      </c>
      <c r="C43" s="93">
        <f>100-VLOOKUP(B43,'[1]Pricing '!$A$2005:$K$2030,11,FALSE)</f>
        <v>3.5436034912293621</v>
      </c>
      <c r="D43" s="93">
        <f t="shared" ref="D43:D62" si="29">C43-$V$18</f>
        <v>3.6686034912293621</v>
      </c>
      <c r="E43" s="99">
        <v>5.375</v>
      </c>
      <c r="F43" s="114">
        <f>100-VLOOKUP(E43,'[1]Pricing '!$A$2211:$K$2235,11,FALSE)</f>
        <v>3.8367835237788483</v>
      </c>
      <c r="G43" s="100">
        <f t="shared" ref="G43:G62" si="30">F43-$V$18</f>
        <v>3.9617835237788483</v>
      </c>
      <c r="H43" s="107">
        <v>5.25</v>
      </c>
      <c r="I43" s="93">
        <f>100-VLOOKUP(H43,'[1]Pricing '!$A$485:$K$504,11,FALSE)</f>
        <v>1.0787221902637611</v>
      </c>
      <c r="J43" s="100">
        <f t="shared" ref="J43:J54" si="31">I43-$V$18</f>
        <v>1.2037221902637611</v>
      </c>
      <c r="K43" s="107">
        <v>5.25</v>
      </c>
      <c r="L43" s="93">
        <f>100-VLOOKUP(K43,'[1]Pricing '!$A$507:$K$526,11,FALSE)</f>
        <v>1.0283478613523158</v>
      </c>
      <c r="M43" s="100">
        <f t="shared" ref="M43:M59" si="32">L43-$V$18</f>
        <v>1.1533478613523158</v>
      </c>
      <c r="N43" s="99">
        <v>5.25</v>
      </c>
      <c r="O43" s="93">
        <f>100-VLOOKUP(N43,'[1]Pricing '!$A$529:$K$548,11,FALSE)</f>
        <v>1.9070668030510518</v>
      </c>
      <c r="P43" s="94">
        <f t="shared" ref="P43:P59" si="33">O43-$V$18</f>
        <v>2.0320668030510518</v>
      </c>
      <c r="U43" s="5"/>
    </row>
    <row r="44" spans="2:23" ht="15" customHeight="1" x14ac:dyDescent="0.25">
      <c r="B44" s="111">
        <f t="shared" ref="B44:B62" si="34">B43+0.125</f>
        <v>5.5</v>
      </c>
      <c r="C44" s="93">
        <f>100-VLOOKUP(B44,'[1]Pricing '!$A$2005:$K$2030,11,FALSE)</f>
        <v>2.967900230238385</v>
      </c>
      <c r="D44" s="93">
        <f t="shared" si="29"/>
        <v>3.092900230238385</v>
      </c>
      <c r="E44" s="99">
        <f t="shared" ref="E44:E62" si="35">E43+0.125</f>
        <v>5.5</v>
      </c>
      <c r="F44" s="114">
        <f>100-VLOOKUP(E44,'[1]Pricing '!$A$2211:$K$2235,11,FALSE)</f>
        <v>3.2648426550775582</v>
      </c>
      <c r="G44" s="100">
        <f t="shared" si="30"/>
        <v>3.3898426550775582</v>
      </c>
      <c r="H44" s="107">
        <f>H43+0.125</f>
        <v>5.375</v>
      </c>
      <c r="I44" s="93">
        <f>100-VLOOKUP(H44,'[1]Pricing '!$A$485:$K$504,11,FALSE)</f>
        <v>0.74712874049961897</v>
      </c>
      <c r="J44" s="100">
        <f t="shared" si="31"/>
        <v>0.87212874049961897</v>
      </c>
      <c r="K44" s="107">
        <f t="shared" ref="K44:K61" si="36">K43+0.125</f>
        <v>5.375</v>
      </c>
      <c r="L44" s="93">
        <f>100-VLOOKUP(K44,'[1]Pricing '!$A$507:$K$526,11,FALSE)</f>
        <v>0.6773028010252915</v>
      </c>
      <c r="M44" s="100">
        <f t="shared" si="32"/>
        <v>0.8023028010252915</v>
      </c>
      <c r="N44" s="99">
        <f t="shared" ref="N44:N61" si="37">N43+0.125</f>
        <v>5.375</v>
      </c>
      <c r="O44" s="93">
        <f>100-VLOOKUP(N44,'[1]Pricing '!$A$529:$K$548,11,FALSE)</f>
        <v>1.5196953284259678</v>
      </c>
      <c r="P44" s="94">
        <f t="shared" si="33"/>
        <v>1.6446953284259678</v>
      </c>
      <c r="U44" s="5"/>
    </row>
    <row r="45" spans="2:23" ht="15" customHeight="1" x14ac:dyDescent="0.25">
      <c r="B45" s="111">
        <f t="shared" si="34"/>
        <v>5.625</v>
      </c>
      <c r="C45" s="93">
        <f>100-VLOOKUP(B45,'[1]Pricing '!$A$2005:$K$2030,11,FALSE)</f>
        <v>2.382647684029763</v>
      </c>
      <c r="D45" s="93">
        <f t="shared" si="29"/>
        <v>2.507647684029763</v>
      </c>
      <c r="E45" s="99">
        <f t="shared" si="35"/>
        <v>5.625</v>
      </c>
      <c r="F45" s="114">
        <f>100-VLOOKUP(E45,'[1]Pricing '!$A$2211:$K$2235,11,FALSE)</f>
        <v>2.6735852680912728</v>
      </c>
      <c r="G45" s="100">
        <f t="shared" si="30"/>
        <v>2.7985852680912728</v>
      </c>
      <c r="H45" s="107">
        <f>H44+0.125</f>
        <v>5.5</v>
      </c>
      <c r="I45" s="93">
        <f>100-VLOOKUP(H45,'[1]Pricing '!$A$485:$K$504,11,FALSE)</f>
        <v>0.41303703810922343</v>
      </c>
      <c r="J45" s="100">
        <f t="shared" si="31"/>
        <v>0.53803703810922343</v>
      </c>
      <c r="K45" s="107">
        <f t="shared" si="36"/>
        <v>5.5</v>
      </c>
      <c r="L45" s="93">
        <f>100-VLOOKUP(K45,'[1]Pricing '!$A$507:$K$526,11,FALSE)</f>
        <v>0.46196565649583476</v>
      </c>
      <c r="M45" s="100">
        <f t="shared" si="32"/>
        <v>0.58696565649583476</v>
      </c>
      <c r="N45" s="99">
        <f t="shared" si="37"/>
        <v>5.5</v>
      </c>
      <c r="O45" s="93">
        <f>100-VLOOKUP(N45,'[1]Pricing '!$A$529:$K$548,11,FALSE)</f>
        <v>1.1371972636740963</v>
      </c>
      <c r="P45" s="94">
        <f t="shared" si="33"/>
        <v>1.2621972636740963</v>
      </c>
      <c r="U45" s="5"/>
    </row>
    <row r="46" spans="2:23" ht="15" customHeight="1" x14ac:dyDescent="0.25">
      <c r="B46" s="111">
        <f t="shared" si="34"/>
        <v>5.75</v>
      </c>
      <c r="C46" s="93">
        <f>100-VLOOKUP(B46,'[1]Pricing '!$A$2005:$K$2030,11,FALSE)</f>
        <v>1.7095395653942234</v>
      </c>
      <c r="D46" s="93">
        <f t="shared" si="29"/>
        <v>1.8345395653942234</v>
      </c>
      <c r="E46" s="99">
        <f t="shared" si="35"/>
        <v>5.75</v>
      </c>
      <c r="F46" s="114">
        <f>100-VLOOKUP(E46,'[1]Pricing '!$A$2211:$K$2235,11,FALSE)</f>
        <v>2.0689593426186406</v>
      </c>
      <c r="G46" s="100">
        <f t="shared" si="30"/>
        <v>2.1939593426186406</v>
      </c>
      <c r="H46" s="107">
        <f>H45+0.125</f>
        <v>5.625</v>
      </c>
      <c r="I46" s="93">
        <f>100-VLOOKUP(H46,'[1]Pricing '!$A$485:$K$504,11,FALSE)</f>
        <v>7.8845525474690703E-2</v>
      </c>
      <c r="J46" s="100">
        <f t="shared" si="31"/>
        <v>0.2038455254746907</v>
      </c>
      <c r="K46" s="107">
        <f t="shared" si="36"/>
        <v>5.625</v>
      </c>
      <c r="L46" s="93">
        <f>100-VLOOKUP(K46,'[1]Pricing '!$A$507:$K$526,11,FALSE)</f>
        <v>0.20596565649583454</v>
      </c>
      <c r="M46" s="100">
        <f t="shared" si="32"/>
        <v>0.33096565649583454</v>
      </c>
      <c r="N46" s="99">
        <f t="shared" si="37"/>
        <v>5.625</v>
      </c>
      <c r="O46" s="93">
        <f>100-VLOOKUP(N46,'[1]Pricing '!$A$529:$K$548,11,FALSE)</f>
        <v>0.75682664672218891</v>
      </c>
      <c r="P46" s="94">
        <f t="shared" si="33"/>
        <v>0.88182664672218891</v>
      </c>
      <c r="U46" s="5"/>
    </row>
    <row r="47" spans="2:23" ht="15" customHeight="1" x14ac:dyDescent="0.25">
      <c r="B47" s="111">
        <f t="shared" si="34"/>
        <v>5.875</v>
      </c>
      <c r="C47" s="93">
        <f>100-VLOOKUP(B47,'[1]Pricing '!$A$2005:$K$2030,11,FALSE)</f>
        <v>1.156745717035264</v>
      </c>
      <c r="D47" s="93">
        <f t="shared" ref="D47:D53" si="38">C47-$V$18</f>
        <v>1.281745717035264</v>
      </c>
      <c r="E47" s="99">
        <f t="shared" si="35"/>
        <v>5.875</v>
      </c>
      <c r="F47" s="114">
        <f>100-VLOOKUP(E47,'[1]Pricing '!$A$2211:$K$2235,11,FALSE)</f>
        <v>1.5278091467877886</v>
      </c>
      <c r="G47" s="100">
        <f t="shared" ref="G47:G53" si="39">F47-$V$18</f>
        <v>1.6528091467877886</v>
      </c>
      <c r="H47" s="107">
        <f t="shared" ref="H47:H53" si="40">H46+0.125</f>
        <v>5.75</v>
      </c>
      <c r="I47" s="93">
        <f>100-VLOOKUP(H47,'[1]Pricing '!$A$485:$K$504,11,FALSE)</f>
        <v>-0.24113004948736716</v>
      </c>
      <c r="J47" s="100">
        <f t="shared" ref="J47:J53" si="41">I47-$V$18</f>
        <v>-0.11613004948736716</v>
      </c>
      <c r="K47" s="107">
        <f t="shared" si="36"/>
        <v>5.75</v>
      </c>
      <c r="L47" s="93">
        <f>100-VLOOKUP(K47,'[1]Pricing '!$A$507:$K$526,11,FALSE)</f>
        <v>-6.8629076370555708E-2</v>
      </c>
      <c r="M47" s="100">
        <f t="shared" ref="M47:M53" si="42">L47-$V$18</f>
        <v>5.6370923629444292E-2</v>
      </c>
      <c r="N47" s="99">
        <f t="shared" si="37"/>
        <v>5.75</v>
      </c>
      <c r="O47" s="93">
        <f>100-VLOOKUP(N47,'[1]Pricing '!$A$529:$K$548,11,FALSE)</f>
        <v>0.36582664672218357</v>
      </c>
      <c r="P47" s="94">
        <f t="shared" ref="P47:P53" si="43">O47-$V$18</f>
        <v>0.49082664672218357</v>
      </c>
      <c r="U47" s="5"/>
    </row>
    <row r="48" spans="2:23" ht="15" customHeight="1" x14ac:dyDescent="0.25">
      <c r="B48" s="111">
        <f t="shared" si="34"/>
        <v>6</v>
      </c>
      <c r="C48" s="93">
        <f>100-VLOOKUP(B48,'[1]Pricing '!$A$2005:$K$2030,11,FALSE)</f>
        <v>0.67889670071487274</v>
      </c>
      <c r="D48" s="93">
        <f t="shared" si="38"/>
        <v>0.80389670071487274</v>
      </c>
      <c r="E48" s="99">
        <f t="shared" si="35"/>
        <v>6</v>
      </c>
      <c r="F48" s="114">
        <f>100-VLOOKUP(E48,'[1]Pricing '!$A$2211:$K$2235,11,FALSE)</f>
        <v>1.0731448046798988</v>
      </c>
      <c r="G48" s="100">
        <f t="shared" si="39"/>
        <v>1.1981448046798988</v>
      </c>
      <c r="H48" s="107">
        <f t="shared" si="40"/>
        <v>5.875</v>
      </c>
      <c r="I48" s="93">
        <f>100-VLOOKUP(H48,'[1]Pricing '!$A$485:$K$504,11,FALSE)</f>
        <v>-0.53626310495160112</v>
      </c>
      <c r="J48" s="100">
        <f t="shared" si="41"/>
        <v>-0.41126310495160112</v>
      </c>
      <c r="K48" s="107">
        <f t="shared" si="36"/>
        <v>5.875</v>
      </c>
      <c r="L48" s="93">
        <f>100-VLOOKUP(K48,'[1]Pricing '!$A$507:$K$526,11,FALSE)</f>
        <v>-0.35225655993586713</v>
      </c>
      <c r="M48" s="100">
        <f t="shared" si="42"/>
        <v>-0.22725655993586713</v>
      </c>
      <c r="N48" s="99">
        <f t="shared" si="37"/>
        <v>5.875</v>
      </c>
      <c r="O48" s="93">
        <f>100-VLOOKUP(N48,'[1]Pricing '!$A$529:$K$548,11,FALSE)</f>
        <v>-1.2704633481959604E-2</v>
      </c>
      <c r="P48" s="94">
        <f t="shared" si="43"/>
        <v>0.1122953665180404</v>
      </c>
      <c r="U48" s="5"/>
    </row>
    <row r="49" spans="2:30" ht="15" customHeight="1" x14ac:dyDescent="0.25">
      <c r="B49" s="111">
        <f t="shared" si="34"/>
        <v>6.125</v>
      </c>
      <c r="C49" s="93">
        <f>100-VLOOKUP(B49,'[1]Pricing '!$A$2005:$K$2030,11,FALSE)</f>
        <v>2.653806173537987E-2</v>
      </c>
      <c r="D49" s="93">
        <f t="shared" si="38"/>
        <v>0.15153806173537987</v>
      </c>
      <c r="E49" s="99">
        <f t="shared" si="35"/>
        <v>6.125</v>
      </c>
      <c r="F49" s="114">
        <f>100-VLOOKUP(E49,'[1]Pricing '!$A$2211:$K$2235,11,FALSE)</f>
        <v>0.66170709597282951</v>
      </c>
      <c r="G49" s="100">
        <f t="shared" si="39"/>
        <v>0.78670709597282951</v>
      </c>
      <c r="H49" s="107">
        <f t="shared" si="40"/>
        <v>6</v>
      </c>
      <c r="I49" s="93">
        <f>100-VLOOKUP(H49,'[1]Pricing '!$A$485:$K$504,11,FALSE)</f>
        <v>-0.83025803371826612</v>
      </c>
      <c r="J49" s="100">
        <f t="shared" si="41"/>
        <v>-0.70525803371826612</v>
      </c>
      <c r="K49" s="107">
        <f t="shared" si="36"/>
        <v>6</v>
      </c>
      <c r="L49" s="93">
        <f>100-VLOOKUP(K49,'[1]Pricing '!$A$507:$K$526,11,FALSE)</f>
        <v>-0.61010182646994338</v>
      </c>
      <c r="M49" s="100">
        <f t="shared" si="42"/>
        <v>-0.48510182646994338</v>
      </c>
      <c r="N49" s="99">
        <f t="shared" si="37"/>
        <v>6</v>
      </c>
      <c r="O49" s="93">
        <f>100-VLOOKUP(N49,'[1]Pricing '!$A$529:$K$548,11,FALSE)</f>
        <v>-0.38567427107395247</v>
      </c>
      <c r="P49" s="94">
        <f t="shared" si="43"/>
        <v>-0.26067427107395247</v>
      </c>
      <c r="U49" s="5"/>
    </row>
    <row r="50" spans="2:30" ht="15" customHeight="1" x14ac:dyDescent="0.25">
      <c r="B50" s="111">
        <f t="shared" si="34"/>
        <v>6.25</v>
      </c>
      <c r="C50" s="93">
        <f>100-VLOOKUP(B50,'[1]Pricing '!$A$2005:$K$2030,11,FALSE)</f>
        <v>-0.36293415441046761</v>
      </c>
      <c r="D50" s="93">
        <f t="shared" si="38"/>
        <v>-0.23793415441046761</v>
      </c>
      <c r="E50" s="99">
        <f t="shared" si="35"/>
        <v>6.25</v>
      </c>
      <c r="F50" s="114">
        <f>100-VLOOKUP(E50,'[1]Pricing '!$A$2211:$K$2235,11,FALSE)</f>
        <v>0.19760169695402396</v>
      </c>
      <c r="G50" s="100">
        <f t="shared" si="39"/>
        <v>0.32260169695402396</v>
      </c>
      <c r="H50" s="107">
        <f t="shared" si="40"/>
        <v>6.125</v>
      </c>
      <c r="I50" s="93">
        <f>100-VLOOKUP(H50,'[1]Pricing '!$A$485:$K$504,11,FALSE)</f>
        <v>-1.1231540695410729</v>
      </c>
      <c r="J50" s="100">
        <f t="shared" si="41"/>
        <v>-0.99815406954107289</v>
      </c>
      <c r="K50" s="107">
        <f t="shared" si="36"/>
        <v>6.125</v>
      </c>
      <c r="L50" s="93">
        <f>100-VLOOKUP(K50,'[1]Pricing '!$A$507:$K$526,11,FALSE)</f>
        <v>-0.89618396092022579</v>
      </c>
      <c r="M50" s="100">
        <f t="shared" si="42"/>
        <v>-0.77118396092022579</v>
      </c>
      <c r="N50" s="99">
        <f t="shared" si="37"/>
        <v>6.125</v>
      </c>
      <c r="O50" s="93">
        <f>100-VLOOKUP(N50,'[1]Pricing '!$A$529:$K$548,11,FALSE)</f>
        <v>-0.76344107911545223</v>
      </c>
      <c r="P50" s="94">
        <f t="shared" si="43"/>
        <v>-0.63844107911545223</v>
      </c>
      <c r="U50" s="5"/>
    </row>
    <row r="51" spans="2:30" ht="15" customHeight="1" x14ac:dyDescent="0.25">
      <c r="B51" s="111">
        <f t="shared" si="34"/>
        <v>6.375</v>
      </c>
      <c r="C51" s="93">
        <f>100-VLOOKUP(B51,'[1]Pricing '!$A$2005:$K$2030,11,FALSE)</f>
        <v>-0.91057310891400789</v>
      </c>
      <c r="D51" s="93">
        <f t="shared" si="38"/>
        <v>-0.78557310891400789</v>
      </c>
      <c r="E51" s="99">
        <f t="shared" si="35"/>
        <v>6.375</v>
      </c>
      <c r="F51" s="114">
        <f>100-VLOOKUP(E51,'[1]Pricing '!$A$2211:$K$2235,11,FALSE)</f>
        <v>-0.19264573367681237</v>
      </c>
      <c r="G51" s="100">
        <f t="shared" si="39"/>
        <v>-6.764573367681237E-2</v>
      </c>
      <c r="H51" s="107">
        <f t="shared" si="40"/>
        <v>6.25</v>
      </c>
      <c r="I51" s="93">
        <f>100-VLOOKUP(H51,'[1]Pricing '!$A$485:$K$504,11,FALSE)</f>
        <v>-1.3236811326311368</v>
      </c>
      <c r="J51" s="100">
        <f t="shared" si="41"/>
        <v>-1.1986811326311368</v>
      </c>
      <c r="K51" s="107">
        <f t="shared" si="36"/>
        <v>6.25</v>
      </c>
      <c r="L51" s="93">
        <f>100-VLOOKUP(K51,'[1]Pricing '!$A$507:$K$526,11,FALSE)</f>
        <v>-1.120791823717866</v>
      </c>
      <c r="M51" s="100">
        <f t="shared" si="42"/>
        <v>-0.99579182371786601</v>
      </c>
      <c r="N51" s="99">
        <f t="shared" si="37"/>
        <v>6.25</v>
      </c>
      <c r="O51" s="93">
        <f>100-VLOOKUP(N51,'[1]Pricing '!$A$529:$K$548,11,FALSE)</f>
        <v>-1.0438518543883362</v>
      </c>
      <c r="P51" s="94">
        <f t="shared" si="43"/>
        <v>-0.91885185438833616</v>
      </c>
      <c r="U51" s="5"/>
    </row>
    <row r="52" spans="2:30" ht="15" customHeight="1" x14ac:dyDescent="0.25">
      <c r="B52" s="111">
        <f t="shared" si="34"/>
        <v>6.5</v>
      </c>
      <c r="C52" s="93">
        <f>100-VLOOKUP(B52,'[1]Pricing '!$A$2005:$K$2030,11,FALSE)</f>
        <v>-1.4005579725934183</v>
      </c>
      <c r="D52" s="93">
        <f t="shared" si="38"/>
        <v>-1.2755579725934183</v>
      </c>
      <c r="E52" s="99">
        <f t="shared" si="35"/>
        <v>6.5</v>
      </c>
      <c r="F52" s="114">
        <f>100-VLOOKUP(E52,'[1]Pricing '!$A$2211:$K$2235,11,FALSE)</f>
        <v>-0.44611536640886129</v>
      </c>
      <c r="G52" s="100">
        <f t="shared" si="39"/>
        <v>-0.32111536640886129</v>
      </c>
      <c r="H52" s="107">
        <f t="shared" si="40"/>
        <v>6.375</v>
      </c>
      <c r="I52" s="93">
        <f>100-VLOOKUP(H52,'[1]Pricing '!$A$485:$K$504,11,FALSE)</f>
        <v>-1.3524034786747734</v>
      </c>
      <c r="J52" s="100">
        <f t="shared" si="41"/>
        <v>-1.2274034786747734</v>
      </c>
      <c r="K52" s="107">
        <f t="shared" si="36"/>
        <v>6.375</v>
      </c>
      <c r="L52" s="93">
        <f>100-VLOOKUP(K52,'[1]Pricing '!$A$507:$K$526,11,FALSE)</f>
        <v>-1.3117603585191091</v>
      </c>
      <c r="M52" s="100">
        <f t="shared" si="42"/>
        <v>-1.1867603585191091</v>
      </c>
      <c r="N52" s="99">
        <f t="shared" si="37"/>
        <v>6.375</v>
      </c>
      <c r="O52" s="93">
        <f>100-VLOOKUP(N52,'[1]Pricing '!$A$529:$K$548,11,FALSE)</f>
        <v>-1.1527526120463278</v>
      </c>
      <c r="P52" s="94">
        <f t="shared" si="43"/>
        <v>-1.0277526120463278</v>
      </c>
      <c r="U52" s="5"/>
    </row>
    <row r="53" spans="2:30" ht="15" customHeight="1" x14ac:dyDescent="0.25">
      <c r="B53" s="111">
        <f t="shared" si="34"/>
        <v>6.625</v>
      </c>
      <c r="C53" s="93">
        <f>100-VLOOKUP(B53,'[1]Pricing '!$A$2005:$K$2030,11,FALSE)</f>
        <v>-1.7441419487640815</v>
      </c>
      <c r="D53" s="93">
        <f t="shared" si="38"/>
        <v>-1.6191419487640815</v>
      </c>
      <c r="E53" s="99">
        <f t="shared" si="35"/>
        <v>6.625</v>
      </c>
      <c r="F53" s="114">
        <f>100-VLOOKUP(E53,'[1]Pricing '!$A$2211:$K$2235,11,FALSE)</f>
        <v>-0.7132554271703242</v>
      </c>
      <c r="G53" s="100">
        <f t="shared" si="39"/>
        <v>-0.5882554271703242</v>
      </c>
      <c r="H53" s="107">
        <f t="shared" si="40"/>
        <v>6.5</v>
      </c>
      <c r="I53" s="93">
        <f>100-VLOOKUP(H53,'[1]Pricing '!$A$485:$K$504,11,FALSE)</f>
        <v>-1.3887349604006829</v>
      </c>
      <c r="J53" s="100">
        <f t="shared" si="41"/>
        <v>-1.2637349604006829</v>
      </c>
      <c r="K53" s="107">
        <f t="shared" si="36"/>
        <v>6.5</v>
      </c>
      <c r="L53" s="93">
        <f>100-VLOOKUP(K53,'[1]Pricing '!$A$507:$K$526,11,FALSE)</f>
        <v>-1.4751589945268506</v>
      </c>
      <c r="M53" s="100">
        <f t="shared" si="42"/>
        <v>-1.3501589945268506</v>
      </c>
      <c r="N53" s="99">
        <f t="shared" si="37"/>
        <v>6.5</v>
      </c>
      <c r="O53" s="93">
        <f>100-VLOOKUP(N53,'[1]Pricing '!$A$529:$K$548,11,FALSE)</f>
        <v>-1.2524158364673781</v>
      </c>
      <c r="P53" s="94">
        <f t="shared" si="43"/>
        <v>-1.1274158364673781</v>
      </c>
      <c r="U53" s="34"/>
    </row>
    <row r="54" spans="2:30" ht="15" customHeight="1" x14ac:dyDescent="0.25">
      <c r="B54" s="111">
        <f t="shared" si="34"/>
        <v>6.75</v>
      </c>
      <c r="C54" s="93">
        <f>100-VLOOKUP(B54,'[1]Pricing '!$A$2005:$K$2030,11,FALSE)</f>
        <v>-2.1060353823492619</v>
      </c>
      <c r="D54" s="93">
        <f t="shared" si="29"/>
        <v>-1.9810353823492619</v>
      </c>
      <c r="E54" s="99">
        <f t="shared" si="35"/>
        <v>6.75</v>
      </c>
      <c r="F54" s="114">
        <f>100-VLOOKUP(E54,'[1]Pricing '!$A$2211:$K$2235,11,FALSE)</f>
        <v>-0.70061475358292569</v>
      </c>
      <c r="G54" s="100">
        <f t="shared" si="30"/>
        <v>-0.57561475358292569</v>
      </c>
      <c r="H54" s="107">
        <f>H53+0.125</f>
        <v>6.625</v>
      </c>
      <c r="I54" s="93">
        <f>100-VLOOKUP(H54,'[1]Pricing '!$A$485:$K$504,11,FALSE)</f>
        <v>-1.4244902820291827</v>
      </c>
      <c r="J54" s="100">
        <f t="shared" si="31"/>
        <v>-1.2994902820291827</v>
      </c>
      <c r="K54" s="107">
        <f t="shared" si="36"/>
        <v>6.625</v>
      </c>
      <c r="L54" s="93">
        <f>100-VLOOKUP(K54,'[1]Pricing '!$A$507:$K$526,11,FALSE)</f>
        <v>-1.641074750006311</v>
      </c>
      <c r="M54" s="100">
        <f t="shared" si="32"/>
        <v>-1.516074750006311</v>
      </c>
      <c r="N54" s="99">
        <f t="shared" si="37"/>
        <v>6.625</v>
      </c>
      <c r="O54" s="93">
        <f>100-VLOOKUP(N54,'[1]Pricing '!$A$529:$K$548,11,FALSE)</f>
        <v>-1.3603509414128325</v>
      </c>
      <c r="P54" s="94">
        <f t="shared" si="33"/>
        <v>-1.2353509414128325</v>
      </c>
      <c r="U54" s="34"/>
    </row>
    <row r="55" spans="2:30" ht="15" customHeight="1" x14ac:dyDescent="0.25">
      <c r="B55" s="111">
        <f t="shared" si="34"/>
        <v>6.875</v>
      </c>
      <c r="C55" s="93">
        <f>100-VLOOKUP(B55,'[1]Pricing '!$A$2005:$K$2030,11,FALSE)</f>
        <v>-2.6096370702999678</v>
      </c>
      <c r="D55" s="93">
        <f t="shared" si="29"/>
        <v>-2.4846370702999678</v>
      </c>
      <c r="E55" s="99">
        <f t="shared" si="35"/>
        <v>6.875</v>
      </c>
      <c r="F55" s="114">
        <f>100-VLOOKUP(E55,'[1]Pricing '!$A$2211:$K$2235,11,FALSE)</f>
        <v>-1.2537034985663382</v>
      </c>
      <c r="G55" s="100">
        <f t="shared" si="30"/>
        <v>-1.1287034985663382</v>
      </c>
      <c r="H55" s="107">
        <f t="shared" ref="H55:H61" si="44">H54+0.125</f>
        <v>6.75</v>
      </c>
      <c r="I55" s="93">
        <f>100-VLOOKUP(H55,'[1]Pricing '!$A$485:$K$504,11,FALSE)</f>
        <v>-1.4246090246507634</v>
      </c>
      <c r="J55" s="100">
        <f t="shared" ref="J55:J57" si="45">I55-$V$18</f>
        <v>-1.2996090246507634</v>
      </c>
      <c r="K55" s="107">
        <f t="shared" si="36"/>
        <v>6.75</v>
      </c>
      <c r="L55" s="93">
        <f>100-VLOOKUP(K55,'[1]Pricing '!$A$507:$K$526,11,FALSE)</f>
        <v>-1.7943000243635083</v>
      </c>
      <c r="M55" s="100">
        <f t="shared" si="32"/>
        <v>-1.6693000243635083</v>
      </c>
      <c r="N55" s="99">
        <f t="shared" si="37"/>
        <v>6.75</v>
      </c>
      <c r="O55" s="93">
        <f>100-VLOOKUP(N55,'[1]Pricing '!$A$529:$K$548,11,FALSE)</f>
        <v>-1.2841469599994326</v>
      </c>
      <c r="P55" s="94">
        <f t="shared" si="33"/>
        <v>-1.1591469599994326</v>
      </c>
      <c r="U55" s="5"/>
    </row>
    <row r="56" spans="2:30" ht="15" customHeight="1" x14ac:dyDescent="0.25">
      <c r="B56" s="111">
        <f t="shared" si="34"/>
        <v>7</v>
      </c>
      <c r="C56" s="93">
        <f>100-VLOOKUP(B56,'[1]Pricing '!$A$2005:$K$2030,11,FALSE)</f>
        <v>-3.0174188214809732</v>
      </c>
      <c r="D56" s="93">
        <f t="shared" si="29"/>
        <v>-2.8924188214809732</v>
      </c>
      <c r="E56" s="99">
        <f t="shared" si="35"/>
        <v>7</v>
      </c>
      <c r="F56" s="114">
        <f>100-VLOOKUP(E56,'[1]Pricing '!$A$2211:$K$2235,11,FALSE)</f>
        <v>-1.4528288528374986</v>
      </c>
      <c r="G56" s="100">
        <f t="shared" si="30"/>
        <v>-1.3278288528374986</v>
      </c>
      <c r="H56" s="107">
        <f t="shared" si="44"/>
        <v>6.875</v>
      </c>
      <c r="I56" s="93">
        <f>100-VLOOKUP(H56,'[1]Pricing '!$A$485:$K$504,11,FALSE)</f>
        <v>-1.349409674979853</v>
      </c>
      <c r="J56" s="100">
        <f t="shared" si="45"/>
        <v>-1.224409674979853</v>
      </c>
      <c r="K56" s="107">
        <f t="shared" si="36"/>
        <v>6.875</v>
      </c>
      <c r="L56" s="93">
        <f>100-VLOOKUP(K56,'[1]Pricing '!$A$507:$K$526,11,FALSE)</f>
        <v>-1.6548256783015773</v>
      </c>
      <c r="M56" s="100">
        <f t="shared" si="32"/>
        <v>-1.5298256783015773</v>
      </c>
      <c r="N56" s="99">
        <f t="shared" si="37"/>
        <v>6.875</v>
      </c>
      <c r="O56" s="93">
        <f>100-VLOOKUP(N56,'[1]Pricing '!$A$529:$K$548,11,FALSE)</f>
        <v>-0.8795822427550064</v>
      </c>
      <c r="P56" s="94">
        <f t="shared" si="33"/>
        <v>-0.7545822427550064</v>
      </c>
      <c r="U56" s="5"/>
    </row>
    <row r="57" spans="2:30" ht="15" customHeight="1" x14ac:dyDescent="0.25">
      <c r="B57" s="111">
        <f t="shared" si="34"/>
        <v>7.125</v>
      </c>
      <c r="C57" s="93">
        <f>100-VLOOKUP(B57,'[1]Pricing '!$A$2005:$K$2030,11,FALSE)</f>
        <v>-3.3316342986537677</v>
      </c>
      <c r="D57" s="93">
        <f t="shared" si="29"/>
        <v>-3.2066342986537677</v>
      </c>
      <c r="E57" s="99">
        <f t="shared" si="35"/>
        <v>7.125</v>
      </c>
      <c r="F57" s="114">
        <f>100-VLOOKUP(E57,'[1]Pricing '!$A$2211:$K$2235,11,FALSE)</f>
        <v>-1.765444981807704</v>
      </c>
      <c r="G57" s="100">
        <f t="shared" si="30"/>
        <v>-1.640444981807704</v>
      </c>
      <c r="H57" s="107">
        <f t="shared" si="44"/>
        <v>7</v>
      </c>
      <c r="I57" s="93">
        <f>100-VLOOKUP(H57,'[1]Pricing '!$A$485:$K$504,11,FALSE)</f>
        <v>-1.2838055416658278</v>
      </c>
      <c r="J57" s="100">
        <f t="shared" si="45"/>
        <v>-1.1588055416658278</v>
      </c>
      <c r="K57" s="107">
        <f t="shared" si="36"/>
        <v>7</v>
      </c>
      <c r="L57" s="93">
        <f>100-VLOOKUP(K57,'[1]Pricing '!$A$507:$K$526,11,FALSE)</f>
        <v>-1.4796490732612284</v>
      </c>
      <c r="M57" s="100">
        <f t="shared" si="32"/>
        <v>-1.3546490732612284</v>
      </c>
      <c r="N57" s="99">
        <f t="shared" si="37"/>
        <v>7</v>
      </c>
      <c r="O57" s="93">
        <f>100-VLOOKUP(N57,'[1]Pricing '!$A$529:$K$548,11,FALSE)</f>
        <v>-0.46406085647522843</v>
      </c>
      <c r="P57" s="94">
        <f t="shared" si="33"/>
        <v>-0.33906085647522843</v>
      </c>
      <c r="U57" s="5"/>
    </row>
    <row r="58" spans="2:30" ht="15" customHeight="1" x14ac:dyDescent="0.25">
      <c r="B58" s="111">
        <f t="shared" si="34"/>
        <v>7.25</v>
      </c>
      <c r="C58" s="93">
        <f>100-VLOOKUP(B58,'[1]Pricing '!$A$2005:$K$2030,11,FALSE)</f>
        <v>-3.9422232180739343</v>
      </c>
      <c r="D58" s="93">
        <f t="shared" si="29"/>
        <v>-3.8172232180739343</v>
      </c>
      <c r="E58" s="99">
        <f t="shared" si="35"/>
        <v>7.25</v>
      </c>
      <c r="F58" s="114">
        <f>100-VLOOKUP(E58,'[1]Pricing '!$A$2211:$K$2235,11,FALSE)</f>
        <v>-1.5210252056708242</v>
      </c>
      <c r="G58" s="100">
        <f t="shared" si="30"/>
        <v>-1.3960252056708242</v>
      </c>
      <c r="H58" s="107">
        <f t="shared" si="44"/>
        <v>7.125</v>
      </c>
      <c r="I58" s="93">
        <f>100-VLOOKUP(H58,'[1]Pricing '!$A$485:$K$504,11,FALSE)</f>
        <v>-1.2186149878190946</v>
      </c>
      <c r="J58" s="100">
        <f t="shared" ref="J58:J59" si="46">I58-$V$18</f>
        <v>-1.0936149878190946</v>
      </c>
      <c r="K58" s="107">
        <f t="shared" si="36"/>
        <v>7.125</v>
      </c>
      <c r="L58" s="93">
        <f>100-VLOOKUP(K58,'[1]Pricing '!$A$507:$K$526,11,FALSE)</f>
        <v>-1.346682883043286</v>
      </c>
      <c r="M58" s="100">
        <f t="shared" si="32"/>
        <v>-1.221682883043286</v>
      </c>
      <c r="N58" s="99">
        <f t="shared" si="37"/>
        <v>7.125</v>
      </c>
      <c r="O58" s="93">
        <f>100-VLOOKUP(N58,'[1]Pricing '!$A$529:$K$548,11,FALSE)</f>
        <v>-5.7835934214395479E-2</v>
      </c>
      <c r="P58" s="94">
        <f t="shared" si="33"/>
        <v>6.7164065785604521E-2</v>
      </c>
      <c r="U58" s="5"/>
    </row>
    <row r="59" spans="2:30" ht="15" customHeight="1" x14ac:dyDescent="0.25">
      <c r="B59" s="111">
        <f t="shared" si="34"/>
        <v>7.375</v>
      </c>
      <c r="C59" s="93">
        <f>100-VLOOKUP(B59,'[1]Pricing '!$A$2005:$K$2030,11,FALSE)</f>
        <v>-4.4217793530222451</v>
      </c>
      <c r="D59" s="93">
        <f t="shared" si="29"/>
        <v>-4.2967793530222451</v>
      </c>
      <c r="E59" s="99">
        <f t="shared" si="35"/>
        <v>7.375</v>
      </c>
      <c r="F59" s="114">
        <f>100-VLOOKUP(E59,'[1]Pricing '!$A$2211:$K$2235,11,FALSE)</f>
        <v>-1.9937664203948344</v>
      </c>
      <c r="G59" s="100">
        <f t="shared" si="30"/>
        <v>-1.8687664203948344</v>
      </c>
      <c r="H59" s="107">
        <f t="shared" si="44"/>
        <v>7.25</v>
      </c>
      <c r="I59" s="93">
        <f>100-VLOOKUP(H59,'[1]Pricing '!$A$485:$K$504,11,FALSE)</f>
        <v>-1.2479031511697514</v>
      </c>
      <c r="J59" s="100">
        <f t="shared" si="46"/>
        <v>-1.1229031511697514</v>
      </c>
      <c r="K59" s="107">
        <f t="shared" si="36"/>
        <v>7.25</v>
      </c>
      <c r="L59" s="93">
        <f>100-VLOOKUP(K59,'[1]Pricing '!$A$507:$K$526,11,FALSE)</f>
        <v>-1.2498882532433555</v>
      </c>
      <c r="M59" s="100">
        <f t="shared" si="32"/>
        <v>-1.1248882532433555</v>
      </c>
      <c r="N59" s="99">
        <f t="shared" si="37"/>
        <v>7.25</v>
      </c>
      <c r="O59" s="93">
        <f>100-VLOOKUP(N59,'[1]Pricing '!$A$529:$K$548,11,FALSE)</f>
        <v>0.1921482760854758</v>
      </c>
      <c r="P59" s="94">
        <f t="shared" si="33"/>
        <v>0.3171482760854758</v>
      </c>
      <c r="U59" s="47"/>
      <c r="V59" s="47"/>
      <c r="W59" s="47"/>
      <c r="X59" s="47"/>
      <c r="Y59" s="55"/>
      <c r="Z59" s="55"/>
      <c r="AA59" s="55"/>
      <c r="AB59" s="55"/>
    </row>
    <row r="60" spans="2:30" ht="15" customHeight="1" x14ac:dyDescent="0.25">
      <c r="B60" s="111">
        <f t="shared" si="34"/>
        <v>7.5</v>
      </c>
      <c r="C60" s="93">
        <f>100-VLOOKUP(B60,'[1]Pricing '!$A$2005:$K$2030,11,FALSE)</f>
        <v>-4.6902060180409961</v>
      </c>
      <c r="D60" s="93">
        <f t="shared" si="29"/>
        <v>-4.5652060180409961</v>
      </c>
      <c r="E60" s="99">
        <f t="shared" si="35"/>
        <v>7.5</v>
      </c>
      <c r="F60" s="114">
        <f>100-VLOOKUP(E60,'[1]Pricing '!$A$2211:$K$2235,11,FALSE)</f>
        <v>-2.3512903711710464</v>
      </c>
      <c r="G60" s="100">
        <f t="shared" si="30"/>
        <v>-2.2262903711710464</v>
      </c>
      <c r="H60" s="107">
        <f t="shared" si="44"/>
        <v>7.375</v>
      </c>
      <c r="I60" s="93">
        <f>100-VLOOKUP(H60,'[1]Pricing '!$A$485:$K$504,11,FALSE)</f>
        <v>-1.4308010379712073</v>
      </c>
      <c r="J60" s="100">
        <f t="shared" ref="J60" si="47">I60-$V$18</f>
        <v>-1.3058010379712073</v>
      </c>
      <c r="K60" s="107">
        <f t="shared" si="36"/>
        <v>7.375</v>
      </c>
      <c r="L60" s="93">
        <f>100-VLOOKUP(K60,'[1]Pricing '!$A$507:$K$526,11,FALSE)</f>
        <v>-1.2202180033873589</v>
      </c>
      <c r="M60" s="100">
        <f t="shared" ref="M60" si="48">L60-$V$18</f>
        <v>-1.0952180033873589</v>
      </c>
      <c r="N60" s="99">
        <f t="shared" si="37"/>
        <v>7.375</v>
      </c>
      <c r="O60" s="93">
        <f>100-VLOOKUP(N60,'[1]Pricing '!$A$529:$K$548,11,FALSE)</f>
        <v>0.1639326482222998</v>
      </c>
      <c r="P60" s="94">
        <f t="shared" ref="P60" si="49">O60-$V$18</f>
        <v>0.2889326482222998</v>
      </c>
      <c r="U60" s="5"/>
      <c r="Y60" s="36"/>
      <c r="Z60" s="36"/>
      <c r="AA60" s="36"/>
      <c r="AB60" s="36"/>
    </row>
    <row r="61" spans="2:30" ht="15" customHeight="1" x14ac:dyDescent="0.25">
      <c r="B61" s="111">
        <f t="shared" si="34"/>
        <v>7.625</v>
      </c>
      <c r="C61" s="93">
        <f>100-VLOOKUP(B61,'[1]Pricing '!$A$2005:$K$2030,11,FALSE)</f>
        <v>-4.8987203116761293</v>
      </c>
      <c r="D61" s="93">
        <f t="shared" si="29"/>
        <v>-4.7737203116761293</v>
      </c>
      <c r="E61" s="99">
        <f t="shared" si="35"/>
        <v>7.625</v>
      </c>
      <c r="F61" s="114">
        <f>100-VLOOKUP(E61,'[1]Pricing '!$A$2211:$K$2235,11,FALSE)</f>
        <v>-2.5238845578142275</v>
      </c>
      <c r="G61" s="100">
        <f t="shared" si="30"/>
        <v>-2.3988845578142275</v>
      </c>
      <c r="H61" s="107">
        <f t="shared" si="44"/>
        <v>7.5</v>
      </c>
      <c r="I61" s="93">
        <f>100-VLOOKUP(H61,'[1]Pricing '!$A$485:$K$504,11,FALSE)</f>
        <v>-1.6271161280272395</v>
      </c>
      <c r="J61" s="100">
        <f t="shared" ref="J61" si="50">I61-$V$18</f>
        <v>-1.5021161280272395</v>
      </c>
      <c r="K61" s="107">
        <f t="shared" si="36"/>
        <v>7.5</v>
      </c>
      <c r="L61" s="93">
        <f>100-VLOOKUP(K61,'[1]Pricing '!$A$507:$K$526,11,FALSE)</f>
        <v>-1.1718289825493287</v>
      </c>
      <c r="M61" s="100">
        <f t="shared" ref="M61" si="51">L61-$V$18</f>
        <v>-1.0468289825493287</v>
      </c>
      <c r="N61" s="99">
        <f t="shared" si="37"/>
        <v>7.5</v>
      </c>
      <c r="O61" s="93">
        <f>100-VLOOKUP(N61,'[1]Pricing '!$A$529:$K$548,11,FALSE)</f>
        <v>0.14907128945802128</v>
      </c>
      <c r="P61" s="94">
        <f t="shared" ref="P61" si="52">O61-$V$18</f>
        <v>0.27407128945802128</v>
      </c>
      <c r="U61" s="5"/>
      <c r="Y61" s="36"/>
      <c r="Z61" s="36"/>
      <c r="AA61" s="36"/>
      <c r="AB61" s="36"/>
    </row>
    <row r="62" spans="2:30" ht="15" customHeight="1" thickBot="1" x14ac:dyDescent="0.3">
      <c r="B62" s="111">
        <f t="shared" si="34"/>
        <v>7.75</v>
      </c>
      <c r="C62" s="93">
        <f>100-VLOOKUP(B62,'[1]Pricing '!$A$2005:$K$2030,11,FALSE)</f>
        <v>-4.0991265345003711</v>
      </c>
      <c r="D62" s="93">
        <f t="shared" si="29"/>
        <v>-3.9741265345003711</v>
      </c>
      <c r="E62" s="99">
        <f t="shared" si="35"/>
        <v>7.75</v>
      </c>
      <c r="F62" s="114">
        <f>100-VLOOKUP(E62,'[1]Pricing '!$A$2211:$K$2235,11,FALSE)</f>
        <v>-2.0817092152258709</v>
      </c>
      <c r="G62" s="100">
        <f t="shared" si="30"/>
        <v>-1.9567092152258709</v>
      </c>
      <c r="H62" s="107"/>
      <c r="I62" s="93"/>
      <c r="J62" s="100"/>
      <c r="K62" s="107"/>
      <c r="L62" s="93"/>
      <c r="M62" s="100"/>
      <c r="N62" s="99"/>
      <c r="O62" s="93"/>
      <c r="P62" s="94"/>
      <c r="U62" s="39"/>
      <c r="Y62" s="36"/>
      <c r="Z62" s="36"/>
      <c r="AA62" s="36"/>
      <c r="AB62" s="36"/>
    </row>
    <row r="63" spans="2:30" ht="22.5" customHeight="1" x14ac:dyDescent="0.3">
      <c r="B63" s="1342" t="s">
        <v>396</v>
      </c>
      <c r="C63" s="1343"/>
      <c r="D63" s="1343"/>
      <c r="E63" s="1343"/>
      <c r="F63" s="1343"/>
      <c r="G63" s="1343"/>
      <c r="H63" s="1343"/>
      <c r="I63" s="1343"/>
      <c r="J63" s="1343"/>
      <c r="K63" s="1344"/>
      <c r="L63" s="1467" t="s">
        <v>28</v>
      </c>
      <c r="M63" s="1468"/>
      <c r="N63" s="1468"/>
      <c r="O63" s="1468"/>
      <c r="P63" s="1469"/>
      <c r="Q63" s="210"/>
      <c r="R63" s="210"/>
      <c r="U63" s="5"/>
      <c r="V63" s="126"/>
      <c r="W63" s="126"/>
      <c r="Y63" s="36"/>
      <c r="Z63" s="36"/>
      <c r="AA63" s="36"/>
      <c r="AB63" s="36"/>
      <c r="AC63" s="6"/>
      <c r="AD63" s="6"/>
    </row>
    <row r="64" spans="2:30" ht="20.25" customHeight="1" x14ac:dyDescent="0.25">
      <c r="B64" s="226" t="s">
        <v>97</v>
      </c>
      <c r="C64" s="419" t="s">
        <v>98</v>
      </c>
      <c r="D64" s="420" t="s">
        <v>99</v>
      </c>
      <c r="E64" s="420" t="s">
        <v>100</v>
      </c>
      <c r="F64" s="420" t="s">
        <v>101</v>
      </c>
      <c r="G64" s="420" t="s">
        <v>102</v>
      </c>
      <c r="H64" s="420" t="s">
        <v>103</v>
      </c>
      <c r="I64" s="227" t="s">
        <v>104</v>
      </c>
      <c r="J64" s="227" t="s">
        <v>105</v>
      </c>
      <c r="K64" s="228" t="s">
        <v>106</v>
      </c>
      <c r="L64" s="1411" t="s">
        <v>359</v>
      </c>
      <c r="M64" s="1412"/>
      <c r="N64" s="1412"/>
      <c r="O64" s="1412"/>
      <c r="P64" s="1413"/>
      <c r="T64" s="33"/>
      <c r="U64" s="5"/>
      <c r="V64" s="126"/>
      <c r="W64" s="126"/>
      <c r="X64" s="6"/>
      <c r="Y64" s="6"/>
      <c r="AB64" s="6"/>
      <c r="AC64" s="6"/>
      <c r="AD64" s="6"/>
    </row>
    <row r="65" spans="2:30" ht="20.25" customHeight="1" x14ac:dyDescent="0.25">
      <c r="B65" s="229" t="s">
        <v>108</v>
      </c>
      <c r="C65" s="230">
        <v>0</v>
      </c>
      <c r="D65" s="231">
        <v>0</v>
      </c>
      <c r="E65" s="231">
        <v>0</v>
      </c>
      <c r="F65" s="231">
        <v>0</v>
      </c>
      <c r="G65" s="231">
        <v>0.375</v>
      </c>
      <c r="H65" s="232">
        <v>0.375</v>
      </c>
      <c r="I65" s="231">
        <v>0.25</v>
      </c>
      <c r="J65" s="231">
        <v>0.25</v>
      </c>
      <c r="K65" s="233">
        <v>0.125</v>
      </c>
      <c r="L65" s="1411" t="s">
        <v>30</v>
      </c>
      <c r="M65" s="1412"/>
      <c r="N65" s="1412"/>
      <c r="O65" s="1412"/>
      <c r="P65" s="1413"/>
      <c r="T65" s="205"/>
      <c r="U65" s="5"/>
      <c r="V65" s="205"/>
      <c r="W65" s="205"/>
      <c r="X65" s="6"/>
      <c r="Y65" s="6"/>
      <c r="AB65" s="6"/>
      <c r="AC65" s="6"/>
      <c r="AD65" s="6"/>
    </row>
    <row r="66" spans="2:30" ht="20.25" customHeight="1" x14ac:dyDescent="0.25">
      <c r="B66" s="234" t="s">
        <v>110</v>
      </c>
      <c r="C66" s="235">
        <v>0</v>
      </c>
      <c r="D66" s="232">
        <v>0</v>
      </c>
      <c r="E66" s="232">
        <v>0</v>
      </c>
      <c r="F66" s="232">
        <v>0</v>
      </c>
      <c r="G66" s="232">
        <v>0.375</v>
      </c>
      <c r="H66" s="232">
        <v>0.375</v>
      </c>
      <c r="I66" s="232">
        <v>0.25</v>
      </c>
      <c r="J66" s="232">
        <v>0.25</v>
      </c>
      <c r="K66" s="236">
        <v>0.125</v>
      </c>
      <c r="L66" s="1411" t="s">
        <v>360</v>
      </c>
      <c r="M66" s="1412"/>
      <c r="N66" s="1412"/>
      <c r="O66" s="1412"/>
      <c r="P66" s="1413"/>
      <c r="T66" s="206"/>
      <c r="U66" s="36"/>
      <c r="V66" s="213"/>
      <c r="W66" s="213"/>
      <c r="X66" s="6"/>
      <c r="Y66" s="6"/>
      <c r="AB66" s="6"/>
      <c r="AC66" s="6"/>
      <c r="AD66" s="6"/>
    </row>
    <row r="67" spans="2:30" ht="20.25" customHeight="1" x14ac:dyDescent="0.25">
      <c r="B67" s="234" t="s">
        <v>53</v>
      </c>
      <c r="C67" s="235">
        <v>0</v>
      </c>
      <c r="D67" s="232">
        <v>0</v>
      </c>
      <c r="E67" s="232">
        <v>0</v>
      </c>
      <c r="F67" s="232">
        <v>0.25</v>
      </c>
      <c r="G67" s="232">
        <v>0.625</v>
      </c>
      <c r="H67" s="237">
        <v>0.625</v>
      </c>
      <c r="I67" s="232">
        <v>0.5</v>
      </c>
      <c r="J67" s="232">
        <v>0.5</v>
      </c>
      <c r="K67" s="236">
        <v>0.25</v>
      </c>
      <c r="L67" s="1411" t="s">
        <v>361</v>
      </c>
      <c r="M67" s="1412"/>
      <c r="N67" s="1412"/>
      <c r="O67" s="1412"/>
      <c r="P67" s="1413"/>
      <c r="T67" s="206"/>
      <c r="U67" s="36"/>
      <c r="V67" s="143"/>
      <c r="W67" s="143"/>
      <c r="Y67" s="8"/>
      <c r="Z67" s="8"/>
      <c r="AA67" s="36"/>
      <c r="AB67" s="6"/>
      <c r="AC67" s="6"/>
      <c r="AD67" s="6"/>
    </row>
    <row r="68" spans="2:30" ht="20.25" customHeight="1" x14ac:dyDescent="0.25">
      <c r="B68" s="234" t="s">
        <v>54</v>
      </c>
      <c r="C68" s="235">
        <v>0</v>
      </c>
      <c r="D68" s="232">
        <v>0</v>
      </c>
      <c r="E68" s="232">
        <v>0.125</v>
      </c>
      <c r="F68" s="232">
        <v>0.375</v>
      </c>
      <c r="G68" s="232">
        <v>0.875</v>
      </c>
      <c r="H68" s="237">
        <v>1</v>
      </c>
      <c r="I68" s="232">
        <v>0.75</v>
      </c>
      <c r="J68" s="232">
        <v>0.625</v>
      </c>
      <c r="K68" s="236">
        <v>0.5</v>
      </c>
      <c r="L68" s="1411" t="s">
        <v>32</v>
      </c>
      <c r="M68" s="1412"/>
      <c r="N68" s="1412"/>
      <c r="O68" s="1412"/>
      <c r="P68" s="1413"/>
      <c r="T68" s="206"/>
      <c r="U68" s="36"/>
      <c r="V68" s="214"/>
      <c r="W68" s="215"/>
      <c r="AA68" s="8"/>
      <c r="AB68" s="6"/>
      <c r="AC68" s="6"/>
      <c r="AD68" s="6"/>
    </row>
    <row r="69" spans="2:30" ht="20.25" customHeight="1" x14ac:dyDescent="0.25">
      <c r="B69" s="238" t="s">
        <v>55</v>
      </c>
      <c r="C69" s="239">
        <v>0</v>
      </c>
      <c r="D69" s="240">
        <v>0</v>
      </c>
      <c r="E69" s="240">
        <v>0.25</v>
      </c>
      <c r="F69" s="240">
        <v>0.75</v>
      </c>
      <c r="G69" s="240">
        <v>1.25</v>
      </c>
      <c r="H69" s="241">
        <v>1.25</v>
      </c>
      <c r="I69" s="240">
        <v>1</v>
      </c>
      <c r="J69" s="240">
        <v>0.875</v>
      </c>
      <c r="K69" s="242">
        <v>0.75</v>
      </c>
      <c r="L69" s="1423" t="s">
        <v>440</v>
      </c>
      <c r="M69" s="1424"/>
      <c r="N69" s="1424"/>
      <c r="O69" s="1424"/>
      <c r="P69" s="1425"/>
      <c r="T69" s="206"/>
      <c r="U69" s="36"/>
      <c r="V69" s="214"/>
      <c r="W69" s="215"/>
      <c r="X69" s="6"/>
      <c r="Y69" s="6"/>
    </row>
    <row r="70" spans="2:30" ht="20.25" customHeight="1" x14ac:dyDescent="0.25">
      <c r="B70" s="238" t="s">
        <v>57</v>
      </c>
      <c r="C70" s="239">
        <v>0</v>
      </c>
      <c r="D70" s="240">
        <v>0</v>
      </c>
      <c r="E70" s="240">
        <v>0.375</v>
      </c>
      <c r="F70" s="240">
        <v>0.875</v>
      </c>
      <c r="G70" s="240">
        <v>1.375</v>
      </c>
      <c r="H70" s="241">
        <v>1.5</v>
      </c>
      <c r="I70" s="240">
        <v>1.25</v>
      </c>
      <c r="J70" s="240">
        <v>1.125</v>
      </c>
      <c r="K70" s="242">
        <v>0.875</v>
      </c>
      <c r="L70" s="1411" t="s">
        <v>437</v>
      </c>
      <c r="M70" s="1412"/>
      <c r="N70" s="1412"/>
      <c r="O70" s="1412"/>
      <c r="P70" s="1413"/>
      <c r="T70" s="206"/>
      <c r="U70" s="36"/>
      <c r="V70" s="214"/>
      <c r="W70" s="215"/>
      <c r="X70" s="6"/>
      <c r="Y70" s="6"/>
    </row>
    <row r="71" spans="2:30" ht="20.25" customHeight="1" x14ac:dyDescent="0.25">
      <c r="B71" s="238" t="s">
        <v>58</v>
      </c>
      <c r="C71" s="239">
        <v>0</v>
      </c>
      <c r="D71" s="240">
        <v>0</v>
      </c>
      <c r="E71" s="240">
        <v>0.625</v>
      </c>
      <c r="F71" s="240">
        <v>1.125</v>
      </c>
      <c r="G71" s="240">
        <v>1.75</v>
      </c>
      <c r="H71" s="241">
        <v>1.875</v>
      </c>
      <c r="I71" s="240">
        <v>1.5</v>
      </c>
      <c r="J71" s="240">
        <v>1.375</v>
      </c>
      <c r="K71" s="242">
        <v>1.125</v>
      </c>
      <c r="L71" s="1411" t="s">
        <v>438</v>
      </c>
      <c r="M71" s="1412"/>
      <c r="N71" s="1412"/>
      <c r="O71" s="1412"/>
      <c r="P71" s="1413"/>
      <c r="T71" s="36"/>
      <c r="U71" s="36"/>
      <c r="V71" s="213"/>
      <c r="W71" s="213"/>
      <c r="X71" s="6"/>
      <c r="Y71" s="6"/>
    </row>
    <row r="72" spans="2:30" ht="20.25" customHeight="1" x14ac:dyDescent="0.25">
      <c r="B72" s="238" t="s">
        <v>73</v>
      </c>
      <c r="C72" s="239">
        <v>0</v>
      </c>
      <c r="D72" s="240">
        <v>0</v>
      </c>
      <c r="E72" s="240">
        <v>0.75</v>
      </c>
      <c r="F72" s="240">
        <v>1.375</v>
      </c>
      <c r="G72" s="240">
        <v>1.875</v>
      </c>
      <c r="H72" s="241">
        <v>2.125</v>
      </c>
      <c r="I72" s="240">
        <v>1.75</v>
      </c>
      <c r="J72" s="240">
        <v>1.625</v>
      </c>
      <c r="K72" s="242">
        <v>1.25</v>
      </c>
      <c r="L72" s="1411" t="s">
        <v>439</v>
      </c>
      <c r="M72" s="1412"/>
      <c r="N72" s="1412"/>
      <c r="O72" s="1412"/>
      <c r="P72" s="1413"/>
      <c r="T72" s="36"/>
      <c r="U72" s="36"/>
      <c r="V72" s="216"/>
      <c r="W72" s="216"/>
      <c r="X72" s="47"/>
      <c r="Y72" s="47"/>
      <c r="Z72" s="47"/>
      <c r="AA72" s="47"/>
      <c r="AB72" s="47"/>
    </row>
    <row r="73" spans="2:30" ht="20.25" customHeight="1" x14ac:dyDescent="0.25">
      <c r="B73" s="238" t="s">
        <v>113</v>
      </c>
      <c r="C73" s="239">
        <v>0</v>
      </c>
      <c r="D73" s="240">
        <v>0</v>
      </c>
      <c r="E73" s="240">
        <v>1.125</v>
      </c>
      <c r="F73" s="240">
        <v>1.5</v>
      </c>
      <c r="G73" s="240">
        <v>2.25</v>
      </c>
      <c r="H73" s="241">
        <v>2.5</v>
      </c>
      <c r="I73" s="240">
        <v>2</v>
      </c>
      <c r="J73" s="240">
        <v>1.875</v>
      </c>
      <c r="K73" s="242">
        <v>1.5</v>
      </c>
      <c r="L73" s="414"/>
      <c r="M73" s="414"/>
      <c r="N73" s="414"/>
      <c r="O73" s="414"/>
      <c r="P73" s="416"/>
      <c r="T73" s="36"/>
      <c r="U73" s="36"/>
      <c r="V73" s="8"/>
      <c r="W73" s="36"/>
      <c r="X73" s="49"/>
    </row>
    <row r="74" spans="2:30" ht="20.25" customHeight="1" thickBot="1" x14ac:dyDescent="0.3">
      <c r="B74" s="243" t="s">
        <v>115</v>
      </c>
      <c r="C74" s="244">
        <v>0</v>
      </c>
      <c r="D74" s="245">
        <v>0.125</v>
      </c>
      <c r="E74" s="245">
        <v>1.5</v>
      </c>
      <c r="F74" s="245">
        <v>2.125</v>
      </c>
      <c r="G74" s="245">
        <v>2.75</v>
      </c>
      <c r="H74" s="246">
        <v>2.875</v>
      </c>
      <c r="I74" s="245">
        <v>2.625</v>
      </c>
      <c r="J74" s="245">
        <v>2.25</v>
      </c>
      <c r="K74" s="247">
        <v>1.75</v>
      </c>
      <c r="L74" s="1508" t="s">
        <v>33</v>
      </c>
      <c r="M74" s="1509"/>
      <c r="N74" s="1509"/>
      <c r="O74" s="1509"/>
      <c r="P74" s="1510"/>
      <c r="T74" s="36"/>
      <c r="U74" s="5"/>
      <c r="V74" s="8"/>
      <c r="W74" s="36"/>
      <c r="X74" s="49"/>
      <c r="Y74" s="50"/>
      <c r="Z74" s="50"/>
    </row>
    <row r="75" spans="2:30" ht="21" customHeight="1" thickTop="1" x14ac:dyDescent="0.3">
      <c r="B75" s="1460" t="s">
        <v>117</v>
      </c>
      <c r="C75" s="1461"/>
      <c r="D75" s="1461"/>
      <c r="E75" s="1461"/>
      <c r="F75" s="1461"/>
      <c r="G75" s="1461"/>
      <c r="H75" s="1461"/>
      <c r="I75" s="1461"/>
      <c r="J75" s="1461"/>
      <c r="K75" s="1462"/>
      <c r="L75" s="1423" t="s">
        <v>442</v>
      </c>
      <c r="M75" s="1424"/>
      <c r="N75" s="1424"/>
      <c r="O75" s="1424"/>
      <c r="P75" s="1425"/>
      <c r="T75" s="36"/>
      <c r="U75" s="5"/>
      <c r="W75" s="36"/>
      <c r="X75" s="49"/>
    </row>
    <row r="76" spans="2:30" ht="16.5" x14ac:dyDescent="0.25">
      <c r="B76" s="226" t="s">
        <v>119</v>
      </c>
      <c r="C76" s="419" t="s">
        <v>98</v>
      </c>
      <c r="D76" s="420" t="s">
        <v>99</v>
      </c>
      <c r="E76" s="420" t="s">
        <v>100</v>
      </c>
      <c r="F76" s="420" t="s">
        <v>101</v>
      </c>
      <c r="G76" s="420" t="s">
        <v>102</v>
      </c>
      <c r="H76" s="420" t="s">
        <v>103</v>
      </c>
      <c r="I76" s="227" t="s">
        <v>104</v>
      </c>
      <c r="J76" s="227" t="s">
        <v>105</v>
      </c>
      <c r="K76" s="228" t="s">
        <v>106</v>
      </c>
      <c r="L76" s="1411" t="s">
        <v>445</v>
      </c>
      <c r="M76" s="1412"/>
      <c r="N76" s="1412"/>
      <c r="O76" s="1412"/>
      <c r="P76" s="1413"/>
      <c r="T76" s="36"/>
      <c r="U76" s="5"/>
      <c r="V76" s="8"/>
      <c r="W76" s="36"/>
      <c r="X76" s="49"/>
      <c r="Y76" s="51"/>
      <c r="Z76" s="51"/>
      <c r="AA76" s="51"/>
      <c r="AB76" s="51"/>
    </row>
    <row r="77" spans="2:30" ht="20.25" customHeight="1" x14ac:dyDescent="0.25">
      <c r="B77" s="248" t="s">
        <v>121</v>
      </c>
      <c r="C77" s="424">
        <v>0</v>
      </c>
      <c r="D77" s="425">
        <v>0</v>
      </c>
      <c r="E77" s="425">
        <v>0</v>
      </c>
      <c r="F77" s="425">
        <v>0</v>
      </c>
      <c r="G77" s="425">
        <v>0</v>
      </c>
      <c r="H77" s="425">
        <v>0</v>
      </c>
      <c r="I77" s="425">
        <v>0</v>
      </c>
      <c r="J77" s="425">
        <v>0.25</v>
      </c>
      <c r="K77" s="426" t="s">
        <v>56</v>
      </c>
      <c r="L77" s="1411" t="s">
        <v>443</v>
      </c>
      <c r="M77" s="1412"/>
      <c r="N77" s="1412"/>
      <c r="O77" s="1412"/>
      <c r="P77" s="1413"/>
      <c r="T77" s="36"/>
      <c r="U77" s="5"/>
      <c r="V77" s="8"/>
      <c r="W77" s="36"/>
      <c r="X77" s="49"/>
      <c r="Y77" s="51"/>
      <c r="Z77" s="51"/>
      <c r="AA77" s="51"/>
      <c r="AB77" s="51"/>
    </row>
    <row r="78" spans="2:30" ht="20.25" customHeight="1" x14ac:dyDescent="0.25">
      <c r="B78" s="248" t="s">
        <v>123</v>
      </c>
      <c r="C78" s="424">
        <v>0</v>
      </c>
      <c r="D78" s="425">
        <v>0</v>
      </c>
      <c r="E78" s="425">
        <v>0.125</v>
      </c>
      <c r="F78" s="425">
        <v>0.125</v>
      </c>
      <c r="G78" s="425">
        <v>0.75</v>
      </c>
      <c r="H78" s="425">
        <v>0.75</v>
      </c>
      <c r="I78" s="425">
        <v>0.75</v>
      </c>
      <c r="J78" s="425">
        <v>0.75</v>
      </c>
      <c r="K78" s="426">
        <v>0.75</v>
      </c>
      <c r="L78" s="1411" t="s">
        <v>444</v>
      </c>
      <c r="M78" s="1412"/>
      <c r="N78" s="1412"/>
      <c r="O78" s="1412"/>
      <c r="P78" s="1413"/>
      <c r="T78" s="36"/>
      <c r="U78" s="5"/>
      <c r="V78" s="8"/>
      <c r="W78" s="36"/>
      <c r="X78" s="49"/>
      <c r="Y78" s="51"/>
      <c r="Z78" s="51"/>
      <c r="AA78" s="51"/>
      <c r="AB78" s="51"/>
    </row>
    <row r="79" spans="2:30" ht="20.25" customHeight="1" x14ac:dyDescent="0.25">
      <c r="B79" s="249" t="s">
        <v>79</v>
      </c>
      <c r="C79" s="250">
        <v>0</v>
      </c>
      <c r="D79" s="251">
        <v>0</v>
      </c>
      <c r="E79" s="251">
        <v>0.375</v>
      </c>
      <c r="F79" s="251">
        <v>0.375</v>
      </c>
      <c r="G79" s="251">
        <v>0.625</v>
      </c>
      <c r="H79" s="251">
        <v>0.625</v>
      </c>
      <c r="I79" s="425">
        <v>0.875</v>
      </c>
      <c r="J79" s="425">
        <v>0.875</v>
      </c>
      <c r="K79" s="426" t="s">
        <v>56</v>
      </c>
      <c r="L79" s="1411" t="s">
        <v>359</v>
      </c>
      <c r="M79" s="1412"/>
      <c r="N79" s="1412"/>
      <c r="O79" s="1412"/>
      <c r="P79" s="1413"/>
      <c r="T79" s="36"/>
      <c r="U79" s="5"/>
      <c r="V79" s="8"/>
      <c r="X79" s="49"/>
      <c r="Y79" s="51"/>
      <c r="Z79" s="51"/>
      <c r="AA79" s="51"/>
      <c r="AB79" s="51"/>
    </row>
    <row r="80" spans="2:30" ht="20.25" customHeight="1" x14ac:dyDescent="0.25">
      <c r="B80" s="248" t="s">
        <v>125</v>
      </c>
      <c r="C80" s="424">
        <v>1.125</v>
      </c>
      <c r="D80" s="425">
        <v>1.125</v>
      </c>
      <c r="E80" s="425">
        <v>1.625</v>
      </c>
      <c r="F80" s="425">
        <v>2.125</v>
      </c>
      <c r="G80" s="425">
        <v>3.375</v>
      </c>
      <c r="H80" s="425">
        <v>4.125</v>
      </c>
      <c r="I80" s="425" t="s">
        <v>56</v>
      </c>
      <c r="J80" s="425" t="s">
        <v>56</v>
      </c>
      <c r="K80" s="426" t="s">
        <v>56</v>
      </c>
      <c r="L80" s="1411" t="s">
        <v>34</v>
      </c>
      <c r="M80" s="1412"/>
      <c r="N80" s="1412"/>
      <c r="O80" s="1412"/>
      <c r="P80" s="1413"/>
      <c r="T80" s="113"/>
      <c r="U80" s="5"/>
      <c r="V80" s="113"/>
      <c r="W80" s="113"/>
      <c r="X80" s="49"/>
      <c r="Y80" s="68"/>
      <c r="Z80" s="68"/>
      <c r="AA80" s="68"/>
    </row>
    <row r="81" spans="2:28" ht="20.25" customHeight="1" x14ac:dyDescent="0.3">
      <c r="B81" s="248" t="s">
        <v>22</v>
      </c>
      <c r="C81" s="424">
        <v>1.125</v>
      </c>
      <c r="D81" s="425">
        <v>1.125</v>
      </c>
      <c r="E81" s="425">
        <v>1.625</v>
      </c>
      <c r="F81" s="425">
        <v>2.125</v>
      </c>
      <c r="G81" s="425">
        <v>3.375</v>
      </c>
      <c r="H81" s="425">
        <v>4.125</v>
      </c>
      <c r="I81" s="425">
        <v>4.125</v>
      </c>
      <c r="J81" s="425" t="s">
        <v>56</v>
      </c>
      <c r="K81" s="426" t="s">
        <v>56</v>
      </c>
      <c r="L81" s="1411" t="s">
        <v>35</v>
      </c>
      <c r="M81" s="1412"/>
      <c r="N81" s="1412"/>
      <c r="O81" s="1412"/>
      <c r="P81" s="1413"/>
      <c r="T81" s="25"/>
      <c r="U81" s="5"/>
      <c r="V81" s="25"/>
      <c r="W81" s="25"/>
      <c r="X81" s="52"/>
      <c r="Y81" s="41"/>
      <c r="Z81" s="43"/>
      <c r="AA81" s="52"/>
      <c r="AB81" s="52"/>
    </row>
    <row r="82" spans="2:28" ht="20.25" customHeight="1" x14ac:dyDescent="0.25">
      <c r="B82" s="248" t="s">
        <v>131</v>
      </c>
      <c r="C82" s="424">
        <v>0.625</v>
      </c>
      <c r="D82" s="425">
        <v>0.625</v>
      </c>
      <c r="E82" s="425">
        <v>0.625</v>
      </c>
      <c r="F82" s="425">
        <v>0.875</v>
      </c>
      <c r="G82" s="425">
        <v>1.125</v>
      </c>
      <c r="H82" s="425">
        <v>1.125</v>
      </c>
      <c r="I82" s="425">
        <v>1.125</v>
      </c>
      <c r="J82" s="425">
        <v>1.875</v>
      </c>
      <c r="K82" s="252">
        <v>1.875</v>
      </c>
      <c r="L82" s="1411" t="s">
        <v>362</v>
      </c>
      <c r="M82" s="1412"/>
      <c r="N82" s="1412"/>
      <c r="O82" s="1412"/>
      <c r="P82" s="1413"/>
      <c r="T82" s="205"/>
      <c r="U82" s="5"/>
      <c r="V82" s="205"/>
      <c r="W82" s="205"/>
      <c r="X82" s="52"/>
      <c r="Y82" s="41"/>
      <c r="Z82" s="43"/>
      <c r="AA82" s="52"/>
      <c r="AB82" s="52"/>
    </row>
    <row r="83" spans="2:28" ht="20.25" customHeight="1" x14ac:dyDescent="0.25">
      <c r="B83" s="248" t="s">
        <v>132</v>
      </c>
      <c r="C83" s="424">
        <v>0.5</v>
      </c>
      <c r="D83" s="425">
        <v>0.5</v>
      </c>
      <c r="E83" s="425">
        <v>0.75</v>
      </c>
      <c r="F83" s="425">
        <v>0.75</v>
      </c>
      <c r="G83" s="425">
        <v>1</v>
      </c>
      <c r="H83" s="425">
        <v>1</v>
      </c>
      <c r="I83" s="425">
        <v>1</v>
      </c>
      <c r="J83" s="425">
        <v>1</v>
      </c>
      <c r="K83" s="426">
        <v>1</v>
      </c>
      <c r="L83" s="1411" t="s">
        <v>36</v>
      </c>
      <c r="M83" s="1412"/>
      <c r="N83" s="1412"/>
      <c r="O83" s="1412"/>
      <c r="P83" s="1413"/>
      <c r="T83" s="8"/>
      <c r="U83" s="5"/>
      <c r="V83" s="8"/>
      <c r="W83" s="8"/>
      <c r="X83" s="52"/>
      <c r="Y83" s="44"/>
      <c r="Z83" s="52"/>
      <c r="AA83" s="52"/>
      <c r="AB83" s="52"/>
    </row>
    <row r="84" spans="2:28" ht="20.25" customHeight="1" thickBot="1" x14ac:dyDescent="0.3">
      <c r="B84" s="253" t="s">
        <v>133</v>
      </c>
      <c r="C84" s="427">
        <v>1.25</v>
      </c>
      <c r="D84" s="428">
        <v>1.25</v>
      </c>
      <c r="E84" s="428">
        <v>1.5</v>
      </c>
      <c r="F84" s="428">
        <v>1.5</v>
      </c>
      <c r="G84" s="428">
        <v>2.5</v>
      </c>
      <c r="H84" s="428">
        <v>2.5</v>
      </c>
      <c r="I84" s="428">
        <v>2.5</v>
      </c>
      <c r="J84" s="428">
        <v>2.75</v>
      </c>
      <c r="K84" s="461" t="s">
        <v>56</v>
      </c>
      <c r="L84" s="1511" t="s">
        <v>37</v>
      </c>
      <c r="M84" s="1512"/>
      <c r="N84" s="1512"/>
      <c r="O84" s="1512"/>
      <c r="P84" s="1513"/>
      <c r="T84" s="8"/>
      <c r="U84" s="5"/>
      <c r="V84" s="8"/>
      <c r="W84" s="8"/>
      <c r="X84" s="52"/>
      <c r="Y84" s="41"/>
      <c r="Z84" s="52"/>
      <c r="AA84" s="52"/>
      <c r="AB84" s="52"/>
    </row>
    <row r="85" spans="2:28" ht="19.5" customHeight="1" thickBot="1" x14ac:dyDescent="0.3">
      <c r="B85" s="939" t="s">
        <v>666</v>
      </c>
      <c r="C85" s="928">
        <v>0.25</v>
      </c>
      <c r="D85" s="929">
        <v>0.25</v>
      </c>
      <c r="E85" s="929">
        <v>0.25</v>
      </c>
      <c r="F85" s="929">
        <v>0.375</v>
      </c>
      <c r="G85" s="930">
        <v>0.375</v>
      </c>
      <c r="H85" s="929">
        <v>0.5</v>
      </c>
      <c r="I85" s="929">
        <v>0.5</v>
      </c>
      <c r="J85" s="929">
        <v>0.5</v>
      </c>
      <c r="K85" s="932">
        <v>0.5</v>
      </c>
      <c r="L85" s="1429"/>
      <c r="M85" s="1430"/>
      <c r="N85" s="1430"/>
      <c r="O85" s="1430"/>
      <c r="P85" s="1431"/>
      <c r="T85" s="8"/>
      <c r="U85" s="5"/>
      <c r="V85" s="8"/>
      <c r="W85" s="8"/>
      <c r="X85" s="52"/>
      <c r="Y85" s="42"/>
      <c r="Z85" s="52"/>
      <c r="AA85" s="52"/>
      <c r="AB85" s="52"/>
    </row>
    <row r="86" spans="2:28" ht="21" customHeight="1" x14ac:dyDescent="0.3">
      <c r="B86" s="1357" t="s">
        <v>395</v>
      </c>
      <c r="C86" s="1358"/>
      <c r="D86" s="1358"/>
      <c r="E86" s="1358"/>
      <c r="F86" s="1358"/>
      <c r="G86" s="1358"/>
      <c r="H86" s="1358"/>
      <c r="I86" s="1358"/>
      <c r="J86" s="1358"/>
      <c r="K86" s="1358"/>
      <c r="L86" s="1426" t="s">
        <v>348</v>
      </c>
      <c r="M86" s="1427"/>
      <c r="N86" s="1427"/>
      <c r="O86" s="1427"/>
      <c r="P86" s="1428"/>
      <c r="T86" s="8"/>
      <c r="U86" s="5"/>
      <c r="V86" s="8"/>
      <c r="X86" s="45"/>
      <c r="Y86" s="41"/>
      <c r="Z86" s="11"/>
      <c r="AA86" s="11"/>
      <c r="AB86" s="11"/>
    </row>
    <row r="87" spans="2:28" ht="17.25" customHeight="1" x14ac:dyDescent="0.25">
      <c r="B87" s="226" t="s">
        <v>97</v>
      </c>
      <c r="C87" s="419" t="s">
        <v>98</v>
      </c>
      <c r="D87" s="420" t="s">
        <v>99</v>
      </c>
      <c r="E87" s="420" t="s">
        <v>100</v>
      </c>
      <c r="F87" s="420" t="s">
        <v>101</v>
      </c>
      <c r="G87" s="420" t="s">
        <v>102</v>
      </c>
      <c r="H87" s="420" t="s">
        <v>103</v>
      </c>
      <c r="I87" s="227" t="s">
        <v>104</v>
      </c>
      <c r="J87" s="227" t="s">
        <v>105</v>
      </c>
      <c r="K87" s="254" t="s">
        <v>106</v>
      </c>
      <c r="L87" s="1420">
        <v>0.04</v>
      </c>
      <c r="M87" s="1421"/>
      <c r="N87" s="1421"/>
      <c r="O87" s="1421"/>
      <c r="P87" s="1422"/>
      <c r="T87" s="8"/>
      <c r="U87" s="5"/>
      <c r="V87" s="8"/>
      <c r="W87" s="12"/>
      <c r="X87" s="46"/>
      <c r="Y87" s="42"/>
      <c r="Z87" s="11"/>
      <c r="AA87" s="11"/>
      <c r="AB87" s="11"/>
    </row>
    <row r="88" spans="2:28" ht="21" customHeight="1" x14ac:dyDescent="0.25">
      <c r="B88" s="229" t="s">
        <v>108</v>
      </c>
      <c r="C88" s="230">
        <v>0</v>
      </c>
      <c r="D88" s="231">
        <v>0</v>
      </c>
      <c r="E88" s="231">
        <v>0</v>
      </c>
      <c r="F88" s="231">
        <v>0.125</v>
      </c>
      <c r="G88" s="231">
        <v>0.5</v>
      </c>
      <c r="H88" s="450">
        <v>0.625</v>
      </c>
      <c r="I88" s="231">
        <v>0.5</v>
      </c>
      <c r="J88" s="231">
        <v>0.375</v>
      </c>
      <c r="K88" s="451">
        <v>0.375</v>
      </c>
      <c r="L88" s="1426" t="s">
        <v>363</v>
      </c>
      <c r="M88" s="1427"/>
      <c r="N88" s="1427"/>
      <c r="O88" s="1427"/>
      <c r="P88" s="1428"/>
      <c r="T88" s="8"/>
      <c r="U88" s="5"/>
      <c r="V88" s="8"/>
      <c r="W88" s="12"/>
      <c r="X88" s="46"/>
      <c r="Y88" s="42"/>
      <c r="Z88" s="11"/>
      <c r="AA88" s="11"/>
      <c r="AB88" s="11"/>
    </row>
    <row r="89" spans="2:28" ht="21" customHeight="1" thickBot="1" x14ac:dyDescent="0.3">
      <c r="B89" s="234" t="s">
        <v>110</v>
      </c>
      <c r="C89" s="235">
        <v>0</v>
      </c>
      <c r="D89" s="232">
        <v>0</v>
      </c>
      <c r="E89" s="232">
        <v>0</v>
      </c>
      <c r="F89" s="232">
        <v>0.125</v>
      </c>
      <c r="G89" s="232">
        <v>0.5</v>
      </c>
      <c r="H89" s="237">
        <v>0.625</v>
      </c>
      <c r="I89" s="232">
        <v>0.5</v>
      </c>
      <c r="J89" s="232">
        <v>0.375</v>
      </c>
      <c r="K89" s="236">
        <v>0.375</v>
      </c>
      <c r="L89" s="1432">
        <v>0.03</v>
      </c>
      <c r="M89" s="1433"/>
      <c r="N89" s="1433"/>
      <c r="O89" s="1433"/>
      <c r="P89" s="1434"/>
      <c r="Q89" s="117"/>
      <c r="T89" s="8"/>
      <c r="U89" s="5"/>
      <c r="V89" s="8"/>
      <c r="W89" s="12"/>
      <c r="X89" s="46"/>
      <c r="Y89" s="42"/>
      <c r="Z89" s="11"/>
      <c r="AA89" s="11"/>
      <c r="AB89" s="11"/>
    </row>
    <row r="90" spans="2:28" ht="21" customHeight="1" x14ac:dyDescent="0.25">
      <c r="B90" s="234" t="s">
        <v>53</v>
      </c>
      <c r="C90" s="235">
        <v>0</v>
      </c>
      <c r="D90" s="232">
        <v>0</v>
      </c>
      <c r="E90" s="232">
        <v>0.125</v>
      </c>
      <c r="F90" s="232">
        <v>0.375</v>
      </c>
      <c r="G90" s="232">
        <v>0.875</v>
      </c>
      <c r="H90" s="237">
        <v>1</v>
      </c>
      <c r="I90" s="232">
        <v>0.75</v>
      </c>
      <c r="J90" s="232">
        <v>0.625</v>
      </c>
      <c r="K90" s="236">
        <v>0.625</v>
      </c>
      <c r="L90" s="1408" t="s">
        <v>269</v>
      </c>
      <c r="M90" s="1409"/>
      <c r="N90" s="1409"/>
      <c r="O90" s="1409"/>
      <c r="P90" s="1410"/>
      <c r="Q90" s="27"/>
      <c r="T90" s="8"/>
      <c r="U90" s="5"/>
      <c r="V90" s="8"/>
      <c r="W90" s="12"/>
      <c r="X90" s="46"/>
      <c r="Y90" s="42"/>
      <c r="Z90" s="11"/>
      <c r="AA90" s="11"/>
      <c r="AB90" s="11"/>
    </row>
    <row r="91" spans="2:28" ht="21" customHeight="1" x14ac:dyDescent="0.25">
      <c r="B91" s="234" t="s">
        <v>54</v>
      </c>
      <c r="C91" s="235">
        <v>0</v>
      </c>
      <c r="D91" s="232">
        <v>0</v>
      </c>
      <c r="E91" s="232">
        <v>0.25</v>
      </c>
      <c r="F91" s="232">
        <v>0.75</v>
      </c>
      <c r="G91" s="232">
        <v>1.125</v>
      </c>
      <c r="H91" s="237">
        <v>1.375</v>
      </c>
      <c r="I91" s="232">
        <v>1.125</v>
      </c>
      <c r="J91" s="232">
        <v>1</v>
      </c>
      <c r="K91" s="236">
        <v>1</v>
      </c>
      <c r="L91" s="1402" t="s">
        <v>270</v>
      </c>
      <c r="M91" s="1403"/>
      <c r="N91" s="1403"/>
      <c r="O91" s="1403"/>
      <c r="P91" s="1404"/>
      <c r="Q91" s="27"/>
      <c r="U91" s="42"/>
      <c r="V91" s="10"/>
      <c r="W91" s="11"/>
      <c r="X91" s="46"/>
      <c r="Y91" s="42"/>
      <c r="Z91" s="11"/>
      <c r="AA91" s="11"/>
      <c r="AB91" s="11"/>
    </row>
    <row r="92" spans="2:28" ht="21" customHeight="1" x14ac:dyDescent="0.25">
      <c r="B92" s="238" t="s">
        <v>55</v>
      </c>
      <c r="C92" s="239">
        <v>0</v>
      </c>
      <c r="D92" s="240">
        <v>0</v>
      </c>
      <c r="E92" s="240">
        <v>0.5</v>
      </c>
      <c r="F92" s="240">
        <v>1</v>
      </c>
      <c r="G92" s="240">
        <v>1.625</v>
      </c>
      <c r="H92" s="241">
        <v>1.75</v>
      </c>
      <c r="I92" s="240">
        <v>1.5</v>
      </c>
      <c r="J92" s="240">
        <v>1.25</v>
      </c>
      <c r="K92" s="242">
        <v>1.25</v>
      </c>
      <c r="L92" s="1402" t="s">
        <v>271</v>
      </c>
      <c r="M92" s="1403"/>
      <c r="N92" s="1403"/>
      <c r="O92" s="1403"/>
      <c r="P92" s="1404"/>
      <c r="Q92" s="27"/>
      <c r="U92" s="42"/>
      <c r="V92" s="10"/>
      <c r="W92" s="11"/>
      <c r="X92" s="46"/>
      <c r="Y92" s="42"/>
      <c r="Z92" s="11"/>
      <c r="AA92" s="11"/>
      <c r="AB92" s="11"/>
    </row>
    <row r="93" spans="2:28" ht="21" customHeight="1" x14ac:dyDescent="0.25">
      <c r="B93" s="238" t="s">
        <v>57</v>
      </c>
      <c r="C93" s="239">
        <v>0</v>
      </c>
      <c r="D93" s="240">
        <v>0</v>
      </c>
      <c r="E93" s="240">
        <v>0.625</v>
      </c>
      <c r="F93" s="240">
        <v>1.25</v>
      </c>
      <c r="G93" s="240">
        <v>1.875</v>
      </c>
      <c r="H93" s="241">
        <v>2.125</v>
      </c>
      <c r="I93" s="240">
        <v>1.75</v>
      </c>
      <c r="J93" s="240">
        <v>1.625</v>
      </c>
      <c r="K93" s="242">
        <v>1.625</v>
      </c>
      <c r="L93" s="1402" t="s">
        <v>272</v>
      </c>
      <c r="M93" s="1403"/>
      <c r="N93" s="1403"/>
      <c r="O93" s="1403"/>
      <c r="P93" s="1404"/>
      <c r="Q93" s="27"/>
      <c r="U93" s="42"/>
      <c r="V93" s="10"/>
      <c r="W93" s="11"/>
      <c r="X93" s="46"/>
      <c r="Y93" s="42"/>
      <c r="Z93" s="11"/>
      <c r="AA93" s="11"/>
      <c r="AB93" s="11"/>
    </row>
    <row r="94" spans="2:28" ht="21" customHeight="1" x14ac:dyDescent="0.25">
      <c r="B94" s="238" t="s">
        <v>58</v>
      </c>
      <c r="C94" s="239">
        <v>0</v>
      </c>
      <c r="D94" s="240">
        <v>0</v>
      </c>
      <c r="E94" s="240">
        <v>0.875</v>
      </c>
      <c r="F94" s="240">
        <v>1.625</v>
      </c>
      <c r="G94" s="240">
        <v>2.25</v>
      </c>
      <c r="H94" s="241">
        <v>2.5</v>
      </c>
      <c r="I94" s="240">
        <v>2.125</v>
      </c>
      <c r="J94" s="240">
        <v>1.75</v>
      </c>
      <c r="K94" s="242">
        <v>1.75</v>
      </c>
      <c r="L94" s="1402" t="s">
        <v>273</v>
      </c>
      <c r="M94" s="1403"/>
      <c r="N94" s="1403"/>
      <c r="O94" s="1403"/>
      <c r="P94" s="1404"/>
      <c r="Q94" s="27"/>
      <c r="U94" s="42"/>
      <c r="V94" s="10"/>
      <c r="W94" s="11"/>
      <c r="X94" s="46"/>
      <c r="Y94" s="42"/>
      <c r="Z94" s="11"/>
      <c r="AA94" s="11"/>
      <c r="AB94" s="11"/>
    </row>
    <row r="95" spans="2:28" ht="21" customHeight="1" x14ac:dyDescent="0.25">
      <c r="B95" s="238" t="s">
        <v>73</v>
      </c>
      <c r="C95" s="239">
        <v>0</v>
      </c>
      <c r="D95" s="240">
        <v>0.125</v>
      </c>
      <c r="E95" s="240">
        <v>1.125</v>
      </c>
      <c r="F95" s="240">
        <v>1.875</v>
      </c>
      <c r="G95" s="240">
        <v>2.5</v>
      </c>
      <c r="H95" s="241">
        <v>3</v>
      </c>
      <c r="I95" s="240">
        <v>2.375</v>
      </c>
      <c r="J95" s="240">
        <v>2.125</v>
      </c>
      <c r="K95" s="242">
        <v>2.125</v>
      </c>
      <c r="L95" s="1402" t="s">
        <v>274</v>
      </c>
      <c r="M95" s="1403"/>
      <c r="N95" s="1403"/>
      <c r="O95" s="1403"/>
      <c r="P95" s="1404"/>
      <c r="Q95" s="27"/>
      <c r="U95" s="42"/>
      <c r="V95" s="10"/>
      <c r="W95" s="11"/>
      <c r="X95" s="46"/>
      <c r="Y95" s="42"/>
      <c r="Z95" s="11"/>
      <c r="AA95" s="11"/>
      <c r="AB95" s="11"/>
    </row>
    <row r="96" spans="2:28" ht="21" customHeight="1" x14ac:dyDescent="0.25">
      <c r="B96" s="238" t="s">
        <v>113</v>
      </c>
      <c r="C96" s="239">
        <v>0</v>
      </c>
      <c r="D96" s="240">
        <v>0.25</v>
      </c>
      <c r="E96" s="240">
        <v>1.375</v>
      </c>
      <c r="F96" s="240">
        <v>2.125</v>
      </c>
      <c r="G96" s="240">
        <v>2.875</v>
      </c>
      <c r="H96" s="241">
        <v>3.375</v>
      </c>
      <c r="I96" s="240">
        <v>2.875</v>
      </c>
      <c r="J96" s="240">
        <v>2.5</v>
      </c>
      <c r="K96" s="242">
        <v>2.5</v>
      </c>
      <c r="L96" s="1402" t="s">
        <v>446</v>
      </c>
      <c r="M96" s="1403"/>
      <c r="N96" s="1403"/>
      <c r="O96" s="1403"/>
      <c r="P96" s="1404"/>
      <c r="Q96" s="27"/>
      <c r="U96" s="42"/>
      <c r="V96" s="10"/>
      <c r="W96" s="11"/>
      <c r="X96" s="46"/>
      <c r="Y96" s="42"/>
      <c r="Z96" s="11"/>
      <c r="AA96" s="11"/>
      <c r="AB96" s="11"/>
    </row>
    <row r="97" spans="2:28" ht="21" customHeight="1" thickBot="1" x14ac:dyDescent="0.3">
      <c r="B97" s="243" t="s">
        <v>115</v>
      </c>
      <c r="C97" s="244">
        <v>0</v>
      </c>
      <c r="D97" s="245">
        <v>0.375</v>
      </c>
      <c r="E97" s="245">
        <v>1.75</v>
      </c>
      <c r="F97" s="245">
        <v>2.5</v>
      </c>
      <c r="G97" s="245">
        <v>3.5</v>
      </c>
      <c r="H97" s="246">
        <v>3.875</v>
      </c>
      <c r="I97" s="245">
        <v>3.625</v>
      </c>
      <c r="J97" s="245">
        <v>2.5</v>
      </c>
      <c r="K97" s="247">
        <v>2.5</v>
      </c>
      <c r="L97" s="1405" t="s">
        <v>447</v>
      </c>
      <c r="M97" s="1406"/>
      <c r="N97" s="1406"/>
      <c r="O97" s="1406"/>
      <c r="P97" s="1407"/>
      <c r="U97" s="42"/>
      <c r="V97" s="10"/>
      <c r="W97" s="11"/>
      <c r="X97" s="46"/>
      <c r="Y97" s="42"/>
      <c r="Z97" s="11"/>
      <c r="AA97" s="11"/>
      <c r="AB97" s="11"/>
    </row>
    <row r="98" spans="2:28" ht="19.5" customHeight="1" thickTop="1" x14ac:dyDescent="0.3">
      <c r="B98" s="1326" t="s">
        <v>138</v>
      </c>
      <c r="C98" s="1327"/>
      <c r="D98" s="1327"/>
      <c r="E98" s="1327"/>
      <c r="F98" s="1327"/>
      <c r="G98" s="1327"/>
      <c r="H98" s="1327"/>
      <c r="I98" s="1327"/>
      <c r="J98" s="1327"/>
      <c r="K98" s="1328"/>
      <c r="L98" s="1435" t="s">
        <v>134</v>
      </c>
      <c r="M98" s="1436"/>
      <c r="N98" s="1436"/>
      <c r="O98" s="1436"/>
      <c r="P98" s="1437"/>
      <c r="Q98" s="212"/>
      <c r="R98" s="212"/>
      <c r="U98" s="42"/>
      <c r="V98" s="10"/>
      <c r="W98" s="11"/>
      <c r="X98" s="46"/>
      <c r="Y98" s="42"/>
      <c r="Z98" s="11"/>
      <c r="AA98" s="11"/>
      <c r="AB98" s="11"/>
    </row>
    <row r="99" spans="2:28" ht="16.5" customHeight="1" x14ac:dyDescent="0.25">
      <c r="B99" s="226" t="s">
        <v>119</v>
      </c>
      <c r="C99" s="419" t="s">
        <v>98</v>
      </c>
      <c r="D99" s="420" t="s">
        <v>99</v>
      </c>
      <c r="E99" s="420" t="s">
        <v>100</v>
      </c>
      <c r="F99" s="420" t="s">
        <v>101</v>
      </c>
      <c r="G99" s="420" t="s">
        <v>102</v>
      </c>
      <c r="H99" s="420" t="s">
        <v>103</v>
      </c>
      <c r="I99" s="227" t="s">
        <v>104</v>
      </c>
      <c r="J99" s="227" t="s">
        <v>105</v>
      </c>
      <c r="K99" s="228" t="s">
        <v>106</v>
      </c>
      <c r="L99" s="1453" t="s">
        <v>368</v>
      </c>
      <c r="M99" s="1454"/>
      <c r="N99" s="1455"/>
      <c r="O99" s="1414" t="s">
        <v>342</v>
      </c>
      <c r="P99" s="1415"/>
      <c r="R99" s="117"/>
      <c r="U99" s="42"/>
      <c r="V99" s="10"/>
      <c r="W99" s="11"/>
      <c r="X99" s="46"/>
      <c r="Y99" s="42"/>
      <c r="Z99" s="11"/>
      <c r="AA99" s="11"/>
      <c r="AB99" s="11"/>
    </row>
    <row r="100" spans="2:28" ht="20.25" customHeight="1" x14ac:dyDescent="0.25">
      <c r="B100" s="248" t="s">
        <v>121</v>
      </c>
      <c r="C100" s="424">
        <v>0</v>
      </c>
      <c r="D100" s="425">
        <v>0</v>
      </c>
      <c r="E100" s="425">
        <v>0</v>
      </c>
      <c r="F100" s="425">
        <v>0</v>
      </c>
      <c r="G100" s="425">
        <v>0</v>
      </c>
      <c r="H100" s="425">
        <v>0</v>
      </c>
      <c r="I100" s="425">
        <v>0</v>
      </c>
      <c r="J100" s="425">
        <v>0.25</v>
      </c>
      <c r="K100" s="426" t="s">
        <v>56</v>
      </c>
      <c r="L100" s="1453"/>
      <c r="M100" s="1454"/>
      <c r="N100" s="1455"/>
      <c r="O100" s="1416"/>
      <c r="P100" s="1417"/>
      <c r="R100" s="211"/>
      <c r="S100" s="207"/>
      <c r="U100" s="42"/>
      <c r="V100" s="10"/>
      <c r="W100" s="11"/>
      <c r="X100" s="46"/>
      <c r="Y100" s="42"/>
      <c r="Z100" s="11"/>
      <c r="AA100" s="11"/>
      <c r="AB100" s="11"/>
    </row>
    <row r="101" spans="2:28" ht="25.5" customHeight="1" thickBot="1" x14ac:dyDescent="0.3">
      <c r="B101" s="248" t="s">
        <v>123</v>
      </c>
      <c r="C101" s="424">
        <v>0</v>
      </c>
      <c r="D101" s="425">
        <v>0</v>
      </c>
      <c r="E101" s="425">
        <v>0.125</v>
      </c>
      <c r="F101" s="425">
        <v>0.125</v>
      </c>
      <c r="G101" s="425">
        <v>0.75</v>
      </c>
      <c r="H101" s="425">
        <v>0.75</v>
      </c>
      <c r="I101" s="425">
        <v>0.75</v>
      </c>
      <c r="J101" s="425">
        <v>0.75</v>
      </c>
      <c r="K101" s="426">
        <v>0.75</v>
      </c>
      <c r="L101" s="1456"/>
      <c r="M101" s="1418"/>
      <c r="N101" s="1457"/>
      <c r="O101" s="1418">
        <v>0</v>
      </c>
      <c r="P101" s="1419"/>
      <c r="Q101" s="211"/>
      <c r="R101" s="211"/>
      <c r="S101" s="207"/>
      <c r="U101" s="42"/>
      <c r="V101" s="10"/>
      <c r="W101" s="11"/>
      <c r="X101" s="46"/>
      <c r="Y101" s="42"/>
      <c r="Z101" s="11"/>
      <c r="AA101" s="11"/>
      <c r="AB101" s="11"/>
    </row>
    <row r="102" spans="2:28" ht="20.25" customHeight="1" x14ac:dyDescent="0.25">
      <c r="B102" s="249" t="s">
        <v>79</v>
      </c>
      <c r="C102" s="250">
        <v>0</v>
      </c>
      <c r="D102" s="251">
        <v>0</v>
      </c>
      <c r="E102" s="251">
        <v>0.375</v>
      </c>
      <c r="F102" s="251">
        <v>0.375</v>
      </c>
      <c r="G102" s="251">
        <v>0.625</v>
      </c>
      <c r="H102" s="251">
        <v>0.625</v>
      </c>
      <c r="I102" s="425">
        <v>0.875</v>
      </c>
      <c r="J102" s="425">
        <v>0.875</v>
      </c>
      <c r="K102" s="426" t="s">
        <v>56</v>
      </c>
      <c r="L102" s="452" t="s">
        <v>356</v>
      </c>
      <c r="P102" s="140"/>
      <c r="Q102" s="18"/>
      <c r="R102" s="18"/>
      <c r="S102" s="207"/>
      <c r="U102" s="42"/>
      <c r="W102" s="11"/>
      <c r="X102" s="46"/>
      <c r="Y102" s="42"/>
      <c r="Z102" s="11"/>
      <c r="AA102" s="11"/>
      <c r="AB102" s="11"/>
    </row>
    <row r="103" spans="2:28" ht="20.25" customHeight="1" x14ac:dyDescent="0.25">
      <c r="B103" s="248" t="s">
        <v>125</v>
      </c>
      <c r="C103" s="424">
        <v>1.125</v>
      </c>
      <c r="D103" s="425">
        <v>1.125</v>
      </c>
      <c r="E103" s="425">
        <v>1.625</v>
      </c>
      <c r="F103" s="425">
        <v>2.125</v>
      </c>
      <c r="G103" s="425">
        <v>3.375</v>
      </c>
      <c r="H103" s="425">
        <v>4.125</v>
      </c>
      <c r="I103" s="425" t="s">
        <v>56</v>
      </c>
      <c r="J103" s="425" t="s">
        <v>56</v>
      </c>
      <c r="K103" s="426" t="s">
        <v>56</v>
      </c>
      <c r="L103" s="452" t="s">
        <v>357</v>
      </c>
      <c r="P103" s="38"/>
      <c r="Q103" s="18"/>
      <c r="R103" s="18"/>
      <c r="S103" s="208"/>
      <c r="U103" s="42"/>
      <c r="V103" s="10"/>
      <c r="W103" s="11"/>
      <c r="X103" s="46"/>
      <c r="Y103" s="42"/>
      <c r="Z103" s="11"/>
      <c r="AA103" s="11"/>
      <c r="AB103" s="11"/>
    </row>
    <row r="104" spans="2:28" ht="20.25" customHeight="1" thickBot="1" x14ac:dyDescent="0.3">
      <c r="B104" s="248" t="s">
        <v>22</v>
      </c>
      <c r="C104" s="424">
        <v>1.125</v>
      </c>
      <c r="D104" s="425">
        <v>1.125</v>
      </c>
      <c r="E104" s="425">
        <v>1.625</v>
      </c>
      <c r="F104" s="425">
        <v>2.125</v>
      </c>
      <c r="G104" s="425">
        <v>3.375</v>
      </c>
      <c r="H104" s="425">
        <v>4.125</v>
      </c>
      <c r="I104" s="425">
        <v>4.125</v>
      </c>
      <c r="J104" s="425" t="s">
        <v>56</v>
      </c>
      <c r="K104" s="933" t="s">
        <v>56</v>
      </c>
      <c r="L104" s="8"/>
      <c r="P104" s="35"/>
      <c r="Q104" s="18"/>
      <c r="R104" s="18"/>
      <c r="S104" s="208"/>
      <c r="U104" s="42"/>
      <c r="V104" s="10"/>
      <c r="W104" s="11"/>
      <c r="X104" s="46"/>
      <c r="Y104" s="42"/>
      <c r="Z104" s="11"/>
      <c r="AA104" s="11"/>
      <c r="AB104" s="11"/>
    </row>
    <row r="105" spans="2:28" ht="20.25" customHeight="1" x14ac:dyDescent="0.3">
      <c r="B105" s="248" t="s">
        <v>131</v>
      </c>
      <c r="C105" s="424">
        <v>0.625</v>
      </c>
      <c r="D105" s="425">
        <v>0.625</v>
      </c>
      <c r="E105" s="425">
        <v>0.625</v>
      </c>
      <c r="F105" s="425">
        <v>0.875</v>
      </c>
      <c r="G105" s="425">
        <v>1.125</v>
      </c>
      <c r="H105" s="425">
        <v>1.125</v>
      </c>
      <c r="I105" s="425">
        <v>1.125</v>
      </c>
      <c r="J105" s="425">
        <v>1.875</v>
      </c>
      <c r="K105" s="933">
        <v>1.875</v>
      </c>
      <c r="L105" s="1357" t="s">
        <v>126</v>
      </c>
      <c r="M105" s="1358"/>
      <c r="N105" s="1358"/>
      <c r="O105" s="1358"/>
      <c r="P105" s="1359"/>
      <c r="Q105" s="18"/>
      <c r="R105" s="18"/>
      <c r="S105" s="208"/>
      <c r="U105" s="42"/>
      <c r="V105" s="10"/>
      <c r="W105" s="11"/>
      <c r="X105" s="46"/>
      <c r="Y105" s="42"/>
      <c r="Z105" s="11"/>
      <c r="AA105" s="11"/>
      <c r="AB105" s="11"/>
    </row>
    <row r="106" spans="2:28" ht="20.25" customHeight="1" x14ac:dyDescent="0.25">
      <c r="B106" s="248" t="s">
        <v>132</v>
      </c>
      <c r="C106" s="424">
        <v>0.5</v>
      </c>
      <c r="D106" s="425">
        <v>0.5</v>
      </c>
      <c r="E106" s="425">
        <v>0.75</v>
      </c>
      <c r="F106" s="425">
        <v>0.75</v>
      </c>
      <c r="G106" s="425">
        <v>1</v>
      </c>
      <c r="H106" s="425">
        <v>1</v>
      </c>
      <c r="I106" s="425">
        <v>1</v>
      </c>
      <c r="J106" s="425">
        <v>1</v>
      </c>
      <c r="K106" s="933" t="s">
        <v>56</v>
      </c>
      <c r="L106" s="1450" t="s">
        <v>129</v>
      </c>
      <c r="M106" s="1451"/>
      <c r="N106" s="1452"/>
      <c r="O106" s="462" t="s">
        <v>127</v>
      </c>
      <c r="P106" s="463" t="s">
        <v>128</v>
      </c>
      <c r="U106" s="42"/>
      <c r="V106" s="10"/>
      <c r="W106" s="11"/>
      <c r="X106" s="46"/>
      <c r="Y106" s="42"/>
      <c r="Z106" s="11"/>
      <c r="AA106" s="11"/>
      <c r="AB106" s="11"/>
    </row>
    <row r="107" spans="2:28" ht="20.25" customHeight="1" thickBot="1" x14ac:dyDescent="0.3">
      <c r="B107" s="253" t="s">
        <v>133</v>
      </c>
      <c r="C107" s="427">
        <v>1.25</v>
      </c>
      <c r="D107" s="428">
        <v>1.25</v>
      </c>
      <c r="E107" s="428">
        <v>1.5</v>
      </c>
      <c r="F107" s="428">
        <v>1.5</v>
      </c>
      <c r="G107" s="428">
        <v>2.5</v>
      </c>
      <c r="H107" s="428">
        <v>2.5</v>
      </c>
      <c r="I107" s="428">
        <v>2.5</v>
      </c>
      <c r="J107" s="428">
        <v>2.75</v>
      </c>
      <c r="K107" s="934" t="s">
        <v>56</v>
      </c>
      <c r="L107" s="1323" t="s">
        <v>130</v>
      </c>
      <c r="M107" s="1324"/>
      <c r="N107" s="1449"/>
      <c r="O107" s="596">
        <v>-0.125</v>
      </c>
      <c r="P107" s="631">
        <v>-0.125</v>
      </c>
      <c r="U107" s="42"/>
      <c r="V107" s="10"/>
      <c r="W107" s="11"/>
      <c r="X107" s="46"/>
      <c r="Y107" s="42"/>
      <c r="Z107" s="11"/>
      <c r="AA107" s="11"/>
      <c r="AB107" s="11"/>
    </row>
    <row r="108" spans="2:28" ht="20.25" customHeight="1" thickBot="1" x14ac:dyDescent="0.3">
      <c r="B108" s="939" t="s">
        <v>666</v>
      </c>
      <c r="C108" s="928">
        <v>0.25</v>
      </c>
      <c r="D108" s="929">
        <v>0.25</v>
      </c>
      <c r="E108" s="929">
        <v>0.25</v>
      </c>
      <c r="F108" s="930">
        <v>0.375</v>
      </c>
      <c r="G108" s="929">
        <v>0.375</v>
      </c>
      <c r="H108" s="929">
        <v>0.5</v>
      </c>
      <c r="I108" s="929">
        <v>0.5</v>
      </c>
      <c r="J108" s="929">
        <v>0.5</v>
      </c>
      <c r="K108" s="931">
        <v>0.5</v>
      </c>
      <c r="L108" s="224"/>
      <c r="M108" s="224"/>
      <c r="N108" s="224"/>
      <c r="O108" s="93"/>
      <c r="P108" s="93"/>
      <c r="U108" s="42"/>
      <c r="V108" s="10"/>
      <c r="W108" s="11"/>
      <c r="X108" s="46"/>
      <c r="Y108" s="42"/>
      <c r="Z108" s="11"/>
      <c r="AA108" s="11"/>
      <c r="AB108" s="11"/>
    </row>
    <row r="109" spans="2:28" ht="21" customHeight="1" x14ac:dyDescent="0.3">
      <c r="B109" s="1440" t="s">
        <v>343</v>
      </c>
      <c r="C109" s="1441"/>
      <c r="D109" s="1441"/>
      <c r="E109" s="1441"/>
      <c r="F109" s="1441"/>
      <c r="G109" s="1441"/>
      <c r="H109" s="1441"/>
      <c r="I109" s="1441"/>
      <c r="J109" s="1441"/>
      <c r="K109" s="1441"/>
      <c r="L109" s="1446" t="s">
        <v>286</v>
      </c>
      <c r="M109" s="1447"/>
      <c r="N109" s="1447"/>
      <c r="O109" s="1447"/>
      <c r="P109" s="1448"/>
      <c r="Q109" s="212"/>
      <c r="R109" s="212"/>
      <c r="U109" s="42"/>
      <c r="V109" s="10"/>
      <c r="W109" s="11"/>
      <c r="X109" s="46"/>
      <c r="Y109" s="42"/>
      <c r="Z109" s="11"/>
      <c r="AA109" s="11"/>
      <c r="AB109" s="11"/>
    </row>
    <row r="110" spans="2:28" ht="19.5" customHeight="1" x14ac:dyDescent="0.25">
      <c r="B110" s="1442" t="s">
        <v>116</v>
      </c>
      <c r="C110" s="1443"/>
      <c r="D110" s="1443"/>
      <c r="E110" s="1443"/>
      <c r="F110" s="1443"/>
      <c r="G110" s="27"/>
      <c r="H110" s="118"/>
      <c r="I110" s="118"/>
      <c r="J110" s="118"/>
      <c r="K110" s="74">
        <v>1.5</v>
      </c>
      <c r="L110" s="177" t="s">
        <v>287</v>
      </c>
      <c r="M110" s="12"/>
      <c r="N110" s="12"/>
      <c r="O110" s="12"/>
      <c r="P110" s="38"/>
      <c r="S110" s="209"/>
      <c r="U110" s="42"/>
      <c r="V110" s="10"/>
      <c r="W110" s="11"/>
      <c r="X110" s="46"/>
      <c r="Y110" s="42"/>
      <c r="Z110" s="11"/>
      <c r="AA110" s="11"/>
      <c r="AB110" s="11"/>
    </row>
    <row r="111" spans="2:28" ht="19.5" customHeight="1" x14ac:dyDescent="0.25">
      <c r="B111" s="1442" t="s">
        <v>118</v>
      </c>
      <c r="C111" s="1443"/>
      <c r="D111" s="1443"/>
      <c r="E111" s="1443"/>
      <c r="F111" s="1443"/>
      <c r="G111" s="27"/>
      <c r="H111" s="118"/>
      <c r="I111" s="118"/>
      <c r="J111" s="118"/>
      <c r="K111" s="74">
        <v>0.75</v>
      </c>
      <c r="L111" s="177" t="s">
        <v>288</v>
      </c>
      <c r="M111" s="12"/>
      <c r="N111" s="12"/>
      <c r="O111" s="12"/>
      <c r="P111" s="38"/>
      <c r="S111" s="93"/>
      <c r="U111" s="42"/>
      <c r="V111" s="10"/>
      <c r="W111" s="11"/>
      <c r="X111" s="46"/>
      <c r="Y111" s="42"/>
      <c r="Z111" s="11"/>
      <c r="AA111" s="11"/>
      <c r="AB111" s="11"/>
    </row>
    <row r="112" spans="2:28" ht="19.5" customHeight="1" x14ac:dyDescent="0.25">
      <c r="B112" s="1442" t="s">
        <v>120</v>
      </c>
      <c r="C112" s="1443"/>
      <c r="D112" s="1443"/>
      <c r="E112" s="1443"/>
      <c r="F112" s="1443"/>
      <c r="G112" s="27"/>
      <c r="H112" s="118"/>
      <c r="I112" s="118"/>
      <c r="J112" s="118"/>
      <c r="K112" s="74">
        <v>0.125</v>
      </c>
      <c r="L112" s="177" t="s">
        <v>289</v>
      </c>
      <c r="M112" s="12"/>
      <c r="N112" s="12"/>
      <c r="O112" s="12"/>
      <c r="P112" s="53"/>
      <c r="U112" s="42"/>
      <c r="V112" s="10"/>
      <c r="W112" s="11"/>
      <c r="X112" s="46"/>
      <c r="Y112" s="42"/>
      <c r="Z112" s="11"/>
      <c r="AA112" s="11"/>
      <c r="AB112" s="11"/>
    </row>
    <row r="113" spans="2:28" ht="19.5" customHeight="1" x14ac:dyDescent="0.25">
      <c r="B113" s="1444" t="s">
        <v>122</v>
      </c>
      <c r="C113" s="1445"/>
      <c r="D113" s="1445"/>
      <c r="E113" s="1445"/>
      <c r="F113" s="1445"/>
      <c r="G113" s="27"/>
      <c r="H113" s="118"/>
      <c r="I113" s="118"/>
      <c r="J113" s="118"/>
      <c r="K113" s="94">
        <v>0.125</v>
      </c>
      <c r="L113" s="97" t="s">
        <v>292</v>
      </c>
      <c r="P113" s="53"/>
      <c r="U113" s="42"/>
      <c r="V113" s="10"/>
      <c r="W113" s="11"/>
      <c r="X113" s="46"/>
      <c r="Y113" s="42"/>
      <c r="Z113" s="11"/>
      <c r="AA113" s="11"/>
      <c r="AB113" s="11"/>
    </row>
    <row r="114" spans="2:28" ht="19.5" customHeight="1" x14ac:dyDescent="0.25">
      <c r="B114" s="1442" t="s">
        <v>394</v>
      </c>
      <c r="C114" s="1443"/>
      <c r="D114" s="1443"/>
      <c r="E114" s="1443"/>
      <c r="F114" s="1443"/>
      <c r="G114" s="27"/>
      <c r="H114" s="118"/>
      <c r="I114" s="118"/>
      <c r="J114" s="118"/>
      <c r="K114" s="94">
        <v>0.25</v>
      </c>
      <c r="L114" s="97" t="s">
        <v>291</v>
      </c>
      <c r="P114" s="38"/>
      <c r="U114" s="42"/>
      <c r="V114" s="10"/>
      <c r="W114" s="11"/>
      <c r="X114" s="46"/>
      <c r="Y114" s="42"/>
      <c r="Z114" s="11"/>
      <c r="AA114" s="11"/>
      <c r="AB114" s="11"/>
    </row>
    <row r="115" spans="2:28" ht="19.5" customHeight="1" thickBot="1" x14ac:dyDescent="0.3">
      <c r="B115" s="1438" t="s">
        <v>124</v>
      </c>
      <c r="C115" s="1439"/>
      <c r="D115" s="1439"/>
      <c r="E115" s="1439"/>
      <c r="F115" s="1439"/>
      <c r="G115" s="78"/>
      <c r="H115" s="255"/>
      <c r="I115" s="255"/>
      <c r="J115" s="255"/>
      <c r="K115" s="256">
        <v>0.25</v>
      </c>
      <c r="L115" s="96" t="s">
        <v>290</v>
      </c>
      <c r="M115" s="14"/>
      <c r="N115" s="14"/>
      <c r="O115" s="14"/>
      <c r="P115" s="48"/>
      <c r="U115" s="42"/>
      <c r="V115" s="10"/>
      <c r="W115" s="11"/>
      <c r="X115" s="46"/>
      <c r="Y115" s="42"/>
      <c r="Z115" s="11"/>
      <c r="AA115" s="11"/>
      <c r="AB115" s="11"/>
    </row>
    <row r="116" spans="2:28" ht="20.25" customHeight="1" x14ac:dyDescent="0.25">
      <c r="B116" s="1250" t="s">
        <v>676</v>
      </c>
      <c r="C116" s="1251"/>
      <c r="D116" s="1251"/>
      <c r="E116" s="1251"/>
      <c r="F116" s="1251"/>
      <c r="G116" s="1251"/>
      <c r="H116" s="1251"/>
      <c r="I116" s="1251"/>
      <c r="J116" s="1251"/>
      <c r="K116" s="1251"/>
      <c r="L116" s="1251"/>
      <c r="M116" s="1251"/>
      <c r="N116" s="1251"/>
      <c r="O116" s="1251"/>
      <c r="P116" s="1252"/>
      <c r="U116" s="42"/>
      <c r="V116" s="10"/>
      <c r="W116" s="11"/>
      <c r="X116" s="46"/>
      <c r="Y116" s="42"/>
      <c r="Z116" s="11"/>
      <c r="AA116" s="11"/>
      <c r="AB116" s="11"/>
    </row>
    <row r="117" spans="2:28" ht="20.25" customHeight="1" x14ac:dyDescent="0.25">
      <c r="B117" s="1387" t="s">
        <v>10</v>
      </c>
      <c r="C117" s="1388"/>
      <c r="D117" s="1388"/>
      <c r="E117" s="1388"/>
      <c r="F117" s="1388"/>
      <c r="G117" s="1388"/>
      <c r="H117" s="1388"/>
      <c r="I117" s="1388"/>
      <c r="J117" s="1388"/>
      <c r="K117" s="1388"/>
      <c r="L117" s="1388"/>
      <c r="M117" s="1388"/>
      <c r="N117" s="1388"/>
      <c r="O117" s="1388"/>
      <c r="P117" s="1389"/>
      <c r="U117" s="42"/>
      <c r="V117" s="10"/>
      <c r="W117" s="11"/>
      <c r="X117" s="46"/>
      <c r="Y117" s="42"/>
      <c r="Z117" s="11"/>
      <c r="AA117" s="11"/>
      <c r="AB117" s="11"/>
    </row>
    <row r="118" spans="2:28" ht="20.25" customHeight="1" thickBot="1" x14ac:dyDescent="0.3">
      <c r="B118" s="1275" t="s">
        <v>23</v>
      </c>
      <c r="C118" s="1276"/>
      <c r="D118" s="1276"/>
      <c r="E118" s="1276"/>
      <c r="F118" s="1276"/>
      <c r="G118" s="1276"/>
      <c r="H118" s="1276"/>
      <c r="I118" s="1276"/>
      <c r="J118" s="1276"/>
      <c r="K118" s="1276"/>
      <c r="L118" s="1276"/>
      <c r="M118" s="1276"/>
      <c r="N118" s="1276"/>
      <c r="O118" s="1276"/>
      <c r="P118" s="1277"/>
      <c r="U118" s="42"/>
      <c r="V118" s="10"/>
      <c r="W118" s="11"/>
      <c r="X118" s="46"/>
      <c r="Y118" s="42"/>
      <c r="Z118" s="11"/>
      <c r="AA118" s="11"/>
      <c r="AB118" s="11"/>
    </row>
    <row r="119" spans="2:28" ht="17.25" customHeight="1" x14ac:dyDescent="0.2">
      <c r="B119" s="145"/>
      <c r="C119" s="126"/>
      <c r="D119" s="126"/>
      <c r="E119" s="126"/>
      <c r="F119" s="126"/>
      <c r="G119" s="126"/>
      <c r="H119" s="126"/>
      <c r="I119" s="126"/>
      <c r="J119" s="146"/>
      <c r="K119" s="146"/>
      <c r="L119" s="8"/>
      <c r="M119" s="8"/>
      <c r="N119" s="12"/>
      <c r="O119" s="12"/>
      <c r="P119" s="12"/>
      <c r="U119" s="42"/>
      <c r="V119" s="10"/>
      <c r="W119" s="11"/>
      <c r="X119" s="46"/>
      <c r="Y119" s="42"/>
      <c r="Z119" s="11"/>
      <c r="AA119" s="11"/>
      <c r="AB119" s="11"/>
    </row>
    <row r="120" spans="2:28" ht="17.25" customHeight="1" x14ac:dyDescent="0.2">
      <c r="B120" s="145"/>
      <c r="C120" s="126"/>
      <c r="D120" s="126"/>
      <c r="E120" s="126"/>
      <c r="F120" s="126"/>
      <c r="G120" s="126"/>
      <c r="H120" s="126"/>
      <c r="I120" s="126"/>
      <c r="J120" s="126"/>
      <c r="K120" s="126"/>
      <c r="L120" s="8"/>
      <c r="M120" s="8"/>
      <c r="N120" s="12"/>
      <c r="O120" s="12"/>
      <c r="P120" s="12"/>
      <c r="U120" s="42"/>
      <c r="V120" s="10"/>
      <c r="W120" s="11"/>
      <c r="X120" s="46"/>
      <c r="Y120" s="42"/>
      <c r="Z120" s="11"/>
      <c r="AA120" s="11"/>
      <c r="AB120" s="11"/>
    </row>
    <row r="121" spans="2:28" ht="17.25" customHeight="1" x14ac:dyDescent="0.2">
      <c r="B121" s="145"/>
      <c r="C121" s="126"/>
      <c r="D121" s="126"/>
      <c r="E121" s="126"/>
      <c r="F121" s="126"/>
      <c r="G121" s="126"/>
      <c r="H121" s="126"/>
      <c r="I121" s="126"/>
      <c r="J121" s="126"/>
      <c r="K121" s="126"/>
      <c r="L121" s="8"/>
      <c r="M121" s="8"/>
      <c r="N121" s="12"/>
      <c r="O121" s="12"/>
      <c r="P121" s="12"/>
      <c r="U121" s="42"/>
      <c r="V121" s="10"/>
      <c r="W121" s="11"/>
      <c r="X121" s="46"/>
      <c r="Y121" s="42"/>
      <c r="Z121" s="11"/>
      <c r="AA121" s="11"/>
      <c r="AB121" s="11"/>
    </row>
    <row r="122" spans="2:28" ht="17.25" customHeight="1" x14ac:dyDescent="0.2">
      <c r="B122" s="145"/>
      <c r="C122" s="126"/>
      <c r="D122" s="126"/>
      <c r="E122" s="126"/>
      <c r="F122" s="126"/>
      <c r="G122" s="126"/>
      <c r="H122" s="126"/>
      <c r="I122" s="126"/>
      <c r="J122" s="126"/>
      <c r="K122" s="126"/>
      <c r="L122" s="8"/>
      <c r="M122" s="8"/>
      <c r="N122" s="12"/>
      <c r="O122" s="12"/>
      <c r="P122" s="12"/>
      <c r="U122" s="42"/>
      <c r="V122" s="10"/>
      <c r="W122" s="11"/>
      <c r="X122" s="46"/>
      <c r="Y122" s="42"/>
      <c r="Z122" s="11"/>
      <c r="AA122" s="11"/>
      <c r="AB122" s="11"/>
    </row>
    <row r="123" spans="2:28" ht="17.25" customHeight="1" x14ac:dyDescent="0.2">
      <c r="B123" s="145"/>
      <c r="C123" s="126"/>
      <c r="D123" s="126"/>
      <c r="E123" s="126"/>
      <c r="F123" s="126"/>
      <c r="G123" s="126"/>
      <c r="H123" s="126"/>
      <c r="I123" s="126"/>
      <c r="J123" s="126"/>
      <c r="K123" s="126"/>
      <c r="L123" s="8"/>
      <c r="M123" s="8"/>
      <c r="N123" s="12"/>
      <c r="O123" s="12"/>
      <c r="P123" s="12"/>
      <c r="U123" s="42"/>
      <c r="V123" s="10"/>
      <c r="W123" s="11"/>
      <c r="X123" s="46"/>
      <c r="Y123" s="42"/>
      <c r="Z123" s="11"/>
      <c r="AA123" s="11"/>
      <c r="AB123" s="11"/>
    </row>
    <row r="124" spans="2:28" ht="17.25" customHeight="1" x14ac:dyDescent="0.2">
      <c r="B124" s="145"/>
      <c r="C124" s="126"/>
      <c r="D124" s="126"/>
      <c r="E124" s="126"/>
      <c r="F124" s="126"/>
      <c r="G124" s="126"/>
      <c r="H124" s="126"/>
      <c r="I124" s="126"/>
      <c r="J124" s="126"/>
      <c r="K124" s="126"/>
      <c r="L124" s="8"/>
      <c r="M124" s="8"/>
      <c r="N124" s="12"/>
      <c r="O124" s="12"/>
      <c r="P124" s="12"/>
      <c r="U124" s="42"/>
      <c r="V124" s="10"/>
      <c r="W124" s="11"/>
      <c r="X124" s="46"/>
      <c r="Y124" s="42"/>
      <c r="Z124" s="11"/>
      <c r="AA124" s="11"/>
      <c r="AB124" s="11"/>
    </row>
    <row r="125" spans="2:28" ht="16.5" customHeight="1" x14ac:dyDescent="0.25"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"/>
      <c r="M125" s="8"/>
      <c r="N125" s="12"/>
      <c r="O125" s="12"/>
      <c r="P125" s="12"/>
      <c r="U125" s="42"/>
      <c r="V125" s="10"/>
      <c r="W125" s="11"/>
      <c r="X125" s="46"/>
      <c r="Y125" s="42"/>
      <c r="Z125" s="11"/>
      <c r="AA125" s="11"/>
      <c r="AB125" s="11"/>
    </row>
    <row r="126" spans="2:28" ht="16.5" customHeight="1" x14ac:dyDescent="0.2">
      <c r="B126" s="147"/>
      <c r="C126" s="126"/>
      <c r="D126" s="126"/>
      <c r="E126" s="126"/>
      <c r="F126" s="126"/>
      <c r="G126" s="126"/>
      <c r="H126" s="126"/>
      <c r="I126" s="145"/>
      <c r="J126" s="145"/>
      <c r="K126" s="145"/>
      <c r="L126" s="8"/>
      <c r="M126" s="8"/>
      <c r="N126" s="12"/>
      <c r="O126" s="12"/>
      <c r="P126" s="12"/>
      <c r="U126" s="42"/>
      <c r="V126" s="10"/>
      <c r="W126" s="11"/>
      <c r="X126" s="46"/>
      <c r="Y126" s="42"/>
      <c r="Z126" s="11"/>
      <c r="AA126" s="11"/>
      <c r="AB126" s="11"/>
    </row>
    <row r="127" spans="2:28" ht="17.25" customHeight="1" x14ac:dyDescent="0.2">
      <c r="B127" s="125"/>
      <c r="C127" s="126"/>
      <c r="D127" s="126"/>
      <c r="E127" s="126"/>
      <c r="F127" s="126"/>
      <c r="G127" s="126"/>
      <c r="H127" s="126"/>
      <c r="I127" s="126"/>
      <c r="J127" s="126"/>
      <c r="K127" s="126"/>
      <c r="L127" s="8"/>
      <c r="M127" s="8"/>
      <c r="N127" s="12"/>
      <c r="O127" s="12"/>
      <c r="P127" s="12"/>
      <c r="U127" s="42"/>
      <c r="V127" s="10"/>
      <c r="W127" s="11"/>
      <c r="X127" s="46"/>
      <c r="Y127" s="42"/>
      <c r="Z127" s="11"/>
      <c r="AA127" s="11"/>
      <c r="AB127" s="11"/>
    </row>
    <row r="128" spans="2:28" ht="17.25" customHeight="1" x14ac:dyDescent="0.2">
      <c r="B128" s="125"/>
      <c r="C128" s="126"/>
      <c r="D128" s="126"/>
      <c r="E128" s="126"/>
      <c r="F128" s="126"/>
      <c r="G128" s="126"/>
      <c r="H128" s="126"/>
      <c r="I128" s="126"/>
      <c r="J128" s="126"/>
      <c r="K128" s="126"/>
      <c r="L128" s="8"/>
      <c r="M128" s="8"/>
      <c r="N128" s="12"/>
      <c r="O128" s="12"/>
      <c r="P128" s="12"/>
      <c r="U128" s="42"/>
      <c r="V128" s="10"/>
      <c r="W128" s="11"/>
      <c r="X128" s="46"/>
      <c r="Y128" s="42"/>
      <c r="Z128" s="11"/>
      <c r="AA128" s="11"/>
      <c r="AB128" s="11"/>
    </row>
    <row r="129" spans="2:28" ht="17.25" customHeight="1" x14ac:dyDescent="0.2">
      <c r="B129" s="125"/>
      <c r="C129" s="126"/>
      <c r="D129" s="126"/>
      <c r="E129" s="126"/>
      <c r="F129" s="126"/>
      <c r="G129" s="126"/>
      <c r="H129" s="126"/>
      <c r="I129" s="126"/>
      <c r="J129" s="126"/>
      <c r="K129" s="126"/>
      <c r="L129" s="8"/>
      <c r="M129" s="8"/>
      <c r="N129" s="12"/>
      <c r="O129" s="12"/>
      <c r="P129" s="12"/>
      <c r="U129" s="42"/>
      <c r="V129" s="10"/>
      <c r="W129" s="11"/>
      <c r="X129" s="46"/>
      <c r="Y129" s="42"/>
      <c r="Z129" s="11"/>
      <c r="AA129" s="11"/>
      <c r="AB129" s="11"/>
    </row>
    <row r="130" spans="2:28" ht="17.25" customHeight="1" x14ac:dyDescent="0.2">
      <c r="B130" s="125"/>
      <c r="C130" s="126"/>
      <c r="D130" s="126"/>
      <c r="E130" s="126"/>
      <c r="F130" s="126"/>
      <c r="G130" s="126"/>
      <c r="H130" s="126"/>
      <c r="I130" s="126"/>
      <c r="J130" s="126"/>
      <c r="K130" s="126"/>
      <c r="L130" s="8"/>
      <c r="M130" s="8"/>
      <c r="N130" s="12"/>
      <c r="O130" s="12"/>
      <c r="P130" s="12"/>
      <c r="U130" s="42"/>
      <c r="V130" s="10"/>
      <c r="W130" s="11"/>
      <c r="X130" s="46"/>
      <c r="Y130" s="42"/>
      <c r="Z130" s="11"/>
      <c r="AA130" s="11"/>
      <c r="AB130" s="11"/>
    </row>
    <row r="131" spans="2:28" ht="17.25" customHeight="1" x14ac:dyDescent="0.2">
      <c r="B131" s="125"/>
      <c r="C131" s="126"/>
      <c r="D131" s="126"/>
      <c r="E131" s="126"/>
      <c r="F131" s="126"/>
      <c r="G131" s="126"/>
      <c r="H131" s="126"/>
      <c r="I131" s="126"/>
      <c r="J131" s="126"/>
      <c r="K131" s="126"/>
      <c r="L131" s="8"/>
      <c r="M131" s="8"/>
      <c r="N131" s="12"/>
      <c r="O131" s="12"/>
      <c r="P131" s="12"/>
      <c r="U131" s="42"/>
      <c r="V131" s="10"/>
      <c r="W131" s="11"/>
      <c r="X131" s="46"/>
      <c r="Y131" s="42"/>
      <c r="Z131" s="11"/>
      <c r="AA131" s="11"/>
      <c r="AB131" s="11"/>
    </row>
    <row r="132" spans="2:28" ht="17.25" customHeight="1" x14ac:dyDescent="0.2">
      <c r="B132" s="125"/>
      <c r="C132" s="126"/>
      <c r="D132" s="126"/>
      <c r="E132" s="126"/>
      <c r="F132" s="126"/>
      <c r="G132" s="126"/>
      <c r="H132" s="126"/>
      <c r="I132" s="126"/>
      <c r="J132" s="126"/>
      <c r="K132" s="126"/>
      <c r="L132" s="8"/>
      <c r="M132" s="8"/>
      <c r="N132" s="12"/>
      <c r="O132" s="12"/>
      <c r="P132" s="12"/>
      <c r="U132" s="42"/>
      <c r="V132" s="10"/>
      <c r="W132" s="11"/>
      <c r="X132" s="46"/>
      <c r="Y132" s="42"/>
      <c r="Z132" s="11"/>
      <c r="AA132" s="11"/>
      <c r="AB132" s="11"/>
    </row>
    <row r="133" spans="2:28" ht="17.25" customHeight="1" x14ac:dyDescent="0.2">
      <c r="B133" s="125"/>
      <c r="C133" s="126"/>
      <c r="D133" s="126"/>
      <c r="E133" s="126"/>
      <c r="F133" s="126"/>
      <c r="G133" s="126"/>
      <c r="H133" s="126"/>
      <c r="I133" s="126"/>
      <c r="J133" s="126"/>
      <c r="K133" s="126"/>
      <c r="L133" s="8"/>
      <c r="M133" s="8"/>
      <c r="N133" s="12"/>
      <c r="O133" s="12"/>
      <c r="P133" s="12"/>
      <c r="U133" s="42"/>
      <c r="V133" s="10"/>
      <c r="W133" s="11"/>
      <c r="X133" s="46"/>
      <c r="Y133" s="42"/>
      <c r="Z133" s="11"/>
      <c r="AA133" s="11"/>
      <c r="AB133" s="11"/>
    </row>
    <row r="134" spans="2:28" ht="17.25" customHeight="1" x14ac:dyDescent="0.2">
      <c r="B134" s="125"/>
      <c r="C134" s="126"/>
      <c r="D134" s="126"/>
      <c r="E134" s="126"/>
      <c r="F134" s="126"/>
      <c r="G134" s="126"/>
      <c r="H134" s="126"/>
      <c r="I134" s="126"/>
      <c r="J134" s="126"/>
      <c r="K134" s="126"/>
      <c r="L134" s="8"/>
      <c r="M134" s="8"/>
      <c r="N134" s="12"/>
      <c r="O134" s="12"/>
      <c r="P134" s="12"/>
      <c r="U134" s="42"/>
      <c r="V134" s="10"/>
      <c r="W134" s="11"/>
      <c r="X134" s="46"/>
      <c r="Y134" s="42"/>
      <c r="Z134" s="11"/>
      <c r="AA134" s="11"/>
      <c r="AB134" s="11"/>
    </row>
    <row r="135" spans="2:28" ht="17.25" customHeight="1" x14ac:dyDescent="0.2">
      <c r="B135" s="125"/>
      <c r="C135" s="126"/>
      <c r="D135" s="126"/>
      <c r="E135" s="126"/>
      <c r="F135" s="126"/>
      <c r="G135" s="126"/>
      <c r="H135" s="126"/>
      <c r="I135" s="126"/>
      <c r="J135" s="126"/>
      <c r="K135" s="126"/>
      <c r="L135" s="8"/>
      <c r="M135" s="8"/>
      <c r="N135" s="12"/>
      <c r="O135" s="12"/>
      <c r="P135" s="12"/>
      <c r="U135" s="42"/>
      <c r="V135" s="10"/>
      <c r="W135" s="11"/>
      <c r="X135" s="46"/>
      <c r="Y135" s="42"/>
      <c r="Z135" s="11"/>
      <c r="AA135" s="11"/>
      <c r="AB135" s="11"/>
    </row>
    <row r="136" spans="2:28" ht="17.25" customHeight="1" x14ac:dyDescent="0.2">
      <c r="B136" s="125"/>
      <c r="C136" s="126"/>
      <c r="D136" s="126"/>
      <c r="E136" s="126"/>
      <c r="F136" s="126"/>
      <c r="G136" s="126"/>
      <c r="H136" s="126"/>
      <c r="I136" s="126"/>
      <c r="J136" s="126"/>
      <c r="K136" s="126"/>
      <c r="L136" s="8"/>
      <c r="M136" s="8"/>
      <c r="N136" s="12"/>
      <c r="O136" s="12"/>
      <c r="P136" s="12"/>
      <c r="U136" s="42"/>
      <c r="V136" s="10"/>
      <c r="W136" s="11"/>
      <c r="X136" s="46"/>
      <c r="Y136" s="42"/>
      <c r="Z136" s="11"/>
      <c r="AA136" s="11"/>
      <c r="AB136" s="11"/>
    </row>
    <row r="137" spans="2:28" ht="16.5" customHeight="1" x14ac:dyDescent="0.2">
      <c r="J137" s="12"/>
      <c r="K137" s="12"/>
      <c r="L137" s="8"/>
      <c r="M137" s="8"/>
      <c r="N137" s="12"/>
      <c r="O137" s="12"/>
      <c r="P137" s="12"/>
      <c r="U137" s="42"/>
      <c r="V137" s="10"/>
      <c r="W137" s="11"/>
      <c r="X137" s="46"/>
      <c r="Y137" s="42"/>
      <c r="Z137" s="11"/>
      <c r="AA137" s="11"/>
      <c r="AB137" s="11"/>
    </row>
    <row r="138" spans="2:28" ht="16.5" customHeight="1" x14ac:dyDescent="0.2">
      <c r="J138" s="12"/>
      <c r="K138" s="12"/>
      <c r="L138" s="8"/>
      <c r="M138" s="8"/>
      <c r="N138" s="12"/>
      <c r="O138" s="12"/>
      <c r="P138" s="12"/>
      <c r="U138" s="42"/>
      <c r="V138" s="10"/>
      <c r="W138" s="11"/>
      <c r="X138" s="46"/>
      <c r="Y138" s="42"/>
      <c r="Z138" s="11"/>
      <c r="AA138" s="11"/>
      <c r="AB138" s="11"/>
    </row>
    <row r="139" spans="2:28" ht="16.5" customHeight="1" x14ac:dyDescent="0.2">
      <c r="J139" s="12"/>
      <c r="K139" s="12"/>
      <c r="L139" s="8"/>
      <c r="M139" s="8"/>
      <c r="N139" s="12"/>
      <c r="O139" s="12"/>
      <c r="P139" s="12"/>
      <c r="U139" s="42"/>
      <c r="V139" s="10"/>
      <c r="W139" s="11"/>
      <c r="X139" s="46"/>
      <c r="Y139" s="42"/>
      <c r="Z139" s="11"/>
      <c r="AA139" s="11"/>
      <c r="AB139" s="11"/>
    </row>
    <row r="140" spans="2:28" ht="16.5" customHeight="1" x14ac:dyDescent="0.2">
      <c r="J140" s="12"/>
      <c r="K140" s="12"/>
      <c r="L140" s="8"/>
      <c r="M140" s="8"/>
      <c r="N140" s="12"/>
      <c r="O140" s="12"/>
      <c r="P140" s="12"/>
      <c r="U140" s="42"/>
      <c r="V140" s="10"/>
      <c r="W140" s="11"/>
      <c r="X140" s="46"/>
      <c r="Y140" s="42"/>
      <c r="Z140" s="11"/>
      <c r="AA140" s="11"/>
      <c r="AB140" s="11"/>
    </row>
    <row r="141" spans="2:28" ht="16.5" customHeight="1" x14ac:dyDescent="0.2">
      <c r="J141" s="12"/>
      <c r="K141" s="12"/>
      <c r="L141" s="8"/>
      <c r="M141" s="8"/>
      <c r="N141" s="12"/>
      <c r="O141" s="12"/>
      <c r="P141" s="12"/>
      <c r="U141" s="42"/>
      <c r="V141" s="10"/>
      <c r="W141" s="11"/>
      <c r="X141" s="46"/>
      <c r="Y141" s="42"/>
      <c r="Z141" s="11"/>
      <c r="AA141" s="11"/>
      <c r="AB141" s="11"/>
    </row>
    <row r="142" spans="2:28" x14ac:dyDescent="0.2">
      <c r="U142" s="5"/>
    </row>
    <row r="143" spans="2:28" x14ac:dyDescent="0.2">
      <c r="Q143" s="7"/>
      <c r="R143" s="7"/>
      <c r="U143" s="5"/>
    </row>
    <row r="144" spans="2:28" x14ac:dyDescent="0.2">
      <c r="U144" s="5"/>
    </row>
    <row r="145" spans="11:21" x14ac:dyDescent="0.2">
      <c r="U145" s="5"/>
    </row>
    <row r="146" spans="11:21" x14ac:dyDescent="0.2">
      <c r="Q146" s="3"/>
      <c r="U146" s="5"/>
    </row>
    <row r="147" spans="11:21" x14ac:dyDescent="0.2">
      <c r="U147" s="5"/>
    </row>
    <row r="148" spans="11:21" x14ac:dyDescent="0.2">
      <c r="U148" s="5"/>
    </row>
    <row r="149" spans="11:21" x14ac:dyDescent="0.2">
      <c r="U149" s="5"/>
    </row>
    <row r="150" spans="11:21" x14ac:dyDescent="0.2">
      <c r="U150" s="5"/>
    </row>
    <row r="151" spans="11:21" x14ac:dyDescent="0.2">
      <c r="U151" s="5"/>
    </row>
    <row r="152" spans="11:21" x14ac:dyDescent="0.2">
      <c r="U152" s="5"/>
    </row>
    <row r="153" spans="11:21" x14ac:dyDescent="0.2">
      <c r="K153" s="4"/>
      <c r="N153" s="1"/>
      <c r="O153" s="2"/>
      <c r="P153" s="2"/>
      <c r="Q153" s="2"/>
      <c r="U153" s="5"/>
    </row>
    <row r="154" spans="11:21" x14ac:dyDescent="0.2">
      <c r="K154" s="4"/>
      <c r="U154" s="5"/>
    </row>
    <row r="155" spans="11:21" x14ac:dyDescent="0.2">
      <c r="K155" s="4"/>
      <c r="U155" s="5"/>
    </row>
    <row r="156" spans="11:21" x14ac:dyDescent="0.2">
      <c r="U156" s="5"/>
    </row>
    <row r="157" spans="11:21" x14ac:dyDescent="0.2">
      <c r="U157" s="5"/>
    </row>
    <row r="158" spans="11:21" x14ac:dyDescent="0.2">
      <c r="U158" s="5"/>
    </row>
    <row r="159" spans="11:21" x14ac:dyDescent="0.2">
      <c r="U159" s="5"/>
    </row>
    <row r="160" spans="11:21" x14ac:dyDescent="0.2">
      <c r="U160" s="5"/>
    </row>
    <row r="161" spans="21:21" x14ac:dyDescent="0.2">
      <c r="U161" s="5"/>
    </row>
    <row r="162" spans="21:21" x14ac:dyDescent="0.2">
      <c r="U162" s="5"/>
    </row>
    <row r="163" spans="21:21" x14ac:dyDescent="0.2">
      <c r="U163" s="5"/>
    </row>
    <row r="164" spans="21:21" x14ac:dyDescent="0.2">
      <c r="U164" s="5"/>
    </row>
    <row r="165" spans="21:21" x14ac:dyDescent="0.2">
      <c r="U165" s="5"/>
    </row>
    <row r="166" spans="21:21" x14ac:dyDescent="0.2">
      <c r="U166" s="5"/>
    </row>
    <row r="167" spans="21:21" x14ac:dyDescent="0.2">
      <c r="U167" s="5"/>
    </row>
    <row r="168" spans="21:21" x14ac:dyDescent="0.2">
      <c r="U168" s="5"/>
    </row>
    <row r="169" spans="21:21" x14ac:dyDescent="0.2">
      <c r="U169" s="5"/>
    </row>
    <row r="170" spans="21:21" x14ac:dyDescent="0.2">
      <c r="U170" s="5"/>
    </row>
    <row r="171" spans="21:21" x14ac:dyDescent="0.2">
      <c r="U171" s="5"/>
    </row>
    <row r="172" spans="21:21" x14ac:dyDescent="0.2">
      <c r="U172" s="5"/>
    </row>
    <row r="173" spans="21:21" x14ac:dyDescent="0.2">
      <c r="U173" s="5"/>
    </row>
    <row r="174" spans="21:21" x14ac:dyDescent="0.2">
      <c r="U174" s="5"/>
    </row>
    <row r="175" spans="21:21" x14ac:dyDescent="0.2">
      <c r="U175" s="5"/>
    </row>
    <row r="176" spans="21:21" x14ac:dyDescent="0.2">
      <c r="U176" s="5"/>
    </row>
    <row r="177" spans="21:21" x14ac:dyDescent="0.2">
      <c r="U177" s="5"/>
    </row>
    <row r="178" spans="21:21" x14ac:dyDescent="0.2">
      <c r="U178" s="5"/>
    </row>
    <row r="179" spans="21:21" x14ac:dyDescent="0.2">
      <c r="U179" s="5"/>
    </row>
    <row r="180" spans="21:21" x14ac:dyDescent="0.2">
      <c r="U180" s="5"/>
    </row>
    <row r="181" spans="21:21" x14ac:dyDescent="0.2">
      <c r="U181" s="5"/>
    </row>
    <row r="182" spans="21:21" x14ac:dyDescent="0.2">
      <c r="U182" s="5"/>
    </row>
    <row r="183" spans="21:21" x14ac:dyDescent="0.2">
      <c r="U183" s="5"/>
    </row>
    <row r="184" spans="21:21" x14ac:dyDescent="0.2">
      <c r="U184" s="5"/>
    </row>
    <row r="185" spans="21:21" x14ac:dyDescent="0.2">
      <c r="U185" s="5"/>
    </row>
    <row r="186" spans="21:21" x14ac:dyDescent="0.2">
      <c r="U186" s="5"/>
    </row>
    <row r="187" spans="21:21" x14ac:dyDescent="0.2">
      <c r="U187" s="5"/>
    </row>
    <row r="188" spans="21:21" x14ac:dyDescent="0.2">
      <c r="U188" s="5"/>
    </row>
    <row r="189" spans="21:21" x14ac:dyDescent="0.2">
      <c r="U189" s="5"/>
    </row>
    <row r="190" spans="21:21" x14ac:dyDescent="0.2">
      <c r="U190" s="5"/>
    </row>
    <row r="191" spans="21:21" x14ac:dyDescent="0.2">
      <c r="U191" s="5"/>
    </row>
    <row r="192" spans="21:21" x14ac:dyDescent="0.2">
      <c r="U192" s="5"/>
    </row>
    <row r="193" spans="21:21" x14ac:dyDescent="0.2">
      <c r="U193" s="5"/>
    </row>
    <row r="194" spans="21:21" x14ac:dyDescent="0.2">
      <c r="U194" s="5"/>
    </row>
    <row r="195" spans="21:21" x14ac:dyDescent="0.2">
      <c r="U195" s="5"/>
    </row>
    <row r="196" spans="21:21" x14ac:dyDescent="0.2">
      <c r="U196" s="5"/>
    </row>
    <row r="197" spans="21:21" x14ac:dyDescent="0.2">
      <c r="U197" s="5"/>
    </row>
    <row r="198" spans="21:21" x14ac:dyDescent="0.2">
      <c r="U198" s="5"/>
    </row>
    <row r="199" spans="21:21" x14ac:dyDescent="0.2">
      <c r="U199" s="5"/>
    </row>
    <row r="200" spans="21:21" x14ac:dyDescent="0.2">
      <c r="U200" s="5"/>
    </row>
    <row r="201" spans="21:21" x14ac:dyDescent="0.2">
      <c r="U201" s="5"/>
    </row>
    <row r="202" spans="21:21" x14ac:dyDescent="0.2">
      <c r="U202" s="5"/>
    </row>
    <row r="203" spans="21:21" x14ac:dyDescent="0.2">
      <c r="U203" s="5"/>
    </row>
    <row r="204" spans="21:21" x14ac:dyDescent="0.2">
      <c r="U204" s="5"/>
    </row>
    <row r="205" spans="21:21" x14ac:dyDescent="0.2">
      <c r="U205" s="5"/>
    </row>
    <row r="206" spans="21:21" x14ac:dyDescent="0.2">
      <c r="U206" s="5"/>
    </row>
    <row r="207" spans="21:21" x14ac:dyDescent="0.2">
      <c r="U207" s="5"/>
    </row>
    <row r="208" spans="21:21" x14ac:dyDescent="0.2">
      <c r="U208" s="5"/>
    </row>
    <row r="209" spans="21:21" x14ac:dyDescent="0.2">
      <c r="U209" s="5"/>
    </row>
    <row r="210" spans="21:21" x14ac:dyDescent="0.2">
      <c r="U210" s="5"/>
    </row>
    <row r="211" spans="21:21" x14ac:dyDescent="0.2">
      <c r="U211" s="5"/>
    </row>
    <row r="212" spans="21:21" x14ac:dyDescent="0.2">
      <c r="U212" s="5"/>
    </row>
    <row r="213" spans="21:21" x14ac:dyDescent="0.2">
      <c r="U213" s="5"/>
    </row>
    <row r="214" spans="21:21" x14ac:dyDescent="0.2">
      <c r="U214" s="5"/>
    </row>
    <row r="215" spans="21:21" x14ac:dyDescent="0.2">
      <c r="U215" s="5"/>
    </row>
    <row r="216" spans="21:21" x14ac:dyDescent="0.2">
      <c r="U216" s="5"/>
    </row>
    <row r="217" spans="21:21" x14ac:dyDescent="0.2">
      <c r="U217" s="5"/>
    </row>
    <row r="218" spans="21:21" x14ac:dyDescent="0.2">
      <c r="U218" s="5"/>
    </row>
    <row r="219" spans="21:21" x14ac:dyDescent="0.2">
      <c r="U219" s="5"/>
    </row>
    <row r="220" spans="21:21" x14ac:dyDescent="0.2">
      <c r="U220" s="5"/>
    </row>
    <row r="221" spans="21:21" x14ac:dyDescent="0.2">
      <c r="U221" s="5"/>
    </row>
    <row r="222" spans="21:21" x14ac:dyDescent="0.2">
      <c r="U222" s="5"/>
    </row>
    <row r="223" spans="21:21" x14ac:dyDescent="0.2">
      <c r="U223" s="5"/>
    </row>
    <row r="224" spans="21:21" x14ac:dyDescent="0.2">
      <c r="U224" s="5"/>
    </row>
    <row r="225" spans="21:21" x14ac:dyDescent="0.2">
      <c r="U225" s="5"/>
    </row>
    <row r="226" spans="21:21" x14ac:dyDescent="0.2">
      <c r="U226" s="5"/>
    </row>
    <row r="227" spans="21:21" x14ac:dyDescent="0.2">
      <c r="U227" s="5"/>
    </row>
    <row r="228" spans="21:21" x14ac:dyDescent="0.2">
      <c r="U228" s="5"/>
    </row>
    <row r="229" spans="21:21" x14ac:dyDescent="0.2">
      <c r="U229" s="5"/>
    </row>
    <row r="230" spans="21:21" x14ac:dyDescent="0.2">
      <c r="U230" s="5"/>
    </row>
    <row r="231" spans="21:21" x14ac:dyDescent="0.2">
      <c r="U231" s="5"/>
    </row>
    <row r="232" spans="21:21" x14ac:dyDescent="0.2">
      <c r="U232" s="5"/>
    </row>
    <row r="233" spans="21:21" x14ac:dyDescent="0.2">
      <c r="U233" s="5"/>
    </row>
    <row r="234" spans="21:21" x14ac:dyDescent="0.2">
      <c r="U234" s="5"/>
    </row>
    <row r="235" spans="21:21" x14ac:dyDescent="0.2">
      <c r="U235" s="5"/>
    </row>
    <row r="236" spans="21:21" x14ac:dyDescent="0.2">
      <c r="U236" s="5"/>
    </row>
    <row r="237" spans="21:21" x14ac:dyDescent="0.2">
      <c r="U237" s="5"/>
    </row>
    <row r="238" spans="21:21" x14ac:dyDescent="0.2">
      <c r="U238" s="5"/>
    </row>
    <row r="239" spans="21:21" x14ac:dyDescent="0.2">
      <c r="U239" s="5"/>
    </row>
    <row r="240" spans="21:21" x14ac:dyDescent="0.2">
      <c r="U240" s="5"/>
    </row>
    <row r="241" spans="21:21" x14ac:dyDescent="0.2">
      <c r="U241" s="5"/>
    </row>
    <row r="242" spans="21:21" x14ac:dyDescent="0.2">
      <c r="U242" s="5"/>
    </row>
  </sheetData>
  <mergeCells count="83">
    <mergeCell ref="L75:P75"/>
    <mergeCell ref="L74:P74"/>
    <mergeCell ref="L79:P79"/>
    <mergeCell ref="L80:P80"/>
    <mergeCell ref="L84:P84"/>
    <mergeCell ref="B15:P15"/>
    <mergeCell ref="B12:P13"/>
    <mergeCell ref="B10:P11"/>
    <mergeCell ref="B2:D2"/>
    <mergeCell ref="B3:D3"/>
    <mergeCell ref="B4:D4"/>
    <mergeCell ref="B5:D5"/>
    <mergeCell ref="B6:D6"/>
    <mergeCell ref="B8:P8"/>
    <mergeCell ref="J7:K7"/>
    <mergeCell ref="N2:P2"/>
    <mergeCell ref="M9:P9"/>
    <mergeCell ref="B40:G40"/>
    <mergeCell ref="B17:D17"/>
    <mergeCell ref="E17:G17"/>
    <mergeCell ref="B39:P39"/>
    <mergeCell ref="B16:G16"/>
    <mergeCell ref="H16:O16"/>
    <mergeCell ref="H40:O40"/>
    <mergeCell ref="N17:P17"/>
    <mergeCell ref="K17:M17"/>
    <mergeCell ref="H17:J17"/>
    <mergeCell ref="B41:D41"/>
    <mergeCell ref="E41:G41"/>
    <mergeCell ref="B63:K63"/>
    <mergeCell ref="B75:K75"/>
    <mergeCell ref="B86:K86"/>
    <mergeCell ref="H41:J41"/>
    <mergeCell ref="K41:M41"/>
    <mergeCell ref="L77:P77"/>
    <mergeCell ref="L78:P78"/>
    <mergeCell ref="L76:P76"/>
    <mergeCell ref="L72:P72"/>
    <mergeCell ref="N41:P41"/>
    <mergeCell ref="L64:P64"/>
    <mergeCell ref="L68:P68"/>
    <mergeCell ref="L71:P71"/>
    <mergeCell ref="L63:P63"/>
    <mergeCell ref="B98:K98"/>
    <mergeCell ref="L98:P98"/>
    <mergeCell ref="B117:P117"/>
    <mergeCell ref="B118:P118"/>
    <mergeCell ref="B116:P116"/>
    <mergeCell ref="B115:F115"/>
    <mergeCell ref="B109:K109"/>
    <mergeCell ref="B111:F111"/>
    <mergeCell ref="B112:F112"/>
    <mergeCell ref="B113:F113"/>
    <mergeCell ref="B114:F114"/>
    <mergeCell ref="L109:P109"/>
    <mergeCell ref="B110:F110"/>
    <mergeCell ref="L107:N107"/>
    <mergeCell ref="L106:N106"/>
    <mergeCell ref="L99:N101"/>
    <mergeCell ref="L65:P65"/>
    <mergeCell ref="L66:P66"/>
    <mergeCell ref="O99:P100"/>
    <mergeCell ref="O101:P101"/>
    <mergeCell ref="L105:P105"/>
    <mergeCell ref="L87:P87"/>
    <mergeCell ref="L69:P69"/>
    <mergeCell ref="L70:P70"/>
    <mergeCell ref="L67:P67"/>
    <mergeCell ref="L88:P88"/>
    <mergeCell ref="L86:P86"/>
    <mergeCell ref="L85:P85"/>
    <mergeCell ref="L81:P81"/>
    <mergeCell ref="L82:P82"/>
    <mergeCell ref="L83:P83"/>
    <mergeCell ref="L89:P89"/>
    <mergeCell ref="L95:P95"/>
    <mergeCell ref="L96:P96"/>
    <mergeCell ref="L97:P97"/>
    <mergeCell ref="L90:P90"/>
    <mergeCell ref="L91:P91"/>
    <mergeCell ref="L92:P92"/>
    <mergeCell ref="L93:P93"/>
    <mergeCell ref="L94:P94"/>
  </mergeCells>
  <hyperlinks>
    <hyperlink ref="B6" r:id="rId1" xr:uid="{2A7A4C06-E8CA-4276-8717-04DB40532656}"/>
  </hyperlinks>
  <printOptions horizontalCentered="1" verticalCentered="1"/>
  <pageMargins left="0.25" right="0.25" top="0.25" bottom="0.25" header="0.25" footer="0.25"/>
  <pageSetup paperSize="5" scale="50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3D12-1C4F-4705-A4DC-35A8E2212573}">
  <sheetPr codeName="Sheet5"/>
  <dimension ref="B1:AQ104"/>
  <sheetViews>
    <sheetView topLeftCell="A20" zoomScale="70" zoomScaleNormal="70" zoomScalePageLayoutView="85" workbookViewId="0">
      <selection activeCell="M25" sqref="M24:M25"/>
    </sheetView>
  </sheetViews>
  <sheetFormatPr defaultColWidth="8.85546875" defaultRowHeight="14.25" x14ac:dyDescent="0.2"/>
  <cols>
    <col min="1" max="1" width="7.5703125" style="5" customWidth="1"/>
    <col min="2" max="2" width="12.85546875" style="5" customWidth="1"/>
    <col min="3" max="4" width="14.28515625" style="5" customWidth="1"/>
    <col min="5" max="5" width="21.28515625" style="5" customWidth="1"/>
    <col min="6" max="6" width="13.140625" style="5" customWidth="1"/>
    <col min="7" max="8" width="13.85546875" style="5" customWidth="1"/>
    <col min="9" max="9" width="13.28515625" style="5" customWidth="1"/>
    <col min="10" max="10" width="12.85546875" style="5" customWidth="1"/>
    <col min="11" max="11" width="12.7109375" style="5" customWidth="1"/>
    <col min="12" max="12" width="13.7109375" style="5" customWidth="1"/>
    <col min="13" max="13" width="14.42578125" style="5" customWidth="1"/>
    <col min="14" max="14" width="12.28515625" style="5" customWidth="1"/>
    <col min="15" max="15" width="12.85546875" style="5" customWidth="1"/>
    <col min="16" max="16" width="11.140625" style="5" customWidth="1"/>
    <col min="17" max="17" width="7.5703125" style="5" customWidth="1"/>
    <col min="18" max="20" width="8.85546875" style="5"/>
    <col min="21" max="21" width="8.85546875" style="172"/>
    <col min="22" max="22" width="23.42578125" style="5" customWidth="1"/>
    <col min="23" max="23" width="10" style="5" bestFit="1" customWidth="1"/>
    <col min="24" max="16384" width="8.85546875" style="5"/>
  </cols>
  <sheetData>
    <row r="1" spans="2:22" ht="17.25" customHeight="1" x14ac:dyDescent="0.25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327" t="s">
        <v>734</v>
      </c>
    </row>
    <row r="2" spans="2:22" ht="17.25" customHeight="1" x14ac:dyDescent="0.25">
      <c r="B2" s="1269" t="s">
        <v>0</v>
      </c>
      <c r="C2" s="1270"/>
      <c r="D2" s="1271"/>
      <c r="E2" s="27"/>
      <c r="F2" s="27"/>
      <c r="G2" s="27"/>
      <c r="H2" s="27"/>
      <c r="I2" s="117"/>
      <c r="J2" s="27"/>
      <c r="K2" s="27"/>
      <c r="L2" s="27"/>
      <c r="M2" s="27"/>
      <c r="N2" s="1576" t="s">
        <v>730</v>
      </c>
      <c r="O2" s="1577"/>
      <c r="P2" s="1578"/>
    </row>
    <row r="3" spans="2:22" ht="17.25" customHeight="1" x14ac:dyDescent="0.25">
      <c r="B3" s="1272" t="s">
        <v>1</v>
      </c>
      <c r="C3" s="1273"/>
      <c r="D3" s="1274"/>
      <c r="E3" s="27"/>
      <c r="F3" s="27"/>
      <c r="G3" s="27"/>
      <c r="H3" s="27"/>
      <c r="I3" s="27"/>
      <c r="J3" s="27"/>
      <c r="K3" s="27"/>
      <c r="L3" s="27"/>
      <c r="M3" s="27"/>
      <c r="N3" s="1074"/>
      <c r="O3" s="1062"/>
      <c r="P3" s="1075"/>
    </row>
    <row r="4" spans="2:22" ht="17.25" customHeight="1" x14ac:dyDescent="0.25">
      <c r="B4" s="1272" t="s">
        <v>2</v>
      </c>
      <c r="C4" s="1273"/>
      <c r="D4" s="1274"/>
      <c r="E4" s="27"/>
      <c r="F4" s="27"/>
      <c r="G4" s="27"/>
      <c r="H4" s="27"/>
      <c r="I4" s="27"/>
      <c r="J4" s="27"/>
      <c r="K4" s="27"/>
      <c r="L4" s="27"/>
      <c r="M4" s="27"/>
      <c r="N4" s="309" t="s">
        <v>731</v>
      </c>
      <c r="O4" s="27"/>
      <c r="P4" s="310">
        <f>[2]FNMA!P4</f>
        <v>45980</v>
      </c>
    </row>
    <row r="5" spans="2:22" ht="17.25" customHeight="1" x14ac:dyDescent="0.25">
      <c r="B5" s="1272" t="s">
        <v>3</v>
      </c>
      <c r="C5" s="1273"/>
      <c r="D5" s="1274"/>
      <c r="E5" s="157"/>
      <c r="F5" s="27"/>
      <c r="G5" s="27"/>
      <c r="H5" s="27"/>
      <c r="I5" s="27"/>
      <c r="J5" s="27"/>
      <c r="K5" s="27"/>
      <c r="L5" s="27"/>
      <c r="M5" s="27"/>
      <c r="N5" s="309" t="s">
        <v>732</v>
      </c>
      <c r="O5" s="27"/>
      <c r="P5" s="310">
        <f>[2]FNMA!P5</f>
        <v>45995</v>
      </c>
    </row>
    <row r="6" spans="2:22" ht="17.25" customHeight="1" x14ac:dyDescent="0.25">
      <c r="B6" s="1266" t="s">
        <v>4</v>
      </c>
      <c r="C6" s="1585"/>
      <c r="D6" s="1586"/>
      <c r="E6" s="157"/>
      <c r="F6" s="27"/>
      <c r="G6" s="27"/>
      <c r="H6" s="27"/>
      <c r="I6" s="27"/>
      <c r="J6" s="27"/>
      <c r="K6" s="27"/>
      <c r="L6" s="27"/>
      <c r="M6" s="27"/>
      <c r="N6" s="311" t="s">
        <v>733</v>
      </c>
      <c r="O6" s="105"/>
      <c r="P6" s="312">
        <f>[2]FNMA!P6</f>
        <v>46010</v>
      </c>
      <c r="U6" s="5"/>
    </row>
    <row r="7" spans="2:22" ht="17.25" customHeight="1" x14ac:dyDescent="0.25">
      <c r="B7" s="27"/>
      <c r="C7" s="27"/>
      <c r="D7" s="1062"/>
      <c r="E7" s="27"/>
      <c r="F7" s="117" t="s">
        <v>5</v>
      </c>
      <c r="G7" s="27"/>
      <c r="H7" s="27"/>
      <c r="I7" s="117"/>
      <c r="J7" s="117" t="s">
        <v>6</v>
      </c>
      <c r="K7" s="117"/>
      <c r="L7" s="315">
        <f>[2]FNMA!L7</f>
        <v>45950</v>
      </c>
      <c r="M7" s="576" t="str">
        <f>[2]FNMA!M7</f>
        <v>8:00 AM PST</v>
      </c>
      <c r="N7" s="27"/>
      <c r="O7" s="27"/>
      <c r="P7" s="27"/>
      <c r="U7" s="5"/>
    </row>
    <row r="8" spans="2:22" ht="3.75" customHeight="1" thickBot="1" x14ac:dyDescent="0.3">
      <c r="B8" s="345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U8" s="5"/>
    </row>
    <row r="9" spans="2:22" ht="9.75" customHeight="1" x14ac:dyDescent="0.2">
      <c r="B9" s="1579" t="s">
        <v>38</v>
      </c>
      <c r="C9" s="1580"/>
      <c r="D9" s="1580"/>
      <c r="E9" s="1580"/>
      <c r="F9" s="1580"/>
      <c r="G9" s="1580"/>
      <c r="H9" s="1580"/>
      <c r="I9" s="1580"/>
      <c r="J9" s="1580"/>
      <c r="K9" s="1580"/>
      <c r="L9" s="1580"/>
      <c r="M9" s="1580"/>
      <c r="N9" s="1580"/>
      <c r="O9" s="1580"/>
      <c r="P9" s="1581"/>
      <c r="U9" s="5"/>
    </row>
    <row r="10" spans="2:22" ht="15" customHeight="1" thickBot="1" x14ac:dyDescent="0.25">
      <c r="B10" s="1582"/>
      <c r="C10" s="1583"/>
      <c r="D10" s="1583"/>
      <c r="E10" s="1583"/>
      <c r="F10" s="1583"/>
      <c r="G10" s="1583"/>
      <c r="H10" s="1583"/>
      <c r="I10" s="1583"/>
      <c r="J10" s="1583"/>
      <c r="K10" s="1583"/>
      <c r="L10" s="1583"/>
      <c r="M10" s="1583"/>
      <c r="N10" s="1583"/>
      <c r="O10" s="1583"/>
      <c r="P10" s="1584"/>
      <c r="U10" s="5"/>
    </row>
    <row r="11" spans="2:22" ht="24" customHeight="1" thickBot="1" x14ac:dyDescent="0.3">
      <c r="B11" s="395" t="s">
        <v>8</v>
      </c>
      <c r="C11" s="394"/>
      <c r="D11" s="396" t="s">
        <v>365</v>
      </c>
      <c r="E11" s="397"/>
      <c r="F11" s="397"/>
      <c r="G11" s="397"/>
      <c r="H11" s="398" t="s">
        <v>39</v>
      </c>
      <c r="I11" s="220"/>
      <c r="J11" s="220"/>
      <c r="K11" s="398" t="s">
        <v>567</v>
      </c>
      <c r="L11" s="220"/>
      <c r="M11" s="266" t="s">
        <v>625</v>
      </c>
      <c r="N11" s="266"/>
      <c r="O11" s="266"/>
      <c r="P11" s="217"/>
      <c r="U11" s="5"/>
    </row>
    <row r="12" spans="2:22" ht="28.5" customHeight="1" thickBot="1" x14ac:dyDescent="0.3">
      <c r="B12" s="1339" t="s">
        <v>11</v>
      </c>
      <c r="C12" s="1340"/>
      <c r="D12" s="1340"/>
      <c r="E12" s="1340"/>
      <c r="F12" s="1340"/>
      <c r="G12" s="1340"/>
      <c r="H12" s="1340"/>
      <c r="I12" s="1340"/>
      <c r="J12" s="1340"/>
      <c r="K12" s="1340"/>
      <c r="L12" s="1340"/>
      <c r="M12" s="1340"/>
      <c r="N12" s="1340"/>
      <c r="O12" s="1340"/>
      <c r="P12" s="1341"/>
      <c r="T12" s="1076" t="s">
        <v>40</v>
      </c>
      <c r="U12" s="1077"/>
    </row>
    <row r="13" spans="2:22" ht="17.25" customHeight="1" x14ac:dyDescent="0.25">
      <c r="B13" s="1378"/>
      <c r="C13" s="1379"/>
      <c r="D13" s="1379"/>
      <c r="E13" s="1379"/>
      <c r="F13" s="1379"/>
      <c r="G13" s="1379"/>
      <c r="H13" s="1379"/>
      <c r="I13" s="1379"/>
      <c r="J13" s="1379"/>
      <c r="K13" s="1379"/>
      <c r="L13" s="1379"/>
      <c r="M13" s="1379"/>
      <c r="N13" s="1379"/>
      <c r="O13" s="1379"/>
      <c r="P13" s="1380"/>
      <c r="Q13" s="31"/>
      <c r="T13" s="484">
        <v>0.25</v>
      </c>
      <c r="U13" s="1077"/>
    </row>
    <row r="14" spans="2:22" ht="15.75" customHeight="1" x14ac:dyDescent="0.2">
      <c r="B14" s="1381"/>
      <c r="C14" s="1382"/>
      <c r="D14" s="1382"/>
      <c r="E14" s="1382"/>
      <c r="F14" s="1382"/>
      <c r="G14" s="1382"/>
      <c r="H14" s="1382"/>
      <c r="I14" s="1382"/>
      <c r="J14" s="1382"/>
      <c r="K14" s="1382"/>
      <c r="L14" s="1382"/>
      <c r="M14" s="1382"/>
      <c r="N14" s="1382"/>
      <c r="O14" s="1382"/>
      <c r="P14" s="1383"/>
      <c r="Q14" s="31"/>
      <c r="U14" s="5"/>
    </row>
    <row r="15" spans="2:22" ht="9" customHeight="1" thickBot="1" x14ac:dyDescent="0.25">
      <c r="B15" s="170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171"/>
      <c r="Q15" s="32"/>
      <c r="U15" s="5"/>
    </row>
    <row r="16" spans="2:22" ht="33" customHeight="1" thickBot="1" x14ac:dyDescent="0.25">
      <c r="B16" s="1339" t="s">
        <v>409</v>
      </c>
      <c r="C16" s="1340"/>
      <c r="D16" s="1340"/>
      <c r="E16" s="1340"/>
      <c r="F16" s="1340"/>
      <c r="G16" s="1340"/>
      <c r="H16" s="1340"/>
      <c r="I16" s="1340"/>
      <c r="J16" s="1340"/>
      <c r="K16" s="1340"/>
      <c r="L16" s="1340"/>
      <c r="M16" s="1340"/>
      <c r="N16" s="1340"/>
      <c r="O16" s="1340"/>
      <c r="P16" s="1341"/>
      <c r="U16" s="5"/>
      <c r="V16" s="12"/>
    </row>
    <row r="17" spans="2:43" ht="3.75" customHeight="1" x14ac:dyDescent="0.2">
      <c r="B17" s="95"/>
      <c r="P17" s="38"/>
      <c r="U17" s="5"/>
      <c r="V17" s="12"/>
      <c r="X17" s="172"/>
    </row>
    <row r="18" spans="2:43" ht="12" customHeight="1" thickBot="1" x14ac:dyDescent="0.25">
      <c r="B18" s="95"/>
      <c r="P18" s="38"/>
      <c r="R18" s="179"/>
      <c r="U18" s="5"/>
      <c r="V18" s="12"/>
      <c r="W18" s="172"/>
      <c r="X18" s="172"/>
    </row>
    <row r="19" spans="2:43" ht="27.75" customHeight="1" thickBot="1" x14ac:dyDescent="0.3">
      <c r="B19" s="775" t="s">
        <v>250</v>
      </c>
      <c r="C19" s="776"/>
      <c r="D19" s="777"/>
      <c r="E19" s="757" t="s">
        <v>51</v>
      </c>
      <c r="F19" s="754" t="s">
        <v>640</v>
      </c>
      <c r="G19" s="754" t="s">
        <v>158</v>
      </c>
      <c r="H19" s="754" t="s">
        <v>159</v>
      </c>
      <c r="I19" s="754" t="s">
        <v>160</v>
      </c>
      <c r="J19" s="754" t="s">
        <v>101</v>
      </c>
      <c r="K19" s="758" t="s">
        <v>102</v>
      </c>
      <c r="L19" s="754" t="s">
        <v>103</v>
      </c>
      <c r="M19" s="756" t="s">
        <v>739</v>
      </c>
      <c r="N19" s="1591" t="s">
        <v>411</v>
      </c>
      <c r="O19" s="1592"/>
      <c r="P19" s="1593"/>
      <c r="R19" s="179"/>
      <c r="U19" s="5"/>
      <c r="V19" s="12"/>
      <c r="W19" s="172"/>
      <c r="X19" s="172"/>
      <c r="Y19" s="12"/>
      <c r="Z19" s="12"/>
      <c r="AA19" s="12"/>
      <c r="AB19" s="12"/>
      <c r="AC19" s="12"/>
    </row>
    <row r="20" spans="2:43" ht="27.75" customHeight="1" thickBot="1" x14ac:dyDescent="0.35">
      <c r="B20" s="1603" t="s">
        <v>413</v>
      </c>
      <c r="C20" s="1604"/>
      <c r="D20" s="1605"/>
      <c r="E20" s="1536" t="s">
        <v>634</v>
      </c>
      <c r="F20" s="1537"/>
      <c r="G20" s="1537"/>
      <c r="H20" s="1537"/>
      <c r="I20" s="1537"/>
      <c r="J20" s="1537"/>
      <c r="K20" s="1537"/>
      <c r="L20" s="1537"/>
      <c r="M20" s="1538"/>
      <c r="N20" s="1594" t="s">
        <v>300</v>
      </c>
      <c r="O20" s="1595"/>
      <c r="P20" s="1596"/>
      <c r="V20" s="483"/>
      <c r="W20" s="172"/>
      <c r="X20" s="172"/>
      <c r="Y20" s="483"/>
      <c r="AB20" s="87"/>
      <c r="AC20" s="169"/>
      <c r="AD20" s="169"/>
      <c r="AE20" s="169"/>
      <c r="AF20" s="169"/>
      <c r="AG20" s="169"/>
      <c r="AH20" s="169"/>
      <c r="AI20" s="169"/>
      <c r="AJ20" s="87"/>
      <c r="AK20" s="607"/>
      <c r="AL20" s="607"/>
      <c r="AM20" s="607"/>
      <c r="AN20" s="607"/>
      <c r="AO20" s="607"/>
      <c r="AP20" s="607"/>
    </row>
    <row r="21" spans="2:43" ht="23.25" customHeight="1" thickBot="1" x14ac:dyDescent="0.3">
      <c r="B21" s="1533" t="s">
        <v>384</v>
      </c>
      <c r="C21" s="1534"/>
      <c r="D21" s="1535"/>
      <c r="E21" s="720" t="s">
        <v>52</v>
      </c>
      <c r="F21" s="584">
        <v>-2.5</v>
      </c>
      <c r="G21" s="584">
        <v>-2</v>
      </c>
      <c r="H21" s="584">
        <v>-2</v>
      </c>
      <c r="I21" s="584">
        <v>-1.5</v>
      </c>
      <c r="J21" s="584">
        <v>-0.5</v>
      </c>
      <c r="K21" s="721">
        <v>0</v>
      </c>
      <c r="L21" s="584">
        <v>3.5</v>
      </c>
      <c r="M21" s="574">
        <v>4.5</v>
      </c>
      <c r="N21" s="194"/>
      <c r="O21" s="187"/>
      <c r="P21" s="257"/>
      <c r="V21" s="483"/>
      <c r="W21" s="1078"/>
      <c r="X21" s="1078"/>
      <c r="Y21" s="1078"/>
      <c r="Z21" s="1078"/>
      <c r="AA21" s="1078"/>
      <c r="AB21" s="607"/>
      <c r="AC21" s="114"/>
      <c r="AD21" s="114"/>
      <c r="AE21" s="114"/>
      <c r="AF21" s="114"/>
      <c r="AG21" s="114"/>
      <c r="AH21" s="114"/>
      <c r="AI21" s="114"/>
      <c r="AJ21" s="169"/>
      <c r="AK21" s="114"/>
      <c r="AL21" s="114"/>
      <c r="AM21" s="114"/>
      <c r="AN21" s="114"/>
      <c r="AO21" s="114"/>
      <c r="AP21" s="114"/>
      <c r="AQ21" s="608"/>
    </row>
    <row r="22" spans="2:43" ht="19.5" customHeight="1" thickBot="1" x14ac:dyDescent="0.3">
      <c r="B22" s="591" t="s">
        <v>14</v>
      </c>
      <c r="C22" s="592" t="s">
        <v>15</v>
      </c>
      <c r="D22" s="718" t="s">
        <v>44</v>
      </c>
      <c r="E22" s="1161" t="s">
        <v>53</v>
      </c>
      <c r="F22" s="584">
        <v>-1.5</v>
      </c>
      <c r="G22" s="584">
        <v>-1.5</v>
      </c>
      <c r="H22" s="584">
        <v>-1.5</v>
      </c>
      <c r="I22" s="584">
        <v>-1</v>
      </c>
      <c r="J22" s="584">
        <v>0</v>
      </c>
      <c r="K22" s="721">
        <v>1</v>
      </c>
      <c r="L22" s="584">
        <v>5</v>
      </c>
      <c r="M22" s="574">
        <v>6</v>
      </c>
      <c r="N22" s="1564" t="s">
        <v>307</v>
      </c>
      <c r="O22" s="1565"/>
      <c r="P22" s="1566"/>
      <c r="R22" s="117"/>
      <c r="U22" s="5"/>
      <c r="V22" s="483"/>
      <c r="W22" s="1078"/>
      <c r="X22" s="1078"/>
      <c r="Y22" s="1078"/>
      <c r="Z22" s="1078"/>
      <c r="AA22" s="1078"/>
      <c r="AB22" s="607"/>
      <c r="AC22" s="114"/>
      <c r="AD22" s="114"/>
      <c r="AE22" s="114"/>
      <c r="AF22" s="114"/>
      <c r="AG22" s="114"/>
      <c r="AH22" s="114"/>
      <c r="AI22" s="114"/>
      <c r="AJ22" s="169"/>
      <c r="AK22" s="114"/>
      <c r="AL22" s="114"/>
      <c r="AM22" s="114"/>
      <c r="AN22" s="114"/>
      <c r="AO22" s="114"/>
      <c r="AP22" s="114"/>
      <c r="AQ22" s="114"/>
    </row>
    <row r="23" spans="2:43" ht="19.5" customHeight="1" x14ac:dyDescent="0.25">
      <c r="B23" s="476">
        <v>6.875</v>
      </c>
      <c r="C23" s="442">
        <f>100-VLOOKUP(B23,'[1]Pricing '!$A$4302:$K$4337,11,FALSE)</f>
        <v>2.8986660000000057</v>
      </c>
      <c r="D23" s="736">
        <f t="shared" ref="D23:D48" si="0">C23+$T$13</f>
        <v>3.1486660000000057</v>
      </c>
      <c r="E23" s="1161" t="s">
        <v>54</v>
      </c>
      <c r="F23" s="584">
        <v>-1</v>
      </c>
      <c r="G23" s="584">
        <v>-1</v>
      </c>
      <c r="H23" s="584">
        <v>-1</v>
      </c>
      <c r="I23" s="584">
        <v>0</v>
      </c>
      <c r="J23" s="584">
        <v>0</v>
      </c>
      <c r="K23" s="721">
        <v>2</v>
      </c>
      <c r="L23" s="584">
        <v>6</v>
      </c>
      <c r="M23" s="574">
        <v>8</v>
      </c>
      <c r="N23" s="1597" t="s">
        <v>306</v>
      </c>
      <c r="O23" s="1598"/>
      <c r="P23" s="1599"/>
      <c r="U23" s="5"/>
      <c r="V23" s="483"/>
      <c r="W23" s="1078"/>
      <c r="X23" s="1078"/>
      <c r="Y23" s="1078"/>
      <c r="Z23" s="1078"/>
      <c r="AA23" s="1078"/>
      <c r="AH23" s="114"/>
      <c r="AI23" s="114"/>
      <c r="AJ23" s="169"/>
      <c r="AK23" s="114"/>
      <c r="AL23" s="114"/>
      <c r="AM23" s="114"/>
      <c r="AN23" s="114"/>
      <c r="AO23" s="114"/>
      <c r="AP23" s="114"/>
      <c r="AQ23" s="114"/>
    </row>
    <row r="24" spans="2:43" ht="19.5" customHeight="1" x14ac:dyDescent="0.25">
      <c r="B24" s="104">
        <f>B23+0.125</f>
        <v>7</v>
      </c>
      <c r="C24" s="181">
        <f>100-VLOOKUP(B24,'[1]Pricing '!$A$4302:$K$4337,11,FALSE)</f>
        <v>2.4256649999999951</v>
      </c>
      <c r="D24" s="305">
        <f t="shared" si="0"/>
        <v>2.6756649999999951</v>
      </c>
      <c r="E24" s="1162" t="s">
        <v>55</v>
      </c>
      <c r="F24" s="584">
        <v>0</v>
      </c>
      <c r="G24" s="584">
        <v>0</v>
      </c>
      <c r="H24" s="584">
        <v>0</v>
      </c>
      <c r="I24" s="584">
        <v>0</v>
      </c>
      <c r="J24" s="584">
        <v>1</v>
      </c>
      <c r="K24" s="584">
        <v>3</v>
      </c>
      <c r="L24" s="722">
        <v>7.5</v>
      </c>
      <c r="M24" s="336" t="s">
        <v>56</v>
      </c>
      <c r="N24" s="258"/>
      <c r="O24" s="347"/>
      <c r="P24" s="257"/>
      <c r="U24" s="5"/>
      <c r="V24" s="483"/>
      <c r="W24" s="1078"/>
      <c r="X24" s="1078"/>
      <c r="Y24" s="1078"/>
      <c r="Z24" s="1078"/>
      <c r="AA24" s="1078"/>
      <c r="AB24" s="607"/>
      <c r="AC24" s="114"/>
      <c r="AD24" s="114"/>
      <c r="AE24" s="114"/>
      <c r="AF24" s="114"/>
      <c r="AG24" s="114"/>
      <c r="AH24" s="114"/>
      <c r="AI24" s="114"/>
      <c r="AJ24" s="169"/>
      <c r="AK24" s="114"/>
      <c r="AL24" s="114"/>
      <c r="AM24" s="114"/>
      <c r="AN24" s="114"/>
      <c r="AO24" s="114"/>
      <c r="AP24" s="114"/>
      <c r="AQ24" s="114"/>
    </row>
    <row r="25" spans="2:43" ht="19.5" customHeight="1" x14ac:dyDescent="0.25">
      <c r="B25" s="104">
        <f t="shared" ref="B25:B48" si="1">B24+0.125</f>
        <v>7.125</v>
      </c>
      <c r="C25" s="181">
        <f>100-VLOOKUP(B25,'[1]Pricing '!$A$4302:$K$4337,11,FALSE)</f>
        <v>1.9436019999999985</v>
      </c>
      <c r="D25" s="305">
        <f t="shared" si="0"/>
        <v>2.1936019999999985</v>
      </c>
      <c r="E25" s="1161" t="s">
        <v>57</v>
      </c>
      <c r="F25" s="584">
        <v>0.5</v>
      </c>
      <c r="G25" s="358">
        <v>0.5</v>
      </c>
      <c r="H25" s="358">
        <v>1</v>
      </c>
      <c r="I25" s="358">
        <v>1.5</v>
      </c>
      <c r="J25" s="358">
        <v>2</v>
      </c>
      <c r="K25" s="359">
        <v>5.5</v>
      </c>
      <c r="L25" s="358">
        <v>8.5</v>
      </c>
      <c r="M25" s="336" t="s">
        <v>56</v>
      </c>
      <c r="N25" s="258"/>
      <c r="O25" s="347"/>
      <c r="P25" s="257"/>
      <c r="U25" s="5"/>
      <c r="V25" s="483"/>
      <c r="W25" s="1078"/>
      <c r="X25" s="1078"/>
      <c r="Y25" s="1078"/>
      <c r="Z25" s="1078"/>
      <c r="AA25" s="1078"/>
      <c r="AB25" s="607"/>
      <c r="AC25" s="114"/>
      <c r="AD25" s="114"/>
      <c r="AE25" s="114"/>
      <c r="AF25" s="114"/>
      <c r="AG25" s="114"/>
      <c r="AH25" s="114"/>
      <c r="AI25" s="114"/>
      <c r="AJ25" s="169"/>
      <c r="AK25" s="114"/>
      <c r="AL25" s="114"/>
      <c r="AM25" s="114"/>
      <c r="AN25" s="114"/>
      <c r="AO25" s="114"/>
      <c r="AP25" s="114"/>
      <c r="AQ25" s="114"/>
    </row>
    <row r="26" spans="2:43" ht="19.5" customHeight="1" thickBot="1" x14ac:dyDescent="0.3">
      <c r="B26" s="104">
        <f t="shared" si="1"/>
        <v>7.25</v>
      </c>
      <c r="C26" s="181">
        <f>100-VLOOKUP(B26,'[1]Pricing '!$A$4302:$K$4337,11,FALSE)</f>
        <v>1.4522620000000046</v>
      </c>
      <c r="D26" s="305">
        <f t="shared" si="0"/>
        <v>1.7022620000000046</v>
      </c>
      <c r="E26" s="360" t="s">
        <v>58</v>
      </c>
      <c r="F26" s="115">
        <v>0.75</v>
      </c>
      <c r="G26" s="115">
        <v>1</v>
      </c>
      <c r="H26" s="115">
        <v>1.5</v>
      </c>
      <c r="I26" s="115">
        <v>2</v>
      </c>
      <c r="J26" s="115">
        <v>3</v>
      </c>
      <c r="K26" s="151" t="s">
        <v>56</v>
      </c>
      <c r="L26" s="115" t="s">
        <v>56</v>
      </c>
      <c r="M26" s="225" t="s">
        <v>56</v>
      </c>
      <c r="N26" s="1564" t="s">
        <v>66</v>
      </c>
      <c r="O26" s="1565"/>
      <c r="P26" s="1566"/>
      <c r="U26" s="5"/>
      <c r="W26" s="1078"/>
      <c r="X26" s="1078"/>
      <c r="Y26" s="1078"/>
      <c r="Z26" s="1078"/>
      <c r="AA26" s="1078"/>
      <c r="AB26" s="607"/>
      <c r="AC26" s="114"/>
      <c r="AD26" s="114"/>
      <c r="AE26" s="114"/>
      <c r="AF26" s="114"/>
      <c r="AG26" s="114"/>
      <c r="AH26" s="114"/>
      <c r="AI26" s="114"/>
      <c r="AJ26" s="169"/>
      <c r="AK26" s="114"/>
      <c r="AL26" s="114"/>
      <c r="AM26" s="114"/>
      <c r="AN26" s="114"/>
      <c r="AO26" s="114"/>
      <c r="AP26" s="114"/>
      <c r="AQ26" s="114"/>
    </row>
    <row r="27" spans="2:43" ht="19.5" customHeight="1" thickTop="1" thickBot="1" x14ac:dyDescent="0.35">
      <c r="B27" s="104">
        <f t="shared" si="1"/>
        <v>7.375</v>
      </c>
      <c r="C27" s="181">
        <f>100-VLOOKUP(B27,'[1]Pricing '!$A$4302:$K$4337,11,FALSE)</f>
        <v>0.96163699999999608</v>
      </c>
      <c r="D27" s="305">
        <f t="shared" si="0"/>
        <v>1.2116369999999961</v>
      </c>
      <c r="E27" s="1587" t="s">
        <v>63</v>
      </c>
      <c r="F27" s="1587"/>
      <c r="G27" s="1587"/>
      <c r="H27" s="1587"/>
      <c r="I27" s="1587"/>
      <c r="J27" s="1587"/>
      <c r="K27" s="1587"/>
      <c r="L27" s="1587"/>
      <c r="M27" s="1588"/>
      <c r="N27" s="218"/>
      <c r="O27" s="347"/>
      <c r="P27" s="257"/>
      <c r="R27" s="180"/>
      <c r="U27" s="5"/>
      <c r="W27" s="1078"/>
      <c r="X27" s="1078"/>
      <c r="AJ27" s="169"/>
      <c r="AK27" s="114"/>
      <c r="AL27" s="114"/>
      <c r="AM27" s="114"/>
      <c r="AN27" s="114"/>
      <c r="AO27" s="114"/>
      <c r="AP27" s="114"/>
      <c r="AQ27" s="114"/>
    </row>
    <row r="28" spans="2:43" ht="19.5" customHeight="1" thickTop="1" thickBot="1" x14ac:dyDescent="0.3">
      <c r="B28" s="104">
        <f t="shared" si="1"/>
        <v>7.5</v>
      </c>
      <c r="C28" s="181">
        <f>100-VLOOKUP(B28,'[1]Pricing '!$A$4302:$K$4337,11,FALSE)</f>
        <v>0.46224599999999327</v>
      </c>
      <c r="D28" s="305">
        <f t="shared" si="0"/>
        <v>0.71224599999999327</v>
      </c>
      <c r="E28" s="360" t="s">
        <v>64</v>
      </c>
      <c r="F28" s="115">
        <v>0.5</v>
      </c>
      <c r="G28" s="115">
        <v>0.5</v>
      </c>
      <c r="H28" s="115">
        <v>0.5</v>
      </c>
      <c r="I28" s="115">
        <v>0.5</v>
      </c>
      <c r="J28" s="115">
        <v>0.5</v>
      </c>
      <c r="K28" s="151" t="s">
        <v>56</v>
      </c>
      <c r="L28" s="115" t="s">
        <v>56</v>
      </c>
      <c r="M28" s="225" t="s">
        <v>56</v>
      </c>
      <c r="N28" s="1564" t="s">
        <v>67</v>
      </c>
      <c r="O28" s="1565"/>
      <c r="P28" s="1566"/>
      <c r="R28" s="114"/>
    </row>
    <row r="29" spans="2:43" ht="19.5" customHeight="1" thickBot="1" x14ac:dyDescent="0.3">
      <c r="B29" s="104">
        <f t="shared" si="1"/>
        <v>7.625</v>
      </c>
      <c r="C29" s="181">
        <f>100-VLOOKUP(B29,'[1]Pricing '!$A$4302:$K$4337,11,FALSE)</f>
        <v>-3.4566999999995573E-2</v>
      </c>
      <c r="D29" s="305">
        <f t="shared" si="0"/>
        <v>0.21543300000000443</v>
      </c>
      <c r="E29" s="360" t="s">
        <v>472</v>
      </c>
      <c r="F29" s="115">
        <v>0.25</v>
      </c>
      <c r="G29" s="115">
        <v>0.25</v>
      </c>
      <c r="H29" s="115">
        <v>0.25</v>
      </c>
      <c r="I29" s="115">
        <v>0.25</v>
      </c>
      <c r="J29" s="115">
        <v>0.25</v>
      </c>
      <c r="K29" s="151">
        <v>0.25</v>
      </c>
      <c r="L29" s="115" t="s">
        <v>56</v>
      </c>
      <c r="M29" s="225" t="s">
        <v>56</v>
      </c>
      <c r="N29" s="218"/>
      <c r="O29" s="348"/>
      <c r="P29" s="257"/>
      <c r="AI29" s="770"/>
      <c r="AJ29" s="770"/>
      <c r="AK29" s="770"/>
    </row>
    <row r="30" spans="2:43" ht="19.5" customHeight="1" thickBot="1" x14ac:dyDescent="0.3">
      <c r="B30" s="104">
        <f t="shared" si="1"/>
        <v>7.75</v>
      </c>
      <c r="C30" s="181">
        <f>100-VLOOKUP(B30,'[1]Pricing '!$A$4302:$K$4337,11,FALSE)</f>
        <v>-0.53689799999999366</v>
      </c>
      <c r="D30" s="305">
        <f t="shared" si="0"/>
        <v>-0.28689799999999366</v>
      </c>
      <c r="E30" s="1589" t="s">
        <v>60</v>
      </c>
      <c r="F30" s="1589"/>
      <c r="G30" s="1589"/>
      <c r="H30" s="1589"/>
      <c r="I30" s="1589"/>
      <c r="J30" s="1589"/>
      <c r="K30" s="1589"/>
      <c r="L30" s="1589"/>
      <c r="M30" s="1590"/>
      <c r="N30" s="1564" t="s">
        <v>309</v>
      </c>
      <c r="O30" s="1565"/>
      <c r="P30" s="1566"/>
      <c r="AE30" s="607"/>
      <c r="AF30" s="770"/>
      <c r="AG30" s="770"/>
      <c r="AH30" s="770"/>
      <c r="AI30" s="114"/>
      <c r="AJ30" s="114"/>
      <c r="AK30" s="114"/>
    </row>
    <row r="31" spans="2:43" ht="19.5" customHeight="1" x14ac:dyDescent="0.25">
      <c r="B31" s="104">
        <f t="shared" si="1"/>
        <v>7.875</v>
      </c>
      <c r="C31" s="181">
        <f>100-VLOOKUP(B31,'[1]Pricing '!$A$4302:$K$4337,11,FALSE)</f>
        <v>-1.0298939999999988</v>
      </c>
      <c r="D31" s="305">
        <f t="shared" si="0"/>
        <v>-0.77989399999999875</v>
      </c>
      <c r="E31" s="947" t="s">
        <v>61</v>
      </c>
      <c r="F31" s="481">
        <v>2</v>
      </c>
      <c r="G31" s="481">
        <v>2.5</v>
      </c>
      <c r="H31" s="481">
        <v>3</v>
      </c>
      <c r="I31" s="481">
        <v>3.5</v>
      </c>
      <c r="J31" s="481">
        <v>4</v>
      </c>
      <c r="K31" s="481" t="s">
        <v>56</v>
      </c>
      <c r="L31" s="401" t="s">
        <v>56</v>
      </c>
      <c r="M31" s="445" t="s">
        <v>56</v>
      </c>
      <c r="N31" s="1597" t="s">
        <v>308</v>
      </c>
      <c r="O31" s="1598"/>
      <c r="P31" s="1599"/>
      <c r="AE31" s="608"/>
      <c r="AF31" s="114"/>
      <c r="AG31" s="114"/>
      <c r="AH31" s="114"/>
      <c r="AI31" s="114"/>
      <c r="AJ31" s="114"/>
      <c r="AK31" s="114"/>
    </row>
    <row r="32" spans="2:43" ht="19.5" customHeight="1" thickBot="1" x14ac:dyDescent="0.3">
      <c r="B32" s="104">
        <f t="shared" si="1"/>
        <v>8</v>
      </c>
      <c r="C32" s="181">
        <f>100-VLOOKUP(B32,'[1]Pricing '!$A$4302:$K$4337,11,FALSE)</f>
        <v>-1.487166000000002</v>
      </c>
      <c r="D32" s="305">
        <f t="shared" si="0"/>
        <v>-1.237166000000002</v>
      </c>
      <c r="E32" s="948" t="s">
        <v>62</v>
      </c>
      <c r="F32" s="307">
        <v>1</v>
      </c>
      <c r="G32" s="307">
        <v>1</v>
      </c>
      <c r="H32" s="307">
        <v>1</v>
      </c>
      <c r="I32" s="307">
        <v>1</v>
      </c>
      <c r="J32" s="307">
        <v>1</v>
      </c>
      <c r="K32" s="307" t="s">
        <v>56</v>
      </c>
      <c r="L32" s="115" t="s">
        <v>56</v>
      </c>
      <c r="M32" s="225" t="s">
        <v>56</v>
      </c>
      <c r="N32" s="347"/>
      <c r="O32" s="348"/>
      <c r="P32" s="257"/>
      <c r="AE32" s="608"/>
      <c r="AF32" s="114"/>
      <c r="AG32" s="114"/>
      <c r="AH32" s="114"/>
      <c r="AI32" s="114"/>
      <c r="AJ32" s="114"/>
      <c r="AK32" s="114"/>
    </row>
    <row r="33" spans="2:37" ht="19.5" customHeight="1" thickBot="1" x14ac:dyDescent="0.3">
      <c r="B33" s="104">
        <f t="shared" si="1"/>
        <v>8.125</v>
      </c>
      <c r="C33" s="181">
        <f>100-VLOOKUP(B33,'[1]Pricing '!$A$4302:$K$4337,11,FALSE)</f>
        <v>-1.9831750000000028</v>
      </c>
      <c r="D33" s="305">
        <f t="shared" si="0"/>
        <v>-1.7331750000000028</v>
      </c>
      <c r="E33" s="940" t="s">
        <v>666</v>
      </c>
      <c r="F33" s="307">
        <v>0.25</v>
      </c>
      <c r="G33" s="307">
        <v>0.25</v>
      </c>
      <c r="H33" s="307">
        <v>0.25</v>
      </c>
      <c r="I33" s="307">
        <v>0.25</v>
      </c>
      <c r="J33" s="307">
        <v>0.375</v>
      </c>
      <c r="K33" s="307">
        <v>0.375</v>
      </c>
      <c r="L33" s="115">
        <v>0.5</v>
      </c>
      <c r="M33" s="225">
        <v>0.5</v>
      </c>
      <c r="N33" s="1564" t="s">
        <v>69</v>
      </c>
      <c r="O33" s="1565"/>
      <c r="P33" s="1566"/>
      <c r="R33" s="179"/>
      <c r="U33" s="5"/>
      <c r="AE33" s="608"/>
      <c r="AF33" s="114"/>
      <c r="AG33" s="114"/>
      <c r="AH33" s="114"/>
      <c r="AI33" s="114"/>
      <c r="AJ33" s="114"/>
      <c r="AK33" s="114"/>
    </row>
    <row r="34" spans="2:37" ht="19.5" customHeight="1" thickBot="1" x14ac:dyDescent="0.3">
      <c r="B34" s="104">
        <f t="shared" si="1"/>
        <v>8.25</v>
      </c>
      <c r="C34" s="181">
        <f>100-VLOOKUP(B34,'[1]Pricing '!$A$4302:$K$4337,11,FALSE)</f>
        <v>-2.4904999999999973</v>
      </c>
      <c r="D34" s="305">
        <f t="shared" si="0"/>
        <v>-2.2404999999999973</v>
      </c>
      <c r="M34" s="38"/>
      <c r="N34" s="218"/>
      <c r="O34" s="349"/>
      <c r="P34" s="257"/>
      <c r="R34" s="182"/>
      <c r="U34" s="5"/>
      <c r="AE34" s="608"/>
      <c r="AF34" s="114"/>
      <c r="AG34" s="114"/>
      <c r="AH34" s="114"/>
      <c r="AI34" s="114"/>
      <c r="AJ34" s="114"/>
      <c r="AK34" s="114"/>
    </row>
    <row r="35" spans="2:37" ht="19.5" customHeight="1" thickBot="1" x14ac:dyDescent="0.3">
      <c r="B35" s="104">
        <f t="shared" si="1"/>
        <v>8.375</v>
      </c>
      <c r="C35" s="181">
        <f>100-VLOOKUP(B35,'[1]Pricing '!$A$4302:$K$4337,11,FALSE)</f>
        <v>-2.9881929999999954</v>
      </c>
      <c r="D35" s="305">
        <f t="shared" si="0"/>
        <v>-2.7381929999999954</v>
      </c>
      <c r="E35" s="1516" t="s">
        <v>59</v>
      </c>
      <c r="F35" s="1516"/>
      <c r="G35" s="1517"/>
      <c r="M35" s="38"/>
      <c r="N35" s="1564" t="s">
        <v>65</v>
      </c>
      <c r="O35" s="1565"/>
      <c r="P35" s="1566"/>
      <c r="U35" s="5"/>
      <c r="AE35" s="608"/>
      <c r="AF35" s="114"/>
      <c r="AG35" s="114"/>
      <c r="AH35" s="114"/>
      <c r="AI35" s="114"/>
      <c r="AJ35" s="114"/>
      <c r="AK35" s="114"/>
    </row>
    <row r="36" spans="2:37" ht="19.5" customHeight="1" x14ac:dyDescent="0.25">
      <c r="B36" s="104">
        <f t="shared" si="1"/>
        <v>8.5</v>
      </c>
      <c r="C36" s="181">
        <f>100-VLOOKUP(B36,'[1]Pricing '!$A$4302:$K$4337,11,FALSE)</f>
        <v>-3.4867299999999943</v>
      </c>
      <c r="D36" s="305">
        <f t="shared" si="0"/>
        <v>-3.2367299999999943</v>
      </c>
      <c r="E36" s="639" t="s">
        <v>46</v>
      </c>
      <c r="F36" s="641"/>
      <c r="G36" s="642">
        <v>0</v>
      </c>
      <c r="M36" s="38"/>
      <c r="N36" s="218"/>
      <c r="O36" s="350"/>
      <c r="P36" s="257"/>
      <c r="U36" s="5"/>
      <c r="AE36" s="608"/>
      <c r="AF36" s="114"/>
      <c r="AG36" s="114"/>
      <c r="AH36" s="114"/>
      <c r="AI36" s="114"/>
      <c r="AJ36" s="114"/>
      <c r="AK36" s="114"/>
    </row>
    <row r="37" spans="2:37" ht="19.5" customHeight="1" thickBot="1" x14ac:dyDescent="0.3">
      <c r="B37" s="104">
        <f t="shared" si="1"/>
        <v>8.625</v>
      </c>
      <c r="C37" s="181">
        <f>100-VLOOKUP(B37,'[1]Pricing '!$A$4302:$K$4337,11,FALSE)</f>
        <v>-3.9754769999999979</v>
      </c>
      <c r="D37" s="305">
        <f t="shared" si="0"/>
        <v>-3.7254769999999979</v>
      </c>
      <c r="E37" s="640" t="s">
        <v>48</v>
      </c>
      <c r="F37" s="364"/>
      <c r="G37" s="79">
        <v>0</v>
      </c>
      <c r="M37" s="38"/>
      <c r="N37" s="1564" t="s">
        <v>534</v>
      </c>
      <c r="O37" s="1565"/>
      <c r="P37" s="1566"/>
      <c r="U37" s="5"/>
      <c r="W37" s="1518"/>
      <c r="X37" s="1518"/>
      <c r="Y37" s="1518"/>
      <c r="AE37" s="608"/>
      <c r="AF37" s="114"/>
      <c r="AG37" s="114"/>
      <c r="AH37" s="114"/>
      <c r="AI37" s="114"/>
      <c r="AJ37" s="114"/>
      <c r="AK37" s="114"/>
    </row>
    <row r="38" spans="2:37" ht="19.5" customHeight="1" x14ac:dyDescent="0.25">
      <c r="B38" s="104">
        <f t="shared" si="1"/>
        <v>8.75</v>
      </c>
      <c r="C38" s="181">
        <f>100-VLOOKUP(B38,'[1]Pricing '!$A$4302:$K$4337,11,FALSE)</f>
        <v>-4.4651180000000039</v>
      </c>
      <c r="D38" s="305">
        <f t="shared" si="0"/>
        <v>-4.2151180000000039</v>
      </c>
      <c r="H38" s="759"/>
      <c r="I38" s="759"/>
      <c r="J38" s="1608" t="s">
        <v>41</v>
      </c>
      <c r="K38" s="1606"/>
      <c r="L38" s="1607"/>
      <c r="M38" s="760"/>
      <c r="N38" s="218"/>
      <c r="O38" s="351"/>
      <c r="P38" s="257"/>
      <c r="U38" s="5"/>
      <c r="W38" s="1519"/>
      <c r="X38" s="1519"/>
      <c r="Y38" s="1519"/>
      <c r="AE38" s="608"/>
      <c r="AF38" s="114"/>
      <c r="AG38" s="114"/>
      <c r="AH38" s="114"/>
    </row>
    <row r="39" spans="2:37" ht="19.5" customHeight="1" thickBot="1" x14ac:dyDescent="0.25">
      <c r="B39" s="104">
        <f t="shared" si="1"/>
        <v>8.875</v>
      </c>
      <c r="C39" s="181">
        <f>100-VLOOKUP(B39,'[1]Pricing '!$A$4302:$K$4337,11,FALSE)</f>
        <v>-4.9495430000000056</v>
      </c>
      <c r="D39" s="305">
        <f t="shared" si="0"/>
        <v>-4.6995430000000056</v>
      </c>
      <c r="J39" s="1600">
        <v>-2.5</v>
      </c>
      <c r="K39" s="1601"/>
      <c r="L39" s="1602"/>
      <c r="M39" s="761"/>
      <c r="N39" s="1564" t="s">
        <v>68</v>
      </c>
      <c r="O39" s="1565"/>
      <c r="P39" s="1566"/>
      <c r="U39" s="5"/>
    </row>
    <row r="40" spans="2:37" ht="19.5" customHeight="1" x14ac:dyDescent="0.25">
      <c r="B40" s="104">
        <f t="shared" si="1"/>
        <v>9</v>
      </c>
      <c r="C40" s="181">
        <f>100-VLOOKUP(B40,'[1]Pricing '!$A$4302:$K$4337,11,FALSE)</f>
        <v>-5.4046909999999997</v>
      </c>
      <c r="D40" s="305">
        <f t="shared" si="0"/>
        <v>-5.1546909999999997</v>
      </c>
      <c r="E40" s="1606" t="s">
        <v>45</v>
      </c>
      <c r="F40" s="1606"/>
      <c r="G40" s="1607"/>
      <c r="M40" s="38"/>
      <c r="N40" s="194"/>
      <c r="O40" s="187"/>
      <c r="P40" s="193"/>
      <c r="U40" s="5"/>
    </row>
    <row r="41" spans="2:37" ht="19.5" customHeight="1" x14ac:dyDescent="0.25">
      <c r="B41" s="104">
        <f t="shared" si="1"/>
        <v>9.125</v>
      </c>
      <c r="C41" s="181">
        <f>100-VLOOKUP(B41,'[1]Pricing '!$A$4302:$K$4337,11,FALSE)</f>
        <v>-5.8505729999999971</v>
      </c>
      <c r="D41" s="305">
        <f t="shared" si="0"/>
        <v>-5.6005729999999971</v>
      </c>
      <c r="E41" s="338" t="s">
        <v>43</v>
      </c>
      <c r="F41" s="361"/>
      <c r="G41" s="362" t="s">
        <v>42</v>
      </c>
      <c r="M41" s="38"/>
      <c r="N41" s="1564" t="s">
        <v>312</v>
      </c>
      <c r="O41" s="1565"/>
      <c r="P41" s="1566"/>
      <c r="U41" s="5"/>
    </row>
    <row r="42" spans="2:37" ht="19.5" customHeight="1" x14ac:dyDescent="0.25">
      <c r="B42" s="104">
        <f t="shared" si="1"/>
        <v>9.25</v>
      </c>
      <c r="C42" s="181">
        <f>100-VLOOKUP(B42,'[1]Pricing '!$A$4302:$K$4337,11,FALSE)</f>
        <v>-6.3024659999999955</v>
      </c>
      <c r="D42" s="305">
        <f t="shared" ref="D42:D46" si="2">C42+$T$13</f>
        <v>-6.0524659999999955</v>
      </c>
      <c r="E42" s="1150" t="s">
        <v>46</v>
      </c>
      <c r="F42" s="1159"/>
      <c r="G42" s="1160" t="s">
        <v>47</v>
      </c>
      <c r="M42" s="38"/>
      <c r="N42" s="389"/>
      <c r="O42" s="390"/>
      <c r="P42" s="391"/>
      <c r="U42" s="5"/>
    </row>
    <row r="43" spans="2:37" ht="19.5" customHeight="1" x14ac:dyDescent="0.25">
      <c r="B43" s="104">
        <f t="shared" si="1"/>
        <v>9.375</v>
      </c>
      <c r="C43" s="181">
        <f>100-VLOOKUP(B43,'[1]Pricing '!$A$4302:$K$4337,11,FALSE)</f>
        <v>-6.7478279999999984</v>
      </c>
      <c r="D43" s="305">
        <f t="shared" si="2"/>
        <v>-6.4978279999999984</v>
      </c>
      <c r="E43" s="1158" t="s">
        <v>48</v>
      </c>
      <c r="F43" s="149"/>
      <c r="G43" s="171" t="s">
        <v>49</v>
      </c>
      <c r="M43" s="38"/>
      <c r="N43" s="389"/>
      <c r="O43" s="390"/>
      <c r="P43" s="391"/>
      <c r="U43" s="5"/>
    </row>
    <row r="44" spans="2:37" ht="19.5" customHeight="1" thickBot="1" x14ac:dyDescent="0.3">
      <c r="B44" s="104">
        <f t="shared" si="1"/>
        <v>9.5</v>
      </c>
      <c r="C44" s="181">
        <f>100-VLOOKUP(B44,'[1]Pricing '!$A$4302:$K$4337,11,FALSE)</f>
        <v>-7.1977370000000036</v>
      </c>
      <c r="D44" s="305">
        <f t="shared" si="2"/>
        <v>-6.9477370000000036</v>
      </c>
      <c r="E44" s="734"/>
      <c r="F44" s="14"/>
      <c r="G44" s="363"/>
      <c r="M44" s="38"/>
      <c r="N44" s="389"/>
      <c r="O44" s="390"/>
      <c r="P44" s="391"/>
      <c r="U44" s="5"/>
    </row>
    <row r="45" spans="2:37" ht="19.5" customHeight="1" x14ac:dyDescent="0.2">
      <c r="B45" s="104">
        <f t="shared" si="1"/>
        <v>9.625</v>
      </c>
      <c r="C45" s="181">
        <f>100-VLOOKUP(B45,'[1]Pricing '!$A$4302:$K$4337,11,FALSE)</f>
        <v>-7.6405869999999965</v>
      </c>
      <c r="D45" s="305">
        <f t="shared" si="2"/>
        <v>-7.3905869999999965</v>
      </c>
      <c r="I45" s="210"/>
      <c r="M45" s="475"/>
      <c r="N45" s="1564" t="s">
        <v>313</v>
      </c>
      <c r="O45" s="1565"/>
      <c r="P45" s="1566"/>
      <c r="U45" s="5"/>
    </row>
    <row r="46" spans="2:37" ht="19.5" customHeight="1" x14ac:dyDescent="0.2">
      <c r="B46" s="104">
        <f t="shared" si="1"/>
        <v>9.75</v>
      </c>
      <c r="C46" s="181">
        <f>100-VLOOKUP(B46,'[1]Pricing '!$A$4302:$K$4337,11,FALSE)</f>
        <v>-8.0760800000000046</v>
      </c>
      <c r="D46" s="305">
        <f t="shared" si="2"/>
        <v>-7.8260800000000046</v>
      </c>
      <c r="I46" s="145"/>
      <c r="J46" s="210"/>
      <c r="K46" s="210"/>
      <c r="L46" s="210"/>
      <c r="M46" s="628"/>
      <c r="N46" s="1564" t="s">
        <v>93</v>
      </c>
      <c r="O46" s="1565"/>
      <c r="P46" s="1566"/>
      <c r="U46" s="5"/>
    </row>
    <row r="47" spans="2:37" ht="19.5" customHeight="1" x14ac:dyDescent="0.2">
      <c r="B47" s="104">
        <f t="shared" si="1"/>
        <v>9.875</v>
      </c>
      <c r="C47" s="181">
        <f>100-VLOOKUP(B47,'[1]Pricing '!$A$4302:$K$4337,11,FALSE)</f>
        <v>-8.5133919999999961</v>
      </c>
      <c r="D47" s="305">
        <f t="shared" si="0"/>
        <v>-8.2633919999999961</v>
      </c>
      <c r="I47" s="145"/>
      <c r="J47" s="762"/>
      <c r="K47" s="763"/>
      <c r="L47" s="763"/>
      <c r="M47" s="628"/>
      <c r="N47" s="1564" t="s">
        <v>310</v>
      </c>
      <c r="O47" s="1565"/>
      <c r="P47" s="1566"/>
      <c r="U47" s="5"/>
    </row>
    <row r="48" spans="2:37" ht="19.5" customHeight="1" thickBot="1" x14ac:dyDescent="0.25">
      <c r="B48" s="388">
        <f t="shared" si="1"/>
        <v>10</v>
      </c>
      <c r="C48" s="532">
        <f>100-VLOOKUP(B48,'[1]Pricing '!$A$4302:$K$4337,11,FALSE)</f>
        <v>-8.9527489999999972</v>
      </c>
      <c r="D48" s="346">
        <f t="shared" si="0"/>
        <v>-8.7027489999999972</v>
      </c>
      <c r="I48" s="145"/>
      <c r="J48" s="764"/>
      <c r="K48" s="17"/>
      <c r="L48" s="17"/>
      <c r="M48" s="628"/>
      <c r="N48" s="1564" t="s">
        <v>311</v>
      </c>
      <c r="O48" s="1565"/>
      <c r="P48" s="1566"/>
      <c r="U48" s="5"/>
    </row>
    <row r="49" spans="2:29" ht="5.25" customHeight="1" x14ac:dyDescent="0.25">
      <c r="B49" s="104"/>
      <c r="C49" s="181"/>
      <c r="D49" s="181"/>
      <c r="E49" s="339"/>
      <c r="G49" s="343"/>
      <c r="M49" s="38"/>
      <c r="N49" s="389"/>
      <c r="O49" s="390"/>
      <c r="P49" s="391"/>
      <c r="U49" s="5"/>
    </row>
    <row r="50" spans="2:29" ht="8.25" customHeight="1" thickBot="1" x14ac:dyDescent="0.3">
      <c r="B50" s="388"/>
      <c r="C50" s="532"/>
      <c r="D50" s="532"/>
      <c r="E50" s="14"/>
      <c r="F50" s="734"/>
      <c r="G50" s="14"/>
      <c r="H50" s="765"/>
      <c r="I50" s="14"/>
      <c r="J50" s="14"/>
      <c r="K50" s="14"/>
      <c r="L50" s="14"/>
      <c r="M50" s="48"/>
      <c r="N50" s="340"/>
      <c r="O50" s="344"/>
      <c r="P50" s="341"/>
      <c r="U50" s="5"/>
    </row>
    <row r="51" spans="2:29" ht="19.5" customHeight="1" thickBot="1" x14ac:dyDescent="0.3">
      <c r="B51" s="1561" t="s">
        <v>155</v>
      </c>
      <c r="C51" s="1562"/>
      <c r="D51" s="1562"/>
      <c r="E51" s="1562"/>
      <c r="F51" s="1562"/>
      <c r="G51" s="1562"/>
      <c r="H51" s="1562"/>
      <c r="I51" s="1562"/>
      <c r="J51" s="1562"/>
      <c r="K51" s="1562"/>
      <c r="L51" s="1562"/>
      <c r="M51" s="1563"/>
      <c r="N51" s="342"/>
      <c r="O51" s="344"/>
      <c r="P51" s="341"/>
      <c r="U51" s="5"/>
    </row>
    <row r="52" spans="2:29" ht="33" customHeight="1" x14ac:dyDescent="0.2">
      <c r="B52" s="1579" t="s">
        <v>410</v>
      </c>
      <c r="C52" s="1580"/>
      <c r="D52" s="1580"/>
      <c r="E52" s="1580"/>
      <c r="F52" s="1580"/>
      <c r="G52" s="1580"/>
      <c r="H52" s="1580"/>
      <c r="I52" s="1580"/>
      <c r="J52" s="1580"/>
      <c r="K52" s="1580"/>
      <c r="L52" s="1580"/>
      <c r="M52" s="1580"/>
      <c r="N52" s="1580"/>
      <c r="O52" s="1580"/>
      <c r="P52" s="1581"/>
      <c r="U52" s="5"/>
    </row>
    <row r="53" spans="2:29" ht="3.75" customHeight="1" thickBot="1" x14ac:dyDescent="0.25">
      <c r="B53" s="352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40"/>
      <c r="U53" s="5"/>
    </row>
    <row r="54" spans="2:29" ht="27" customHeight="1" thickTop="1" thickBot="1" x14ac:dyDescent="0.3">
      <c r="B54" s="1558" t="s">
        <v>250</v>
      </c>
      <c r="C54" s="1559"/>
      <c r="D54" s="1560"/>
      <c r="E54" s="778"/>
      <c r="F54" s="779"/>
      <c r="G54" s="779"/>
      <c r="H54" s="779"/>
      <c r="I54" s="779"/>
      <c r="J54" s="779"/>
      <c r="K54" s="779"/>
      <c r="L54" s="779"/>
      <c r="M54" s="779"/>
      <c r="N54" s="779"/>
      <c r="O54" s="779"/>
      <c r="P54" s="779"/>
      <c r="U54" s="5"/>
      <c r="X54" s="577"/>
      <c r="Y54" s="577"/>
      <c r="Z54" s="577"/>
      <c r="AA54" s="577"/>
      <c r="AB54" s="577"/>
      <c r="AC54" s="577"/>
    </row>
    <row r="55" spans="2:29" ht="27" customHeight="1" thickBot="1" x14ac:dyDescent="0.3">
      <c r="B55" s="1609" t="s">
        <v>385</v>
      </c>
      <c r="C55" s="1610"/>
      <c r="D55" s="1611"/>
      <c r="E55" s="1541" t="s">
        <v>249</v>
      </c>
      <c r="F55" s="1542"/>
      <c r="G55" s="751" t="s">
        <v>642</v>
      </c>
      <c r="H55" s="751" t="s">
        <v>641</v>
      </c>
      <c r="I55" s="751" t="s">
        <v>158</v>
      </c>
      <c r="J55" s="751" t="s">
        <v>159</v>
      </c>
      <c r="K55" s="751" t="s">
        <v>160</v>
      </c>
      <c r="L55" s="752" t="s">
        <v>101</v>
      </c>
      <c r="M55" s="752" t="s">
        <v>102</v>
      </c>
      <c r="N55" s="1520"/>
      <c r="O55" s="1521"/>
      <c r="P55" s="1522"/>
      <c r="AA55" s="114"/>
      <c r="AB55" s="114"/>
      <c r="AC55" s="114"/>
    </row>
    <row r="56" spans="2:29" ht="37.5" customHeight="1" thickBot="1" x14ac:dyDescent="0.3">
      <c r="B56" s="780" t="s">
        <v>14</v>
      </c>
      <c r="C56" s="781" t="s">
        <v>15</v>
      </c>
      <c r="D56" s="782" t="s">
        <v>44</v>
      </c>
      <c r="E56" s="1547" t="s">
        <v>633</v>
      </c>
      <c r="F56" s="1548"/>
      <c r="G56" s="1548"/>
      <c r="H56" s="1548"/>
      <c r="I56" s="1548"/>
      <c r="J56" s="1548"/>
      <c r="K56" s="1548"/>
      <c r="L56" s="1548"/>
      <c r="M56" s="1549"/>
      <c r="N56" s="1523"/>
      <c r="O56" s="1524"/>
      <c r="P56" s="1525"/>
      <c r="U56" s="5"/>
      <c r="W56" s="169"/>
      <c r="X56" s="114"/>
      <c r="Y56" s="114"/>
      <c r="Z56" s="114"/>
      <c r="AA56" s="114"/>
      <c r="AB56" s="114"/>
      <c r="AC56" s="114"/>
    </row>
    <row r="57" spans="2:29" ht="19.5" customHeight="1" x14ac:dyDescent="0.25">
      <c r="B57" s="104">
        <v>7.375</v>
      </c>
      <c r="C57" s="181">
        <f>100-VLOOKUP(B57,'[1]Pricing '!$A$4521:$K$4553,11,FALSE)</f>
        <v>4.8400000000000034</v>
      </c>
      <c r="D57" s="181">
        <f t="shared" ref="D57:D83" si="3">C57+0.25</f>
        <v>5.0900000000000034</v>
      </c>
      <c r="E57" s="1539" t="s">
        <v>72</v>
      </c>
      <c r="F57" s="1540"/>
      <c r="G57" s="401">
        <v>-1.75</v>
      </c>
      <c r="H57" s="401">
        <v>-1.75</v>
      </c>
      <c r="I57" s="401">
        <v>-1.75</v>
      </c>
      <c r="J57" s="401">
        <v>-1.75</v>
      </c>
      <c r="K57" s="401">
        <v>-1.625</v>
      </c>
      <c r="L57" s="401">
        <v>-0.5</v>
      </c>
      <c r="M57" s="445">
        <v>0.375</v>
      </c>
      <c r="N57" s="1552" t="s">
        <v>412</v>
      </c>
      <c r="O57" s="1553"/>
      <c r="P57" s="1554"/>
      <c r="U57" s="5"/>
      <c r="W57" s="169"/>
      <c r="X57" s="114"/>
      <c r="Y57" s="114"/>
      <c r="Z57" s="114"/>
      <c r="AA57" s="114"/>
      <c r="AB57" s="114"/>
      <c r="AC57" s="114"/>
    </row>
    <row r="58" spans="2:29" ht="19.5" customHeight="1" thickBot="1" x14ac:dyDescent="0.3">
      <c r="B58" s="104">
        <f t="shared" ref="B58:B84" si="4">B57+0.125</f>
        <v>7.5</v>
      </c>
      <c r="C58" s="181">
        <f>100-VLOOKUP(B58,'[1]Pricing '!$A$4521:$K$4553,11,FALSE)</f>
        <v>4.2150000000000034</v>
      </c>
      <c r="D58" s="181">
        <f t="shared" si="3"/>
        <v>4.4650000000000034</v>
      </c>
      <c r="E58" s="1543" t="s">
        <v>53</v>
      </c>
      <c r="F58" s="1544"/>
      <c r="G58" s="584">
        <v>-1.625</v>
      </c>
      <c r="H58" s="584">
        <v>-1.625</v>
      </c>
      <c r="I58" s="584">
        <v>-1.625</v>
      </c>
      <c r="J58" s="584">
        <v>-1.625</v>
      </c>
      <c r="K58" s="584">
        <v>-1.5</v>
      </c>
      <c r="L58" s="584">
        <v>-0.25</v>
      </c>
      <c r="M58" s="574">
        <v>0.625</v>
      </c>
      <c r="N58" s="1555" t="s">
        <v>300</v>
      </c>
      <c r="O58" s="1556"/>
      <c r="P58" s="1557"/>
      <c r="U58" s="5"/>
      <c r="W58" s="1079"/>
      <c r="X58" s="114"/>
      <c r="Y58" s="114"/>
      <c r="Z58" s="114"/>
      <c r="AA58" s="114"/>
      <c r="AB58" s="114"/>
      <c r="AC58" s="114"/>
    </row>
    <row r="59" spans="2:29" ht="21" customHeight="1" x14ac:dyDescent="0.25">
      <c r="B59" s="104">
        <f t="shared" si="4"/>
        <v>7.625</v>
      </c>
      <c r="C59" s="181">
        <f>100-VLOOKUP(B59,'[1]Pricing '!$A$4521:$K$4553,11,FALSE)</f>
        <v>3.5900000000000034</v>
      </c>
      <c r="D59" s="181">
        <f t="shared" si="3"/>
        <v>3.8400000000000034</v>
      </c>
      <c r="E59" s="1543" t="s">
        <v>54</v>
      </c>
      <c r="F59" s="1544"/>
      <c r="G59" s="584">
        <v>-1.5</v>
      </c>
      <c r="H59" s="584">
        <v>-1.375</v>
      </c>
      <c r="I59" s="584">
        <v>-1.375</v>
      </c>
      <c r="J59" s="584">
        <v>-1.375</v>
      </c>
      <c r="K59" s="584">
        <v>-1.25</v>
      </c>
      <c r="L59" s="584">
        <v>0.75</v>
      </c>
      <c r="M59" s="574">
        <v>1.875</v>
      </c>
      <c r="N59" s="793"/>
      <c r="O59" s="794"/>
      <c r="P59" s="795"/>
      <c r="U59" s="5"/>
      <c r="W59" s="169"/>
      <c r="X59" s="114"/>
      <c r="Y59" s="114"/>
      <c r="Z59" s="114"/>
      <c r="AA59" s="114"/>
      <c r="AB59" s="114"/>
      <c r="AC59" s="114"/>
    </row>
    <row r="60" spans="2:29" ht="19.5" customHeight="1" x14ac:dyDescent="0.25">
      <c r="B60" s="104">
        <f t="shared" si="4"/>
        <v>7.75</v>
      </c>
      <c r="C60" s="181">
        <f>100-VLOOKUP(B60,'[1]Pricing '!$A$4521:$K$4553,11,FALSE)</f>
        <v>2.9650000000000034</v>
      </c>
      <c r="D60" s="181">
        <f t="shared" si="3"/>
        <v>3.2150000000000034</v>
      </c>
      <c r="E60" s="1543" t="s">
        <v>55</v>
      </c>
      <c r="F60" s="1544"/>
      <c r="G60" s="584">
        <v>-1</v>
      </c>
      <c r="H60" s="584">
        <v>-0.875</v>
      </c>
      <c r="I60" s="584">
        <v>-0.75</v>
      </c>
      <c r="J60" s="584">
        <v>-0.75</v>
      </c>
      <c r="K60" s="584">
        <v>-0.625</v>
      </c>
      <c r="L60" s="584">
        <v>1.25</v>
      </c>
      <c r="M60" s="574">
        <v>2.5</v>
      </c>
      <c r="N60" s="1567" t="s">
        <v>315</v>
      </c>
      <c r="O60" s="1568"/>
      <c r="P60" s="1569"/>
      <c r="U60" s="5"/>
      <c r="W60" s="169"/>
      <c r="X60" s="114"/>
      <c r="Y60" s="114"/>
      <c r="Z60" s="114"/>
      <c r="AA60" s="114"/>
      <c r="AB60" s="114"/>
      <c r="AC60" s="114"/>
    </row>
    <row r="61" spans="2:29" ht="19.5" customHeight="1" x14ac:dyDescent="0.25">
      <c r="B61" s="104">
        <f t="shared" si="4"/>
        <v>7.875</v>
      </c>
      <c r="C61" s="181">
        <f>100-VLOOKUP(B61,'[1]Pricing '!$A$4521:$K$4553,11,FALSE)</f>
        <v>2.4650000000000034</v>
      </c>
      <c r="D61" s="181">
        <f t="shared" si="3"/>
        <v>2.7150000000000034</v>
      </c>
      <c r="E61" s="1543" t="s">
        <v>57</v>
      </c>
      <c r="F61" s="1544"/>
      <c r="G61" s="584">
        <v>0</v>
      </c>
      <c r="H61" s="584">
        <v>0.125</v>
      </c>
      <c r="I61" s="584">
        <v>0.5</v>
      </c>
      <c r="J61" s="584">
        <v>1</v>
      </c>
      <c r="K61" s="584">
        <v>1.75</v>
      </c>
      <c r="L61" s="584">
        <v>2</v>
      </c>
      <c r="M61" s="574">
        <v>2.75</v>
      </c>
      <c r="N61" s="1567" t="s">
        <v>314</v>
      </c>
      <c r="O61" s="1568"/>
      <c r="P61" s="1569"/>
      <c r="U61" s="5"/>
      <c r="W61" s="169"/>
      <c r="X61" s="114"/>
      <c r="Y61" s="114"/>
      <c r="Z61" s="114"/>
      <c r="AA61" s="114"/>
      <c r="AB61" s="114"/>
      <c r="AC61" s="114"/>
    </row>
    <row r="62" spans="2:29" ht="19.5" customHeight="1" x14ac:dyDescent="0.25">
      <c r="B62" s="104">
        <f t="shared" si="4"/>
        <v>8</v>
      </c>
      <c r="C62" s="181">
        <f>100-VLOOKUP(B62,'[1]Pricing '!$A$4521:$K$4553,11,FALSE)</f>
        <v>1.9650000000000034</v>
      </c>
      <c r="D62" s="181">
        <f t="shared" si="3"/>
        <v>2.2150000000000034</v>
      </c>
      <c r="E62" s="1543" t="s">
        <v>58</v>
      </c>
      <c r="F62" s="1544"/>
      <c r="G62" s="584">
        <v>0.625</v>
      </c>
      <c r="H62" s="584">
        <v>1.125</v>
      </c>
      <c r="I62" s="584">
        <v>1.5</v>
      </c>
      <c r="J62" s="584">
        <v>2.125</v>
      </c>
      <c r="K62" s="584">
        <v>2.875</v>
      </c>
      <c r="L62" s="584" t="s">
        <v>56</v>
      </c>
      <c r="M62" s="574" t="s">
        <v>56</v>
      </c>
      <c r="N62" s="1567"/>
      <c r="O62" s="1568"/>
      <c r="P62" s="1569"/>
      <c r="U62" s="5"/>
    </row>
    <row r="63" spans="2:29" ht="19.5" customHeight="1" thickBot="1" x14ac:dyDescent="0.3">
      <c r="B63" s="104">
        <f t="shared" si="4"/>
        <v>8.125</v>
      </c>
      <c r="C63" s="181">
        <f>100-VLOOKUP(B63,'[1]Pricing '!$A$4521:$K$4553,11,FALSE)</f>
        <v>1.5900000000000034</v>
      </c>
      <c r="D63" s="181">
        <f t="shared" si="3"/>
        <v>1.8400000000000034</v>
      </c>
      <c r="E63" s="1545" t="s">
        <v>73</v>
      </c>
      <c r="F63" s="1546"/>
      <c r="G63" s="115">
        <v>1.375</v>
      </c>
      <c r="H63" s="115">
        <v>1.875</v>
      </c>
      <c r="I63" s="115">
        <v>2.375</v>
      </c>
      <c r="J63" s="115">
        <v>2.875</v>
      </c>
      <c r="K63" s="115" t="s">
        <v>56</v>
      </c>
      <c r="L63" s="115" t="s">
        <v>56</v>
      </c>
      <c r="M63" s="225" t="s">
        <v>56</v>
      </c>
      <c r="N63" s="1567" t="s">
        <v>66</v>
      </c>
      <c r="O63" s="1568"/>
      <c r="P63" s="1569"/>
      <c r="U63" s="5"/>
    </row>
    <row r="64" spans="2:29" ht="19.5" customHeight="1" thickBot="1" x14ac:dyDescent="0.25">
      <c r="B64" s="104">
        <f t="shared" si="4"/>
        <v>8.25</v>
      </c>
      <c r="C64" s="181">
        <f>100-VLOOKUP(B64,'[1]Pricing '!$A$4521:$K$4553,11,FALSE)</f>
        <v>1.2150000000000034</v>
      </c>
      <c r="D64" s="305">
        <f t="shared" si="3"/>
        <v>1.4650000000000034</v>
      </c>
      <c r="E64" s="1547" t="s">
        <v>629</v>
      </c>
      <c r="F64" s="1548"/>
      <c r="G64" s="1548"/>
      <c r="H64" s="1548"/>
      <c r="I64" s="1548"/>
      <c r="J64" s="1548"/>
      <c r="K64" s="1548"/>
      <c r="L64" s="1548"/>
      <c r="M64" s="1549"/>
      <c r="N64" s="1567"/>
      <c r="O64" s="1568"/>
      <c r="P64" s="1569"/>
      <c r="U64" s="5"/>
    </row>
    <row r="65" spans="2:30" ht="19.5" customHeight="1" x14ac:dyDescent="0.25">
      <c r="B65" s="104">
        <f t="shared" si="4"/>
        <v>8.375</v>
      </c>
      <c r="C65" s="181">
        <f>100-VLOOKUP(B65,'[1]Pricing '!$A$4521:$K$4553,11,FALSE)</f>
        <v>0.84000000000000341</v>
      </c>
      <c r="D65" s="181">
        <f t="shared" si="3"/>
        <v>1.0900000000000034</v>
      </c>
      <c r="E65" s="1550" t="s">
        <v>72</v>
      </c>
      <c r="F65" s="1551"/>
      <c r="G65" s="401">
        <v>-1.25</v>
      </c>
      <c r="H65" s="401">
        <v>-1.125</v>
      </c>
      <c r="I65" s="401">
        <v>-1</v>
      </c>
      <c r="J65" s="401">
        <v>-0.875</v>
      </c>
      <c r="K65" s="401">
        <v>-0.75</v>
      </c>
      <c r="L65" s="401">
        <v>-0.125</v>
      </c>
      <c r="M65" s="445" t="s">
        <v>56</v>
      </c>
      <c r="N65" s="1568" t="s">
        <v>309</v>
      </c>
      <c r="O65" s="1568"/>
      <c r="P65" s="1569"/>
    </row>
    <row r="66" spans="2:30" ht="19.5" customHeight="1" x14ac:dyDescent="0.25">
      <c r="B66" s="104">
        <f t="shared" si="4"/>
        <v>8.5</v>
      </c>
      <c r="C66" s="181">
        <f>100-VLOOKUP(B66,'[1]Pricing '!$A$4521:$K$4553,11,FALSE)</f>
        <v>0.46500000000000341</v>
      </c>
      <c r="D66" s="181">
        <f t="shared" si="3"/>
        <v>0.71500000000000341</v>
      </c>
      <c r="E66" s="1526" t="s">
        <v>53</v>
      </c>
      <c r="F66" s="1527"/>
      <c r="G66" s="584">
        <v>-1.125</v>
      </c>
      <c r="H66" s="584">
        <v>-1</v>
      </c>
      <c r="I66" s="584">
        <v>-0.875</v>
      </c>
      <c r="J66" s="584">
        <v>-0.75</v>
      </c>
      <c r="K66" s="584">
        <v>-0.625</v>
      </c>
      <c r="L66" s="584">
        <v>0.125</v>
      </c>
      <c r="M66" s="574" t="s">
        <v>56</v>
      </c>
      <c r="N66" s="1568" t="s">
        <v>308</v>
      </c>
      <c r="O66" s="1568"/>
      <c r="P66" s="1569"/>
    </row>
    <row r="67" spans="2:30" ht="19.5" customHeight="1" x14ac:dyDescent="0.25">
      <c r="B67" s="104">
        <f t="shared" si="4"/>
        <v>8.625</v>
      </c>
      <c r="C67" s="181">
        <f>100-VLOOKUP(B67,'[1]Pricing '!$A$4521:$K$4553,11,FALSE)</f>
        <v>9.0000000000003411E-2</v>
      </c>
      <c r="D67" s="181">
        <f t="shared" si="3"/>
        <v>0.34000000000000341</v>
      </c>
      <c r="E67" s="1526" t="s">
        <v>54</v>
      </c>
      <c r="F67" s="1527"/>
      <c r="G67" s="584">
        <v>-1</v>
      </c>
      <c r="H67" s="584">
        <v>-0.875</v>
      </c>
      <c r="I67" s="584">
        <v>-0.75</v>
      </c>
      <c r="J67" s="584">
        <v>-0.625</v>
      </c>
      <c r="K67" s="584">
        <v>-0.375</v>
      </c>
      <c r="L67" s="584">
        <v>0.625</v>
      </c>
      <c r="M67" s="574" t="s">
        <v>56</v>
      </c>
      <c r="N67" s="1568"/>
      <c r="O67" s="1568"/>
      <c r="P67" s="1569"/>
      <c r="U67" s="5"/>
      <c r="X67" s="169"/>
      <c r="Y67" s="169"/>
      <c r="Z67" s="169"/>
      <c r="AA67" s="169"/>
      <c r="AB67" s="169"/>
      <c r="AC67" s="169"/>
      <c r="AD67" s="169"/>
    </row>
    <row r="68" spans="2:30" ht="19.5" customHeight="1" x14ac:dyDescent="0.25">
      <c r="B68" s="104">
        <f t="shared" si="4"/>
        <v>8.75</v>
      </c>
      <c r="C68" s="181">
        <f>100-VLOOKUP(B68,'[1]Pricing '!$A$4521:$K$4553,11,FALSE)</f>
        <v>-0.15999999999999659</v>
      </c>
      <c r="D68" s="181">
        <f t="shared" si="3"/>
        <v>9.0000000000003411E-2</v>
      </c>
      <c r="E68" s="1526" t="s">
        <v>55</v>
      </c>
      <c r="F68" s="1527"/>
      <c r="G68" s="584">
        <v>-0.5</v>
      </c>
      <c r="H68" s="584">
        <v>-0.375</v>
      </c>
      <c r="I68" s="584">
        <v>-0.25</v>
      </c>
      <c r="J68" s="584">
        <v>0</v>
      </c>
      <c r="K68" s="584">
        <v>0.25</v>
      </c>
      <c r="L68" s="584">
        <v>1.125</v>
      </c>
      <c r="M68" s="574" t="s">
        <v>56</v>
      </c>
      <c r="N68" s="1568" t="s">
        <v>71</v>
      </c>
      <c r="O68" s="1568"/>
      <c r="P68" s="1569"/>
      <c r="U68" s="5"/>
      <c r="W68" s="339"/>
      <c r="X68" s="114"/>
      <c r="Y68" s="114"/>
      <c r="Z68" s="114"/>
      <c r="AA68" s="114"/>
      <c r="AB68" s="114"/>
      <c r="AC68" s="114"/>
      <c r="AD68" s="114"/>
    </row>
    <row r="69" spans="2:30" ht="19.5" customHeight="1" x14ac:dyDescent="0.25">
      <c r="B69" s="104">
        <f t="shared" si="4"/>
        <v>8.875</v>
      </c>
      <c r="C69" s="181">
        <f>100-VLOOKUP(B69,'[1]Pricing '!$A$4521:$K$4553,11,FALSE)</f>
        <v>-0.40999999999999659</v>
      </c>
      <c r="D69" s="181">
        <f t="shared" si="3"/>
        <v>-0.15999999999999659</v>
      </c>
      <c r="E69" s="1526" t="s">
        <v>57</v>
      </c>
      <c r="F69" s="1527"/>
      <c r="G69" s="584">
        <v>0</v>
      </c>
      <c r="H69" s="584">
        <v>0.125</v>
      </c>
      <c r="I69" s="584">
        <v>0.5</v>
      </c>
      <c r="J69" s="584">
        <v>1</v>
      </c>
      <c r="K69" s="584">
        <v>1.875</v>
      </c>
      <c r="L69" s="584">
        <v>1.75</v>
      </c>
      <c r="M69" s="574" t="s">
        <v>56</v>
      </c>
      <c r="N69" s="1568"/>
      <c r="O69" s="1568"/>
      <c r="P69" s="1569"/>
      <c r="U69" s="5"/>
      <c r="W69" s="339"/>
      <c r="X69" s="114"/>
      <c r="Y69" s="114"/>
      <c r="Z69" s="114"/>
      <c r="AA69" s="114"/>
      <c r="AB69" s="114"/>
      <c r="AC69" s="114"/>
      <c r="AD69" s="114"/>
    </row>
    <row r="70" spans="2:30" ht="19.5" customHeight="1" x14ac:dyDescent="0.25">
      <c r="B70" s="104">
        <f t="shared" si="4"/>
        <v>9</v>
      </c>
      <c r="C70" s="181">
        <f>100-VLOOKUP(B70,'[1]Pricing '!$A$4521:$K$4553,11,FALSE)</f>
        <v>-0.65999999999999659</v>
      </c>
      <c r="D70" s="181">
        <f t="shared" si="3"/>
        <v>-0.40999999999999659</v>
      </c>
      <c r="E70" s="1526" t="s">
        <v>58</v>
      </c>
      <c r="F70" s="1527"/>
      <c r="G70" s="584">
        <v>0.625</v>
      </c>
      <c r="H70" s="584">
        <v>1.125</v>
      </c>
      <c r="I70" s="584">
        <v>1.5</v>
      </c>
      <c r="J70" s="584">
        <v>2.125</v>
      </c>
      <c r="K70" s="584">
        <v>2.875</v>
      </c>
      <c r="L70" s="584" t="s">
        <v>56</v>
      </c>
      <c r="M70" s="574" t="s">
        <v>56</v>
      </c>
      <c r="N70" s="1568" t="s">
        <v>301</v>
      </c>
      <c r="O70" s="1568"/>
      <c r="P70" s="1569"/>
      <c r="U70" s="5"/>
      <c r="W70" s="339"/>
      <c r="X70" s="114"/>
      <c r="Y70" s="114"/>
      <c r="Z70" s="114"/>
      <c r="AA70" s="114"/>
      <c r="AB70" s="114"/>
      <c r="AC70" s="114"/>
      <c r="AD70" s="114"/>
    </row>
    <row r="71" spans="2:30" ht="19.5" customHeight="1" thickBot="1" x14ac:dyDescent="0.3">
      <c r="B71" s="104">
        <f t="shared" si="4"/>
        <v>9.125</v>
      </c>
      <c r="C71" s="181">
        <f>100-VLOOKUP(B71,'[1]Pricing '!$A$4521:$K$4553,11,FALSE)</f>
        <v>-0.90999999999999659</v>
      </c>
      <c r="D71" s="181">
        <f t="shared" si="3"/>
        <v>-0.65999999999999659</v>
      </c>
      <c r="E71" s="1528" t="s">
        <v>73</v>
      </c>
      <c r="F71" s="1529"/>
      <c r="G71" s="115">
        <v>1.375</v>
      </c>
      <c r="H71" s="115">
        <v>1.875</v>
      </c>
      <c r="I71" s="115">
        <v>2.375</v>
      </c>
      <c r="J71" s="115">
        <v>2.875</v>
      </c>
      <c r="K71" s="115" t="s">
        <v>56</v>
      </c>
      <c r="L71" s="115" t="s">
        <v>56</v>
      </c>
      <c r="M71" s="225" t="s">
        <v>56</v>
      </c>
      <c r="N71" s="1568" t="s">
        <v>80</v>
      </c>
      <c r="O71" s="1568"/>
      <c r="P71" s="1569"/>
      <c r="U71" s="5"/>
      <c r="W71" s="339"/>
      <c r="X71" s="114"/>
      <c r="Y71" s="114"/>
      <c r="Z71" s="114"/>
      <c r="AA71" s="114"/>
      <c r="AB71" s="114"/>
      <c r="AC71" s="114"/>
      <c r="AD71" s="114"/>
    </row>
    <row r="72" spans="2:30" ht="19.5" customHeight="1" thickBot="1" x14ac:dyDescent="0.3">
      <c r="B72" s="104">
        <f t="shared" si="4"/>
        <v>9.25</v>
      </c>
      <c r="C72" s="181">
        <f>100-VLOOKUP(B72,'[1]Pricing '!$A$4521:$K$4553,11,FALSE)</f>
        <v>-1.1599999999999966</v>
      </c>
      <c r="D72" s="181">
        <f t="shared" si="3"/>
        <v>-0.90999999999999659</v>
      </c>
      <c r="E72" s="1530" t="s">
        <v>630</v>
      </c>
      <c r="F72" s="1531"/>
      <c r="G72" s="1531"/>
      <c r="H72" s="1531"/>
      <c r="I72" s="1531"/>
      <c r="J72" s="1531"/>
      <c r="K72" s="1531"/>
      <c r="L72" s="1531"/>
      <c r="M72" s="1532"/>
      <c r="N72" s="1567" t="s">
        <v>90</v>
      </c>
      <c r="O72" s="1568"/>
      <c r="P72" s="1569"/>
      <c r="U72" s="5"/>
      <c r="W72" s="339"/>
      <c r="X72" s="114"/>
      <c r="Y72" s="114"/>
      <c r="Z72" s="114"/>
      <c r="AA72" s="114"/>
      <c r="AB72" s="114"/>
      <c r="AC72" s="114"/>
      <c r="AD72" s="114"/>
    </row>
    <row r="73" spans="2:30" ht="19.5" customHeight="1" x14ac:dyDescent="0.25">
      <c r="B73" s="104">
        <f t="shared" si="4"/>
        <v>9.375</v>
      </c>
      <c r="C73" s="181">
        <f>100-VLOOKUP(B73,'[1]Pricing '!$A$4521:$K$4553,11,FALSE)</f>
        <v>-1.4099999999999966</v>
      </c>
      <c r="D73" s="181">
        <f t="shared" si="3"/>
        <v>-1.1599999999999966</v>
      </c>
      <c r="E73" s="1550" t="s">
        <v>253</v>
      </c>
      <c r="F73" s="1551"/>
      <c r="G73" s="401">
        <v>0.25</v>
      </c>
      <c r="H73" s="401">
        <v>0.25</v>
      </c>
      <c r="I73" s="401">
        <v>0.5</v>
      </c>
      <c r="J73" s="401">
        <v>0.5</v>
      </c>
      <c r="K73" s="401">
        <v>0.5</v>
      </c>
      <c r="L73" s="401">
        <v>0.5</v>
      </c>
      <c r="M73" s="445">
        <v>0.75</v>
      </c>
      <c r="N73" s="1568" t="s">
        <v>302</v>
      </c>
      <c r="O73" s="1568"/>
      <c r="P73" s="1569"/>
      <c r="U73" s="5"/>
      <c r="W73" s="339"/>
      <c r="X73" s="114"/>
      <c r="Y73" s="114"/>
      <c r="Z73" s="114"/>
      <c r="AA73" s="114"/>
      <c r="AB73" s="114"/>
      <c r="AC73" s="114"/>
      <c r="AD73" s="114"/>
    </row>
    <row r="74" spans="2:30" ht="19.5" customHeight="1" x14ac:dyDescent="0.25">
      <c r="B74" s="104">
        <f t="shared" si="4"/>
        <v>9.5</v>
      </c>
      <c r="C74" s="181">
        <f>100-VLOOKUP(B74,'[1]Pricing '!$A$4521:$K$4553,11,FALSE)</f>
        <v>-1.6599999999999966</v>
      </c>
      <c r="D74" s="181">
        <f t="shared" si="3"/>
        <v>-1.4099999999999966</v>
      </c>
      <c r="E74" s="1526" t="s">
        <v>74</v>
      </c>
      <c r="F74" s="1527"/>
      <c r="G74" s="584">
        <v>0.125</v>
      </c>
      <c r="H74" s="584">
        <v>0.125</v>
      </c>
      <c r="I74" s="584">
        <v>0.25</v>
      </c>
      <c r="J74" s="584">
        <v>0.25</v>
      </c>
      <c r="K74" s="584">
        <v>0.25</v>
      </c>
      <c r="L74" s="584">
        <v>0.25</v>
      </c>
      <c r="M74" s="574">
        <v>0.5</v>
      </c>
      <c r="N74" s="1568" t="s">
        <v>303</v>
      </c>
      <c r="O74" s="1568"/>
      <c r="P74" s="1569"/>
    </row>
    <row r="75" spans="2:30" ht="19.5" customHeight="1" x14ac:dyDescent="0.25">
      <c r="B75" s="104">
        <f t="shared" si="4"/>
        <v>9.625</v>
      </c>
      <c r="C75" s="181">
        <f>100-VLOOKUP(B75,'[1]Pricing '!$A$4521:$K$4553,11,FALSE)</f>
        <v>-1.9099999999999966</v>
      </c>
      <c r="D75" s="181">
        <f t="shared" si="3"/>
        <v>-1.6599999999999966</v>
      </c>
      <c r="E75" s="1526" t="s">
        <v>75</v>
      </c>
      <c r="F75" s="1527"/>
      <c r="G75" s="584">
        <v>0</v>
      </c>
      <c r="H75" s="584">
        <v>0</v>
      </c>
      <c r="I75" s="584">
        <v>0.125</v>
      </c>
      <c r="J75" s="584">
        <v>0.125</v>
      </c>
      <c r="K75" s="584">
        <v>0.375</v>
      </c>
      <c r="L75" s="584">
        <v>0.75</v>
      </c>
      <c r="M75" s="574">
        <v>1</v>
      </c>
      <c r="N75" s="1568"/>
      <c r="O75" s="1568"/>
      <c r="P75" s="1569"/>
      <c r="U75" s="5">
        <v>-0.25</v>
      </c>
    </row>
    <row r="76" spans="2:30" ht="19.5" customHeight="1" x14ac:dyDescent="0.25">
      <c r="B76" s="104">
        <f t="shared" si="4"/>
        <v>9.75</v>
      </c>
      <c r="C76" s="181">
        <f>100-VLOOKUP(B76,'[1]Pricing '!$A$4521:$K$4553,11,FALSE)</f>
        <v>-2.1599999999999966</v>
      </c>
      <c r="D76" s="181">
        <f t="shared" si="3"/>
        <v>-1.9099999999999966</v>
      </c>
      <c r="E76" s="1526" t="s">
        <v>76</v>
      </c>
      <c r="F76" s="1527"/>
      <c r="G76" s="584">
        <v>0.375</v>
      </c>
      <c r="H76" s="584">
        <v>0.375</v>
      </c>
      <c r="I76" s="584">
        <v>0.375</v>
      </c>
      <c r="J76" s="584">
        <v>0.5</v>
      </c>
      <c r="K76" s="584">
        <v>0.75</v>
      </c>
      <c r="L76" s="584">
        <v>1.25</v>
      </c>
      <c r="M76" s="574">
        <v>1.5</v>
      </c>
      <c r="N76" s="1568" t="s">
        <v>70</v>
      </c>
      <c r="O76" s="1568"/>
      <c r="P76" s="1569"/>
      <c r="U76" s="5"/>
    </row>
    <row r="77" spans="2:30" ht="19.5" customHeight="1" x14ac:dyDescent="0.25">
      <c r="B77" s="104">
        <f t="shared" si="4"/>
        <v>9.875</v>
      </c>
      <c r="C77" s="181">
        <f>100-VLOOKUP(B77,'[1]Pricing '!$A$4521:$K$4553,11,FALSE)</f>
        <v>-2.4099999999999966</v>
      </c>
      <c r="D77" s="181">
        <f t="shared" si="3"/>
        <v>-2.1599999999999966</v>
      </c>
      <c r="E77" s="1526" t="s">
        <v>77</v>
      </c>
      <c r="F77" s="1527"/>
      <c r="G77" s="584">
        <v>1.75</v>
      </c>
      <c r="H77" s="584">
        <v>1.875</v>
      </c>
      <c r="I77" s="584">
        <v>2</v>
      </c>
      <c r="J77" s="584">
        <v>2.25</v>
      </c>
      <c r="K77" s="584">
        <v>3</v>
      </c>
      <c r="L77" s="584" t="s">
        <v>56</v>
      </c>
      <c r="M77" s="574" t="s">
        <v>56</v>
      </c>
      <c r="N77" s="1568"/>
      <c r="O77" s="1568"/>
      <c r="P77" s="1569"/>
      <c r="U77" s="5"/>
    </row>
    <row r="78" spans="2:30" ht="19.5" customHeight="1" x14ac:dyDescent="0.25">
      <c r="B78" s="104">
        <f t="shared" si="4"/>
        <v>10</v>
      </c>
      <c r="C78" s="181">
        <f>100-VLOOKUP(B78,'[1]Pricing '!$A$4521:$K$4553,11,FALSE)</f>
        <v>-2.6599999999999966</v>
      </c>
      <c r="D78" s="181">
        <f t="shared" si="3"/>
        <v>-2.4099999999999966</v>
      </c>
      <c r="E78" s="1526" t="s">
        <v>78</v>
      </c>
      <c r="F78" s="1527"/>
      <c r="G78" s="584">
        <v>0.5</v>
      </c>
      <c r="H78" s="584">
        <v>0.5</v>
      </c>
      <c r="I78" s="584">
        <v>0.625</v>
      </c>
      <c r="J78" s="584">
        <v>0.75</v>
      </c>
      <c r="K78" s="584">
        <v>1</v>
      </c>
      <c r="L78" s="584">
        <v>1</v>
      </c>
      <c r="M78" s="574" t="s">
        <v>56</v>
      </c>
      <c r="N78" s="1568" t="s">
        <v>305</v>
      </c>
      <c r="O78" s="1568"/>
      <c r="P78" s="1569"/>
      <c r="U78" s="5"/>
    </row>
    <row r="79" spans="2:30" ht="19.5" customHeight="1" x14ac:dyDescent="0.25">
      <c r="B79" s="104">
        <f t="shared" si="4"/>
        <v>10.125</v>
      </c>
      <c r="C79" s="181">
        <f>100-VLOOKUP(B79,'[1]Pricing '!$A$4521:$K$4553,11,FALSE)</f>
        <v>-2.9099999999999966</v>
      </c>
      <c r="D79" s="181">
        <f t="shared" si="3"/>
        <v>-2.6599999999999966</v>
      </c>
      <c r="E79" s="1526" t="s">
        <v>79</v>
      </c>
      <c r="F79" s="1527"/>
      <c r="G79" s="584">
        <v>0.5</v>
      </c>
      <c r="H79" s="584">
        <v>0.625</v>
      </c>
      <c r="I79" s="584">
        <v>0.75</v>
      </c>
      <c r="J79" s="584">
        <v>0.75</v>
      </c>
      <c r="K79" s="584">
        <v>1</v>
      </c>
      <c r="L79" s="584">
        <v>1</v>
      </c>
      <c r="M79" s="574" t="s">
        <v>56</v>
      </c>
      <c r="N79" s="1568" t="s">
        <v>304</v>
      </c>
      <c r="O79" s="1568"/>
      <c r="P79" s="1569"/>
      <c r="U79" s="5"/>
    </row>
    <row r="80" spans="2:30" ht="19.5" customHeight="1" x14ac:dyDescent="0.25">
      <c r="B80" s="104">
        <f>B79+0.125</f>
        <v>10.25</v>
      </c>
      <c r="C80" s="181">
        <f>100-VLOOKUP(B80,'[1]Pricing '!$A$4521:$K$4553,11,FALSE)</f>
        <v>-3.0349999999999966</v>
      </c>
      <c r="D80" s="181">
        <f t="shared" si="3"/>
        <v>-2.7849999999999966</v>
      </c>
      <c r="E80" s="1526" t="s">
        <v>491</v>
      </c>
      <c r="F80" s="1527"/>
      <c r="G80" s="584">
        <v>-2.125</v>
      </c>
      <c r="H80" s="584">
        <v>-2.125</v>
      </c>
      <c r="I80" s="584">
        <v>-2.125</v>
      </c>
      <c r="J80" s="584">
        <v>-2</v>
      </c>
      <c r="K80" s="584">
        <v>-1.75</v>
      </c>
      <c r="L80" s="584">
        <v>-1.125</v>
      </c>
      <c r="M80" s="574">
        <v>-0.875</v>
      </c>
      <c r="N80" s="1568"/>
      <c r="O80" s="1568"/>
      <c r="P80" s="1569"/>
      <c r="T80" s="483"/>
      <c r="U80" s="483"/>
      <c r="V80" s="483"/>
      <c r="W80" s="483"/>
      <c r="X80" s="483"/>
      <c r="Y80" s="483"/>
      <c r="Z80" s="483"/>
      <c r="AA80" s="483"/>
      <c r="AB80" s="483"/>
    </row>
    <row r="81" spans="2:28" ht="19.5" customHeight="1" x14ac:dyDescent="0.25">
      <c r="B81" s="104">
        <f t="shared" si="4"/>
        <v>10.375</v>
      </c>
      <c r="C81" s="181">
        <f>100-VLOOKUP(B81,'[1]Pricing '!$A$4521:$K$4553,11,FALSE)</f>
        <v>-3.1599999999999966</v>
      </c>
      <c r="D81" s="181">
        <f t="shared" si="3"/>
        <v>-2.9099999999999966</v>
      </c>
      <c r="E81" s="1526" t="s">
        <v>518</v>
      </c>
      <c r="F81" s="1527"/>
      <c r="G81" s="584">
        <v>-2.5</v>
      </c>
      <c r="H81" s="584">
        <v>-2.5</v>
      </c>
      <c r="I81" s="584">
        <v>-2.5</v>
      </c>
      <c r="J81" s="584">
        <v>-2.375</v>
      </c>
      <c r="K81" s="584">
        <v>-2.25</v>
      </c>
      <c r="L81" s="584">
        <v>-1.75</v>
      </c>
      <c r="M81" s="574">
        <v>-1.5</v>
      </c>
      <c r="N81" s="1568" t="s">
        <v>68</v>
      </c>
      <c r="O81" s="1568"/>
      <c r="P81" s="1569"/>
      <c r="T81" s="483"/>
      <c r="U81" s="483"/>
      <c r="V81" s="483"/>
      <c r="W81" s="483"/>
      <c r="X81" s="483"/>
      <c r="Y81" s="483"/>
      <c r="Z81" s="483"/>
      <c r="AA81" s="483"/>
      <c r="AB81" s="483"/>
    </row>
    <row r="82" spans="2:28" ht="19.5" customHeight="1" x14ac:dyDescent="0.25">
      <c r="B82" s="104">
        <f t="shared" si="4"/>
        <v>10.5</v>
      </c>
      <c r="C82" s="181">
        <f>100-VLOOKUP(B82,'[1]Pricing '!$A$4521:$K$4553,11,FALSE)</f>
        <v>-3.2849999999999966</v>
      </c>
      <c r="D82" s="181">
        <f t="shared" si="3"/>
        <v>-3.0349999999999966</v>
      </c>
      <c r="E82" s="1526" t="s">
        <v>247</v>
      </c>
      <c r="F82" s="1527"/>
      <c r="G82" s="584">
        <v>-1.375</v>
      </c>
      <c r="H82" s="584">
        <v>-1.25</v>
      </c>
      <c r="I82" s="584">
        <v>-0.875</v>
      </c>
      <c r="J82" s="584">
        <v>-0.875</v>
      </c>
      <c r="K82" s="584">
        <v>-0.875</v>
      </c>
      <c r="L82" s="1080">
        <v>-0.375</v>
      </c>
      <c r="M82" s="1081" t="s">
        <v>56</v>
      </c>
      <c r="N82" s="1568"/>
      <c r="O82" s="1568"/>
      <c r="P82" s="1569"/>
      <c r="U82" s="5"/>
    </row>
    <row r="83" spans="2:28" ht="19.5" customHeight="1" x14ac:dyDescent="0.25">
      <c r="B83" s="104">
        <f t="shared" si="4"/>
        <v>10.625</v>
      </c>
      <c r="C83" s="181">
        <f>100-VLOOKUP(B83,'[1]Pricing '!$A$4521:$K$4553,11,FALSE)</f>
        <v>-3.4099999999999966</v>
      </c>
      <c r="D83" s="181">
        <f t="shared" si="3"/>
        <v>-3.1599999999999966</v>
      </c>
      <c r="E83" s="1526" t="s">
        <v>80</v>
      </c>
      <c r="F83" s="1527"/>
      <c r="G83" s="584">
        <v>-1.75</v>
      </c>
      <c r="H83" s="584">
        <v>-1.625</v>
      </c>
      <c r="I83" s="584">
        <v>-1.25</v>
      </c>
      <c r="J83" s="584">
        <v>-1.25</v>
      </c>
      <c r="K83" s="584">
        <v>-1.25</v>
      </c>
      <c r="L83" s="1080">
        <v>-0.5</v>
      </c>
      <c r="M83" s="1081" t="s">
        <v>56</v>
      </c>
      <c r="N83" s="1568" t="s">
        <v>312</v>
      </c>
      <c r="O83" s="1568"/>
      <c r="P83" s="1569"/>
      <c r="U83" s="5"/>
    </row>
    <row r="84" spans="2:28" ht="19.5" customHeight="1" thickBot="1" x14ac:dyDescent="0.3">
      <c r="B84" s="104">
        <f t="shared" si="4"/>
        <v>10.75</v>
      </c>
      <c r="C84" s="181">
        <f>100-VLOOKUP(B84,'[1]Pricing '!$A$4521:$K$4553,11,FALSE)</f>
        <v>-3.5349999999999966</v>
      </c>
      <c r="D84" s="181">
        <f t="shared" ref="D84" si="5">C84+0.25</f>
        <v>-3.2849999999999966</v>
      </c>
      <c r="E84" s="1526" t="s">
        <v>248</v>
      </c>
      <c r="F84" s="1527"/>
      <c r="G84" s="584">
        <v>-0.875</v>
      </c>
      <c r="H84" s="584">
        <v>-0.75</v>
      </c>
      <c r="I84" s="584">
        <v>-0.375</v>
      </c>
      <c r="J84" s="584">
        <v>-0.25</v>
      </c>
      <c r="K84" s="584">
        <v>-0.125</v>
      </c>
      <c r="L84" s="584" t="s">
        <v>56</v>
      </c>
      <c r="M84" s="574" t="s">
        <v>56</v>
      </c>
      <c r="N84" s="1568" t="s">
        <v>313</v>
      </c>
      <c r="O84" s="1568"/>
      <c r="P84" s="1569"/>
      <c r="U84" s="5"/>
    </row>
    <row r="85" spans="2:28" ht="19.5" customHeight="1" x14ac:dyDescent="0.25">
      <c r="B85" s="783" t="s">
        <v>570</v>
      </c>
      <c r="C85" s="784"/>
      <c r="D85" s="784"/>
      <c r="E85" s="1526" t="s">
        <v>81</v>
      </c>
      <c r="F85" s="1527"/>
      <c r="G85" s="584">
        <v>-0.375</v>
      </c>
      <c r="H85" s="584">
        <v>-0.25</v>
      </c>
      <c r="I85" s="584">
        <v>0.125</v>
      </c>
      <c r="J85" s="584">
        <v>0.375</v>
      </c>
      <c r="K85" s="584">
        <v>0.375</v>
      </c>
      <c r="L85" s="584" t="s">
        <v>56</v>
      </c>
      <c r="M85" s="574" t="s">
        <v>56</v>
      </c>
      <c r="N85" s="1568" t="s">
        <v>93</v>
      </c>
      <c r="O85" s="1568"/>
      <c r="P85" s="1569"/>
      <c r="U85" s="5"/>
    </row>
    <row r="86" spans="2:28" ht="19.5" customHeight="1" x14ac:dyDescent="0.25">
      <c r="B86" s="635" t="s">
        <v>88</v>
      </c>
      <c r="C86" s="27"/>
      <c r="D86" s="223">
        <v>0.75</v>
      </c>
      <c r="E86" s="1526" t="s">
        <v>82</v>
      </c>
      <c r="F86" s="1527"/>
      <c r="G86" s="584">
        <v>0.5</v>
      </c>
      <c r="H86" s="584">
        <v>0.5</v>
      </c>
      <c r="I86" s="584">
        <v>0.75</v>
      </c>
      <c r="J86" s="584" t="s">
        <v>56</v>
      </c>
      <c r="K86" s="584" t="s">
        <v>56</v>
      </c>
      <c r="L86" s="584" t="s">
        <v>56</v>
      </c>
      <c r="M86" s="574" t="s">
        <v>56</v>
      </c>
      <c r="N86" s="1568" t="s">
        <v>452</v>
      </c>
      <c r="O86" s="1568"/>
      <c r="P86" s="1569"/>
      <c r="U86" s="5"/>
    </row>
    <row r="87" spans="2:28" ht="19.5" customHeight="1" x14ac:dyDescent="0.25">
      <c r="B87" s="635" t="s">
        <v>89</v>
      </c>
      <c r="C87" s="27"/>
      <c r="D87" s="223">
        <v>1</v>
      </c>
      <c r="E87" s="1526" t="s">
        <v>577</v>
      </c>
      <c r="F87" s="1527"/>
      <c r="G87" s="584">
        <v>2.25</v>
      </c>
      <c r="H87" s="584">
        <v>2.375</v>
      </c>
      <c r="I87" s="584">
        <v>2.75</v>
      </c>
      <c r="J87" s="584" t="s">
        <v>56</v>
      </c>
      <c r="K87" s="584" t="s">
        <v>56</v>
      </c>
      <c r="L87" s="584" t="s">
        <v>56</v>
      </c>
      <c r="M87" s="574" t="s">
        <v>56</v>
      </c>
      <c r="N87" s="1568"/>
      <c r="O87" s="1568"/>
      <c r="P87" s="1569"/>
      <c r="U87" s="5"/>
    </row>
    <row r="88" spans="2:28" ht="19.5" customHeight="1" thickBot="1" x14ac:dyDescent="0.3">
      <c r="B88" s="465" t="s">
        <v>188</v>
      </c>
      <c r="C88" s="78"/>
      <c r="D88" s="772">
        <v>1.5</v>
      </c>
      <c r="E88" s="1526" t="s">
        <v>83</v>
      </c>
      <c r="F88" s="1527"/>
      <c r="G88" s="584">
        <v>0.125</v>
      </c>
      <c r="H88" s="584">
        <v>0.125</v>
      </c>
      <c r="I88" s="584">
        <v>0.125</v>
      </c>
      <c r="J88" s="584">
        <v>0.125</v>
      </c>
      <c r="K88" s="584">
        <v>0.375</v>
      </c>
      <c r="L88" s="584">
        <v>0.375</v>
      </c>
      <c r="M88" s="574">
        <v>0.5</v>
      </c>
      <c r="N88" s="1568"/>
      <c r="O88" s="1568"/>
      <c r="P88" s="1569"/>
      <c r="U88" s="5"/>
    </row>
    <row r="89" spans="2:28" ht="19.5" customHeight="1" thickBot="1" x14ac:dyDescent="0.3">
      <c r="B89" s="773" t="s">
        <v>84</v>
      </c>
      <c r="C89" s="774"/>
      <c r="D89" s="774"/>
      <c r="E89" s="1526" t="s">
        <v>169</v>
      </c>
      <c r="F89" s="1527"/>
      <c r="G89" s="584">
        <v>0.25</v>
      </c>
      <c r="H89" s="584">
        <v>0.375</v>
      </c>
      <c r="I89" s="584">
        <v>0.375</v>
      </c>
      <c r="J89" s="584">
        <v>0.375</v>
      </c>
      <c r="K89" s="584">
        <v>0.5</v>
      </c>
      <c r="L89" s="584">
        <v>0.625</v>
      </c>
      <c r="M89" s="574" t="s">
        <v>56</v>
      </c>
      <c r="N89" s="1516" t="s">
        <v>41</v>
      </c>
      <c r="O89" s="1516"/>
      <c r="P89" s="1517"/>
      <c r="U89" s="5"/>
    </row>
    <row r="90" spans="2:28" ht="19.5" customHeight="1" x14ac:dyDescent="0.25">
      <c r="B90" s="723" t="s">
        <v>505</v>
      </c>
      <c r="D90" s="107">
        <v>0.125</v>
      </c>
      <c r="E90" s="1526" t="s">
        <v>369</v>
      </c>
      <c r="F90" s="1527"/>
      <c r="G90" s="584">
        <v>0.5</v>
      </c>
      <c r="H90" s="584">
        <v>0.5</v>
      </c>
      <c r="I90" s="584">
        <v>0.5</v>
      </c>
      <c r="J90" s="584">
        <v>0.5</v>
      </c>
      <c r="K90" s="584">
        <v>0.75</v>
      </c>
      <c r="L90" s="584">
        <v>1</v>
      </c>
      <c r="M90" s="574">
        <v>1.25</v>
      </c>
      <c r="N90" s="785" t="s">
        <v>85</v>
      </c>
      <c r="O90" s="210"/>
      <c r="P90" s="357">
        <v>100.5</v>
      </c>
      <c r="U90" s="5"/>
    </row>
    <row r="91" spans="2:28" ht="19.5" customHeight="1" x14ac:dyDescent="0.25">
      <c r="B91" s="723" t="s">
        <v>85</v>
      </c>
      <c r="D91" s="107">
        <v>0.75</v>
      </c>
      <c r="E91" s="1526" t="s">
        <v>472</v>
      </c>
      <c r="F91" s="1527"/>
      <c r="G91" s="584">
        <v>0.25</v>
      </c>
      <c r="H91" s="584">
        <v>0.25</v>
      </c>
      <c r="I91" s="584">
        <v>0.25</v>
      </c>
      <c r="J91" s="584">
        <v>0.25</v>
      </c>
      <c r="K91" s="584">
        <v>0.25</v>
      </c>
      <c r="L91" s="584">
        <v>0.25</v>
      </c>
      <c r="M91" s="574">
        <v>0.5</v>
      </c>
      <c r="N91" s="785" t="s">
        <v>86</v>
      </c>
      <c r="O91" s="210"/>
      <c r="P91" s="357">
        <v>101</v>
      </c>
      <c r="U91" s="5"/>
    </row>
    <row r="92" spans="2:28" ht="19.5" customHeight="1" x14ac:dyDescent="0.25">
      <c r="B92" s="723" t="s">
        <v>86</v>
      </c>
      <c r="D92" s="107">
        <v>0.375</v>
      </c>
      <c r="E92" s="1526" t="s">
        <v>539</v>
      </c>
      <c r="F92" s="1527"/>
      <c r="G92" s="584">
        <v>0.125</v>
      </c>
      <c r="H92" s="584">
        <v>0.125</v>
      </c>
      <c r="I92" s="584">
        <v>0.125</v>
      </c>
      <c r="J92" s="584">
        <v>0.25</v>
      </c>
      <c r="K92" s="584">
        <v>0.25</v>
      </c>
      <c r="L92" s="584">
        <v>0.375</v>
      </c>
      <c r="M92" s="574" t="s">
        <v>56</v>
      </c>
      <c r="N92" s="786" t="s">
        <v>537</v>
      </c>
      <c r="O92" s="27"/>
      <c r="P92" s="357">
        <v>102.5</v>
      </c>
      <c r="Q92" s="16"/>
      <c r="U92" s="5"/>
    </row>
    <row r="93" spans="2:28" ht="19.5" customHeight="1" thickBot="1" x14ac:dyDescent="0.3">
      <c r="B93" s="550" t="s">
        <v>87</v>
      </c>
      <c r="C93" s="14"/>
      <c r="D93" s="771">
        <v>0</v>
      </c>
      <c r="E93" s="1514" t="s">
        <v>666</v>
      </c>
      <c r="F93" s="1515"/>
      <c r="G93" s="918">
        <v>0.25</v>
      </c>
      <c r="H93" s="918">
        <v>0.25</v>
      </c>
      <c r="I93" s="918">
        <v>0.25</v>
      </c>
      <c r="J93" s="918">
        <v>0.25</v>
      </c>
      <c r="K93" s="918">
        <v>0.25</v>
      </c>
      <c r="L93" s="918">
        <v>0.375</v>
      </c>
      <c r="M93" s="919">
        <v>0.375</v>
      </c>
      <c r="N93" s="787"/>
      <c r="O93" s="78"/>
      <c r="P93" s="134"/>
      <c r="Q93" s="16"/>
      <c r="U93" s="5"/>
    </row>
    <row r="94" spans="2:28" ht="9.75" customHeight="1" thickBot="1" x14ac:dyDescent="0.25">
      <c r="B94" s="95"/>
      <c r="P94" s="38"/>
      <c r="Q94" s="16"/>
      <c r="U94" s="5"/>
    </row>
    <row r="95" spans="2:28" ht="9.75" customHeight="1" x14ac:dyDescent="0.2">
      <c r="B95" s="1570" t="s">
        <v>155</v>
      </c>
      <c r="C95" s="1571"/>
      <c r="D95" s="1571"/>
      <c r="E95" s="1571"/>
      <c r="F95" s="1571"/>
      <c r="G95" s="1571"/>
      <c r="H95" s="1571"/>
      <c r="I95" s="1571"/>
      <c r="J95" s="1571"/>
      <c r="K95" s="1571"/>
      <c r="L95" s="1571"/>
      <c r="M95" s="1571"/>
      <c r="N95" s="1571"/>
      <c r="O95" s="1571"/>
      <c r="P95" s="1572"/>
      <c r="U95" s="5"/>
    </row>
    <row r="96" spans="2:28" ht="7.5" customHeight="1" thickBot="1" x14ac:dyDescent="0.25">
      <c r="B96" s="1573"/>
      <c r="C96" s="1574"/>
      <c r="D96" s="1574"/>
      <c r="E96" s="1574"/>
      <c r="F96" s="1574"/>
      <c r="G96" s="1574"/>
      <c r="H96" s="1574"/>
      <c r="I96" s="1574"/>
      <c r="J96" s="1574"/>
      <c r="K96" s="1574"/>
      <c r="L96" s="1574"/>
      <c r="M96" s="1574"/>
      <c r="N96" s="1574"/>
      <c r="O96" s="1574"/>
      <c r="P96" s="1575"/>
      <c r="U96" s="5"/>
    </row>
    <row r="97" spans="2:21" ht="16.5" x14ac:dyDescent="0.25">
      <c r="B97" s="1250" t="s">
        <v>533</v>
      </c>
      <c r="C97" s="1251"/>
      <c r="D97" s="1251"/>
      <c r="E97" s="1251"/>
      <c r="F97" s="1251"/>
      <c r="G97" s="1251"/>
      <c r="H97" s="1251"/>
      <c r="I97" s="1251"/>
      <c r="J97" s="1251"/>
      <c r="K97" s="1251"/>
      <c r="L97" s="1251"/>
      <c r="M97" s="1251"/>
      <c r="N97" s="1251"/>
      <c r="O97" s="1251"/>
      <c r="P97" s="1252"/>
      <c r="U97" s="5"/>
    </row>
    <row r="98" spans="2:21" ht="16.5" x14ac:dyDescent="0.25">
      <c r="B98" s="1387" t="s">
        <v>10</v>
      </c>
      <c r="C98" s="1388"/>
      <c r="D98" s="1388"/>
      <c r="E98" s="1388"/>
      <c r="F98" s="1388"/>
      <c r="G98" s="1388"/>
      <c r="H98" s="1388"/>
      <c r="I98" s="1388"/>
      <c r="J98" s="1388"/>
      <c r="K98" s="1388"/>
      <c r="L98" s="1388"/>
      <c r="M98" s="1388"/>
      <c r="N98" s="1388"/>
      <c r="O98" s="1388"/>
      <c r="P98" s="1389"/>
      <c r="U98" s="5"/>
    </row>
    <row r="99" spans="2:21" ht="17.25" thickBot="1" x14ac:dyDescent="0.3">
      <c r="B99" s="1275" t="s">
        <v>23</v>
      </c>
      <c r="C99" s="1276"/>
      <c r="D99" s="1276"/>
      <c r="E99" s="1276"/>
      <c r="F99" s="1276"/>
      <c r="G99" s="1276"/>
      <c r="H99" s="1276"/>
      <c r="I99" s="1276"/>
      <c r="J99" s="1276"/>
      <c r="K99" s="1276"/>
      <c r="L99" s="1276"/>
      <c r="M99" s="1276"/>
      <c r="N99" s="1276"/>
      <c r="O99" s="1276"/>
      <c r="P99" s="1277"/>
      <c r="U99" s="5"/>
    </row>
    <row r="100" spans="2:21" ht="20.25" x14ac:dyDescent="0.2">
      <c r="C100" s="153"/>
      <c r="D100" s="92"/>
      <c r="E100" s="92"/>
      <c r="F100" s="92"/>
      <c r="G100" s="92"/>
      <c r="H100" s="92"/>
      <c r="I100" s="92"/>
      <c r="J100" s="91"/>
      <c r="K100" s="91"/>
      <c r="L100" s="153"/>
      <c r="M100" s="91"/>
      <c r="N100" s="91"/>
      <c r="O100" s="150"/>
      <c r="P100" s="150"/>
      <c r="U100" s="5"/>
    </row>
    <row r="101" spans="2:21" ht="20.25" x14ac:dyDescent="0.2">
      <c r="C101" s="153"/>
      <c r="D101" s="155"/>
      <c r="E101" s="155"/>
      <c r="F101" s="155"/>
      <c r="G101" s="155"/>
      <c r="H101" s="155"/>
      <c r="I101" s="155"/>
      <c r="J101" s="156"/>
      <c r="K101" s="156"/>
      <c r="L101" s="153"/>
      <c r="M101" s="156"/>
      <c r="N101" s="156"/>
      <c r="O101" s="150"/>
      <c r="P101" s="150"/>
      <c r="U101" s="5"/>
    </row>
    <row r="102" spans="2:21" ht="20.25" x14ac:dyDescent="0.2">
      <c r="C102" s="153"/>
      <c r="D102" s="155"/>
      <c r="E102" s="155"/>
      <c r="F102" s="155"/>
      <c r="G102" s="155"/>
      <c r="H102" s="155"/>
      <c r="I102" s="155"/>
      <c r="J102" s="156"/>
      <c r="K102" s="156"/>
      <c r="M102" s="156"/>
      <c r="N102" s="156"/>
      <c r="U102" s="5"/>
    </row>
    <row r="103" spans="2:21" x14ac:dyDescent="0.2">
      <c r="U103" s="5"/>
    </row>
    <row r="104" spans="2:21" x14ac:dyDescent="0.2">
      <c r="U104" s="5"/>
    </row>
  </sheetData>
  <mergeCells count="119">
    <mergeCell ref="N26:P26"/>
    <mergeCell ref="N46:P46"/>
    <mergeCell ref="E40:G40"/>
    <mergeCell ref="J38:L38"/>
    <mergeCell ref="B52:P52"/>
    <mergeCell ref="N48:P48"/>
    <mergeCell ref="N86:P86"/>
    <mergeCell ref="N87:P87"/>
    <mergeCell ref="N88:P88"/>
    <mergeCell ref="N74:P74"/>
    <mergeCell ref="N75:P75"/>
    <mergeCell ref="N76:P76"/>
    <mergeCell ref="N77:P77"/>
    <mergeCell ref="N78:P78"/>
    <mergeCell ref="N79:P79"/>
    <mergeCell ref="N80:P80"/>
    <mergeCell ref="N81:P81"/>
    <mergeCell ref="N82:P82"/>
    <mergeCell ref="N85:P85"/>
    <mergeCell ref="N84:P84"/>
    <mergeCell ref="B55:D55"/>
    <mergeCell ref="N41:P41"/>
    <mergeCell ref="N45:P45"/>
    <mergeCell ref="B2:D2"/>
    <mergeCell ref="N2:P2"/>
    <mergeCell ref="B9:P10"/>
    <mergeCell ref="B12:P12"/>
    <mergeCell ref="B3:D3"/>
    <mergeCell ref="B4:D4"/>
    <mergeCell ref="B5:D5"/>
    <mergeCell ref="B6:D6"/>
    <mergeCell ref="N47:P47"/>
    <mergeCell ref="E27:M27"/>
    <mergeCell ref="E30:M30"/>
    <mergeCell ref="E35:G35"/>
    <mergeCell ref="N19:P19"/>
    <mergeCell ref="N20:P20"/>
    <mergeCell ref="N22:P22"/>
    <mergeCell ref="N23:P23"/>
    <mergeCell ref="N28:P28"/>
    <mergeCell ref="N30:P30"/>
    <mergeCell ref="N31:P31"/>
    <mergeCell ref="N33:P33"/>
    <mergeCell ref="N35:P35"/>
    <mergeCell ref="B13:P14"/>
    <mergeCell ref="J39:L39"/>
    <mergeCell ref="B20:D20"/>
    <mergeCell ref="B99:P99"/>
    <mergeCell ref="N60:P60"/>
    <mergeCell ref="N61:P61"/>
    <mergeCell ref="N62:P62"/>
    <mergeCell ref="N63:P63"/>
    <mergeCell ref="N64:P64"/>
    <mergeCell ref="N65:P65"/>
    <mergeCell ref="N66:P66"/>
    <mergeCell ref="N67:P67"/>
    <mergeCell ref="N68:P68"/>
    <mergeCell ref="N69:P69"/>
    <mergeCell ref="N70:P70"/>
    <mergeCell ref="N71:P71"/>
    <mergeCell ref="N72:P72"/>
    <mergeCell ref="N73:P73"/>
    <mergeCell ref="E88:F88"/>
    <mergeCell ref="E89:F89"/>
    <mergeCell ref="N83:P83"/>
    <mergeCell ref="E79:F79"/>
    <mergeCell ref="E80:F80"/>
    <mergeCell ref="E81:F81"/>
    <mergeCell ref="E74:F74"/>
    <mergeCell ref="E76:F76"/>
    <mergeCell ref="B95:P96"/>
    <mergeCell ref="B97:P97"/>
    <mergeCell ref="B98:P98"/>
    <mergeCell ref="B21:D21"/>
    <mergeCell ref="B16:P16"/>
    <mergeCell ref="E20:M20"/>
    <mergeCell ref="E75:F75"/>
    <mergeCell ref="E57:F57"/>
    <mergeCell ref="E55:F55"/>
    <mergeCell ref="E58:F58"/>
    <mergeCell ref="E59:F59"/>
    <mergeCell ref="E60:F60"/>
    <mergeCell ref="E61:F61"/>
    <mergeCell ref="E62:F62"/>
    <mergeCell ref="E63:F63"/>
    <mergeCell ref="E64:M64"/>
    <mergeCell ref="E65:F65"/>
    <mergeCell ref="E73:F73"/>
    <mergeCell ref="N57:P57"/>
    <mergeCell ref="N58:P58"/>
    <mergeCell ref="E56:M56"/>
    <mergeCell ref="B54:D54"/>
    <mergeCell ref="B51:M51"/>
    <mergeCell ref="N37:P37"/>
    <mergeCell ref="N39:P39"/>
    <mergeCell ref="E93:F93"/>
    <mergeCell ref="N89:P89"/>
    <mergeCell ref="W37:Y37"/>
    <mergeCell ref="W38:Y38"/>
    <mergeCell ref="N55:P55"/>
    <mergeCell ref="N56:P56"/>
    <mergeCell ref="E87:F87"/>
    <mergeCell ref="E90:F90"/>
    <mergeCell ref="E91:F91"/>
    <mergeCell ref="E92:F92"/>
    <mergeCell ref="E66:F66"/>
    <mergeCell ref="E67:F67"/>
    <mergeCell ref="E68:F68"/>
    <mergeCell ref="E69:F69"/>
    <mergeCell ref="E70:F70"/>
    <mergeCell ref="E71:F71"/>
    <mergeCell ref="E83:F83"/>
    <mergeCell ref="E84:F84"/>
    <mergeCell ref="E85:F85"/>
    <mergeCell ref="E86:F86"/>
    <mergeCell ref="E72:M72"/>
    <mergeCell ref="E77:F77"/>
    <mergeCell ref="E82:F82"/>
    <mergeCell ref="E78:F78"/>
  </mergeCells>
  <phoneticPr fontId="101" type="noConversion"/>
  <hyperlinks>
    <hyperlink ref="D11" r:id="rId1" display="Lockdesk@amwestfunding.com" xr:uid="{4E296196-B2A9-4322-ACBD-F3E5A6FBDE07}"/>
    <hyperlink ref="B6" r:id="rId2" xr:uid="{C3CB7040-7A87-4FA5-9054-E5F088B1A064}"/>
    <hyperlink ref="B19:D19" r:id="rId3" display="Click For Guideline" xr:uid="{88C53742-EE20-4276-A4DB-31D501A32FB5}"/>
  </hyperlinks>
  <printOptions horizontalCentered="1" verticalCentered="1"/>
  <pageMargins left="0.1" right="0.1" top="0.1" bottom="0.1" header="0.1" footer="0.1"/>
  <pageSetup paperSize="5" scale="50" orientation="portrait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0A6F-E141-4E64-8D00-5B03E0E731F4}">
  <sheetPr codeName="Sheet6">
    <pageSetUpPr fitToPage="1"/>
  </sheetPr>
  <dimension ref="B1:AG163"/>
  <sheetViews>
    <sheetView topLeftCell="A13" zoomScale="70" zoomScaleNormal="70" zoomScalePageLayoutView="55" workbookViewId="0">
      <selection activeCell="O33" sqref="O33"/>
    </sheetView>
  </sheetViews>
  <sheetFormatPr defaultColWidth="8.85546875" defaultRowHeight="14.25" x14ac:dyDescent="0.2"/>
  <cols>
    <col min="1" max="1" width="2.140625" style="5" customWidth="1"/>
    <col min="2" max="2" width="8.42578125" style="5" customWidth="1"/>
    <col min="3" max="3" width="5.42578125" style="5" customWidth="1"/>
    <col min="4" max="4" width="15.85546875" style="5" customWidth="1"/>
    <col min="5" max="6" width="13" style="5" customWidth="1"/>
    <col min="7" max="7" width="24" style="5" customWidth="1"/>
    <col min="8" max="8" width="20.85546875" style="5" customWidth="1"/>
    <col min="9" max="11" width="12" style="5" customWidth="1"/>
    <col min="12" max="12" width="12.5703125" style="5" bestFit="1" customWidth="1"/>
    <col min="13" max="16" width="12" style="5" customWidth="1"/>
    <col min="17" max="17" width="7.5703125" style="5" customWidth="1"/>
    <col min="18" max="20" width="8.85546875" style="5"/>
    <col min="21" max="21" width="8.85546875" style="172"/>
    <col min="22" max="22" width="23.42578125" style="5" customWidth="1"/>
    <col min="23" max="16384" width="8.85546875" style="5"/>
  </cols>
  <sheetData>
    <row r="1" spans="2:22" ht="17.25" customHeight="1" x14ac:dyDescent="0.25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327" t="s">
        <v>722</v>
      </c>
    </row>
    <row r="2" spans="2:22" ht="17.25" customHeight="1" x14ac:dyDescent="0.25">
      <c r="B2" s="1366" t="s">
        <v>0</v>
      </c>
      <c r="C2" s="1367"/>
      <c r="D2" s="1368"/>
      <c r="E2" s="27"/>
      <c r="F2" s="27"/>
      <c r="G2" s="27"/>
      <c r="H2" s="27"/>
      <c r="I2" s="117"/>
      <c r="J2" s="27"/>
      <c r="K2" s="27"/>
      <c r="L2" s="27"/>
      <c r="M2" s="27"/>
      <c r="N2" s="1366"/>
      <c r="O2" s="1367"/>
      <c r="P2" s="1368"/>
    </row>
    <row r="3" spans="2:22" ht="17.25" customHeight="1" x14ac:dyDescent="0.25">
      <c r="B3" s="1272" t="s">
        <v>1</v>
      </c>
      <c r="C3" s="1273"/>
      <c r="D3" s="1274"/>
      <c r="E3" s="27"/>
      <c r="F3" s="27"/>
      <c r="G3" s="27"/>
      <c r="H3" s="27"/>
      <c r="I3" s="27"/>
      <c r="J3" s="27"/>
      <c r="K3" s="27"/>
      <c r="L3" s="27"/>
      <c r="M3" s="27"/>
      <c r="N3" s="309"/>
      <c r="O3" s="27"/>
      <c r="P3" s="310"/>
    </row>
    <row r="4" spans="2:22" ht="17.25" customHeight="1" x14ac:dyDescent="0.25">
      <c r="B4" s="1272" t="s">
        <v>2</v>
      </c>
      <c r="C4" s="1273"/>
      <c r="D4" s="1274"/>
      <c r="E4" s="27"/>
      <c r="F4" s="27"/>
      <c r="G4" s="27"/>
      <c r="H4" s="27"/>
      <c r="I4" s="27"/>
      <c r="J4" s="27"/>
      <c r="K4" s="27"/>
      <c r="L4" s="27"/>
      <c r="M4" s="27"/>
      <c r="N4" s="309"/>
      <c r="O4" s="27"/>
      <c r="P4" s="310"/>
    </row>
    <row r="5" spans="2:22" ht="17.25" customHeight="1" x14ac:dyDescent="0.25">
      <c r="B5" s="1272" t="s">
        <v>3</v>
      </c>
      <c r="C5" s="1273"/>
      <c r="D5" s="1274"/>
      <c r="E5" s="157"/>
      <c r="F5" s="27"/>
      <c r="G5" s="27"/>
      <c r="H5" s="27"/>
      <c r="I5" s="27"/>
      <c r="J5" s="27"/>
      <c r="K5" s="27"/>
      <c r="L5" s="27"/>
      <c r="M5" s="27"/>
      <c r="N5" s="309"/>
      <c r="O5" s="27"/>
      <c r="P5" s="310"/>
    </row>
    <row r="6" spans="2:22" ht="17.25" customHeight="1" x14ac:dyDescent="0.25">
      <c r="B6" s="1266" t="s">
        <v>4</v>
      </c>
      <c r="C6" s="1267"/>
      <c r="D6" s="1268"/>
      <c r="E6" s="157"/>
      <c r="F6" s="27"/>
      <c r="G6" s="27"/>
      <c r="H6" s="27"/>
      <c r="I6" s="27"/>
      <c r="J6" s="27"/>
      <c r="K6" s="27"/>
      <c r="L6" s="27"/>
      <c r="M6" s="27"/>
      <c r="N6" s="311"/>
      <c r="O6" s="105"/>
      <c r="P6" s="312"/>
      <c r="U6" s="5"/>
    </row>
    <row r="7" spans="2:22" ht="17.25" customHeight="1" x14ac:dyDescent="0.25">
      <c r="B7" s="27"/>
      <c r="C7" s="27"/>
      <c r="D7" s="719"/>
      <c r="E7" s="27"/>
      <c r="F7" s="117" t="s">
        <v>5</v>
      </c>
      <c r="G7" s="27"/>
      <c r="H7" s="27"/>
      <c r="I7" s="117"/>
      <c r="J7" s="1255" t="s">
        <v>6</v>
      </c>
      <c r="K7" s="1255"/>
      <c r="L7" s="315">
        <f>CES!L7</f>
        <v>45950</v>
      </c>
      <c r="M7" s="576" t="str">
        <f>CES!M7</f>
        <v>8:00 AM PST</v>
      </c>
      <c r="N7" s="27"/>
      <c r="O7" s="27"/>
      <c r="P7" s="27"/>
      <c r="U7" s="5"/>
    </row>
    <row r="8" spans="2:22" ht="3.75" customHeight="1" thickBot="1" x14ac:dyDescent="0.3">
      <c r="B8" s="345"/>
      <c r="C8" s="27"/>
      <c r="D8" s="78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U8" s="5"/>
    </row>
    <row r="9" spans="2:22" ht="9.75" customHeight="1" x14ac:dyDescent="0.2">
      <c r="B9" s="1579" t="s">
        <v>38</v>
      </c>
      <c r="C9" s="1580"/>
      <c r="D9" s="1580"/>
      <c r="E9" s="1580"/>
      <c r="F9" s="1580"/>
      <c r="G9" s="1580"/>
      <c r="H9" s="1580"/>
      <c r="I9" s="1580"/>
      <c r="J9" s="1580"/>
      <c r="K9" s="1580"/>
      <c r="L9" s="1580"/>
      <c r="M9" s="1580"/>
      <c r="N9" s="1580"/>
      <c r="O9" s="1580"/>
      <c r="P9" s="1581"/>
      <c r="U9" s="5"/>
    </row>
    <row r="10" spans="2:22" ht="15" customHeight="1" thickBot="1" x14ac:dyDescent="0.25">
      <c r="B10" s="1582"/>
      <c r="C10" s="1583"/>
      <c r="D10" s="1583"/>
      <c r="E10" s="1583"/>
      <c r="F10" s="1583"/>
      <c r="G10" s="1583"/>
      <c r="H10" s="1583"/>
      <c r="I10" s="1583"/>
      <c r="J10" s="1583"/>
      <c r="K10" s="1583"/>
      <c r="L10" s="1583"/>
      <c r="M10" s="1583"/>
      <c r="N10" s="1583"/>
      <c r="O10" s="1583"/>
      <c r="P10" s="1584"/>
      <c r="U10" s="5"/>
    </row>
    <row r="11" spans="2:22" ht="24" customHeight="1" thickBot="1" x14ac:dyDescent="0.3">
      <c r="B11" s="395" t="s">
        <v>8</v>
      </c>
      <c r="C11" s="394"/>
      <c r="D11" s="396" t="s">
        <v>365</v>
      </c>
      <c r="E11" s="397"/>
      <c r="F11" s="397"/>
      <c r="G11" s="397"/>
      <c r="H11" s="398" t="s">
        <v>39</v>
      </c>
      <c r="I11" s="220"/>
      <c r="J11" s="220"/>
      <c r="K11" s="398" t="s">
        <v>568</v>
      </c>
      <c r="L11" s="220"/>
      <c r="M11" s="1211" t="s">
        <v>625</v>
      </c>
      <c r="N11" s="1211"/>
      <c r="O11" s="1211"/>
      <c r="P11" s="1223"/>
      <c r="U11" s="5"/>
    </row>
    <row r="12" spans="2:22" ht="28.5" customHeight="1" thickBot="1" x14ac:dyDescent="0.25">
      <c r="B12" s="1339" t="s">
        <v>11</v>
      </c>
      <c r="C12" s="1340"/>
      <c r="D12" s="1340"/>
      <c r="E12" s="1340"/>
      <c r="F12" s="1340"/>
      <c r="G12" s="1340"/>
      <c r="H12" s="1340"/>
      <c r="I12" s="1340"/>
      <c r="J12" s="1340"/>
      <c r="K12" s="1340"/>
      <c r="L12" s="1340"/>
      <c r="M12" s="1340"/>
      <c r="N12" s="1340"/>
      <c r="O12" s="1340"/>
      <c r="P12" s="1341"/>
      <c r="U12" s="5"/>
    </row>
    <row r="13" spans="2:22" ht="17.25" customHeight="1" x14ac:dyDescent="0.2">
      <c r="B13" s="1381"/>
      <c r="C13" s="1382"/>
      <c r="D13" s="1382"/>
      <c r="E13" s="1382"/>
      <c r="F13" s="1382"/>
      <c r="G13" s="1382"/>
      <c r="H13" s="1382"/>
      <c r="I13" s="1382"/>
      <c r="J13" s="1382"/>
      <c r="K13" s="1382"/>
      <c r="L13" s="1382"/>
      <c r="M13" s="1382"/>
      <c r="N13" s="1382"/>
      <c r="O13" s="1382"/>
      <c r="P13" s="1383"/>
      <c r="Q13" s="31"/>
      <c r="U13" s="5"/>
    </row>
    <row r="14" spans="2:22" ht="27.75" customHeight="1" x14ac:dyDescent="0.2">
      <c r="B14" s="1381"/>
      <c r="C14" s="1382"/>
      <c r="D14" s="1382"/>
      <c r="E14" s="1382"/>
      <c r="F14" s="1382"/>
      <c r="G14" s="1382"/>
      <c r="H14" s="1382"/>
      <c r="I14" s="1382"/>
      <c r="J14" s="1382"/>
      <c r="K14" s="1382"/>
      <c r="L14" s="1382"/>
      <c r="M14" s="1382"/>
      <c r="N14" s="1382"/>
      <c r="O14" s="1382"/>
      <c r="P14" s="1383"/>
      <c r="Q14" s="31"/>
      <c r="T14" s="12"/>
      <c r="U14" s="5"/>
    </row>
    <row r="15" spans="2:22" ht="9" customHeight="1" thickBot="1" x14ac:dyDescent="0.25">
      <c r="B15" s="170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171"/>
      <c r="Q15" s="32"/>
      <c r="T15" s="12"/>
      <c r="U15" s="5"/>
    </row>
    <row r="16" spans="2:22" ht="33" customHeight="1" thickBot="1" x14ac:dyDescent="0.25">
      <c r="B16" s="1339" t="s">
        <v>421</v>
      </c>
      <c r="C16" s="1340"/>
      <c r="D16" s="1340"/>
      <c r="E16" s="1340"/>
      <c r="F16" s="1340"/>
      <c r="G16" s="1340"/>
      <c r="H16" s="1340"/>
      <c r="I16" s="1340"/>
      <c r="J16" s="1340"/>
      <c r="K16" s="1340"/>
      <c r="L16" s="1340"/>
      <c r="M16" s="1340"/>
      <c r="N16" s="1340"/>
      <c r="O16" s="1340"/>
      <c r="P16" s="1341"/>
      <c r="U16" s="5"/>
      <c r="V16" s="12"/>
    </row>
    <row r="17" spans="2:33" ht="37.5" customHeight="1" thickBot="1" x14ac:dyDescent="0.25">
      <c r="B17" s="1654" t="s">
        <v>562</v>
      </c>
      <c r="C17" s="1655"/>
      <c r="D17" s="1655"/>
      <c r="E17" s="1655"/>
      <c r="F17" s="1655"/>
      <c r="G17" s="1656"/>
      <c r="H17" s="1657"/>
      <c r="I17" s="1654" t="s">
        <v>561</v>
      </c>
      <c r="J17" s="1655"/>
      <c r="K17" s="1655"/>
      <c r="L17" s="1655"/>
      <c r="M17" s="1655"/>
      <c r="N17" s="1655"/>
      <c r="O17" s="1655"/>
      <c r="P17" s="1661"/>
      <c r="U17" s="5"/>
      <c r="V17" s="12"/>
    </row>
    <row r="18" spans="2:33" ht="42.75" customHeight="1" thickBot="1" x14ac:dyDescent="0.25">
      <c r="B18" s="1652" t="s">
        <v>556</v>
      </c>
      <c r="C18" s="1653"/>
      <c r="D18" s="559" t="s">
        <v>569</v>
      </c>
      <c r="E18" s="560" t="s">
        <v>560</v>
      </c>
      <c r="F18" s="560" t="s">
        <v>15</v>
      </c>
      <c r="G18" s="1541" t="s">
        <v>91</v>
      </c>
      <c r="H18" s="1658"/>
      <c r="I18" s="753" t="s">
        <v>635</v>
      </c>
      <c r="J18" s="754" t="s">
        <v>158</v>
      </c>
      <c r="K18" s="754" t="s">
        <v>159</v>
      </c>
      <c r="L18" s="754" t="s">
        <v>160</v>
      </c>
      <c r="M18" s="754" t="s">
        <v>101</v>
      </c>
      <c r="N18" s="755" t="s">
        <v>102</v>
      </c>
      <c r="O18" s="755" t="s">
        <v>103</v>
      </c>
      <c r="P18" s="756" t="s">
        <v>104</v>
      </c>
      <c r="R18" s="179"/>
      <c r="U18" s="5"/>
      <c r="V18" s="12"/>
    </row>
    <row r="19" spans="2:33" ht="42.75" customHeight="1" thickBot="1" x14ac:dyDescent="0.25">
      <c r="B19" s="1650" t="s">
        <v>557</v>
      </c>
      <c r="C19" s="1651"/>
      <c r="D19" s="558" t="s">
        <v>558</v>
      </c>
      <c r="E19" s="558" t="s">
        <v>558</v>
      </c>
      <c r="F19" s="557" t="s">
        <v>559</v>
      </c>
      <c r="G19" s="1647" t="s">
        <v>631</v>
      </c>
      <c r="H19" s="1648"/>
      <c r="I19" s="1648"/>
      <c r="J19" s="1648"/>
      <c r="K19" s="1648"/>
      <c r="L19" s="1648"/>
      <c r="M19" s="1648"/>
      <c r="N19" s="1648"/>
      <c r="O19" s="1648"/>
      <c r="P19" s="1649"/>
      <c r="R19" s="179"/>
    </row>
    <row r="20" spans="2:33" ht="21" customHeight="1" x14ac:dyDescent="0.25">
      <c r="B20" s="1662">
        <v>6.75</v>
      </c>
      <c r="C20" s="1663"/>
      <c r="D20" s="104">
        <f>MIN('[1]Pricing '!$C$4558:$C$4590)</f>
        <v>1.25</v>
      </c>
      <c r="E20" s="104">
        <f>MIN('[1]Pricing '!$C$4686:$C$4718)</f>
        <v>2.375</v>
      </c>
      <c r="F20" s="724">
        <f>VLOOKUP(D20,'[1]Pricing '!$C$4558:$H$4594,6,FALSE)*-1+100</f>
        <v>1.7249999999999943</v>
      </c>
      <c r="G20" s="1550" t="s">
        <v>52</v>
      </c>
      <c r="H20" s="1659"/>
      <c r="I20" s="553">
        <v>-2.5</v>
      </c>
      <c r="J20" s="401">
        <v>-2.5</v>
      </c>
      <c r="K20" s="401">
        <v>-2</v>
      </c>
      <c r="L20" s="401">
        <v>-1.5</v>
      </c>
      <c r="M20" s="401">
        <v>-1</v>
      </c>
      <c r="N20" s="401">
        <v>-1</v>
      </c>
      <c r="O20" s="401">
        <v>1.5</v>
      </c>
      <c r="P20" s="445">
        <v>3</v>
      </c>
      <c r="R20" s="179"/>
      <c r="T20" s="446"/>
      <c r="U20" s="446"/>
      <c r="V20" s="446"/>
      <c r="W20" s="446"/>
      <c r="X20" s="446"/>
      <c r="Y20" s="446"/>
      <c r="Z20" s="446"/>
      <c r="AA20" s="446"/>
    </row>
    <row r="21" spans="2:33" ht="21" customHeight="1" x14ac:dyDescent="0.25">
      <c r="B21" s="1664"/>
      <c r="C21" s="1665"/>
      <c r="D21" s="104">
        <f t="shared" ref="D21:D52" si="0">D20+0.125</f>
        <v>1.375</v>
      </c>
      <c r="E21" s="104">
        <f t="shared" ref="E21:E52" si="1">E20+0.125</f>
        <v>2.5</v>
      </c>
      <c r="F21" s="724">
        <f>VLOOKUP(D21,'[1]Pricing '!$C$4558:$H$4594,6,FALSE)*-1+100</f>
        <v>1.2249999999999943</v>
      </c>
      <c r="G21" s="1526" t="s">
        <v>53</v>
      </c>
      <c r="H21" s="1660"/>
      <c r="I21" s="629">
        <v>-2</v>
      </c>
      <c r="J21" s="479">
        <v>-2</v>
      </c>
      <c r="K21" s="479">
        <v>-2</v>
      </c>
      <c r="L21" s="479">
        <v>-1.5</v>
      </c>
      <c r="M21" s="479">
        <v>-1</v>
      </c>
      <c r="N21" s="479">
        <v>0</v>
      </c>
      <c r="O21" s="479">
        <v>3</v>
      </c>
      <c r="P21" s="480">
        <v>4.5</v>
      </c>
      <c r="R21" s="179"/>
      <c r="T21" s="446"/>
      <c r="U21" s="446"/>
      <c r="V21" s="446"/>
      <c r="W21" s="446"/>
      <c r="Y21" s="87"/>
      <c r="Z21" s="608"/>
      <c r="AA21" s="608"/>
      <c r="AB21" s="608"/>
      <c r="AC21" s="608"/>
      <c r="AD21" s="608"/>
      <c r="AE21" s="608"/>
      <c r="AF21" s="608"/>
      <c r="AG21" s="608"/>
    </row>
    <row r="22" spans="2:33" ht="21" customHeight="1" x14ac:dyDescent="0.25">
      <c r="B22" s="1664"/>
      <c r="C22" s="1665"/>
      <c r="D22" s="104">
        <f t="shared" si="0"/>
        <v>1.5</v>
      </c>
      <c r="E22" s="104">
        <f t="shared" si="1"/>
        <v>2.625</v>
      </c>
      <c r="F22" s="724">
        <f>VLOOKUP(D22,'[1]Pricing '!$C$4558:$H$4594,6,FALSE)*-1+100</f>
        <v>0.72499999999999432</v>
      </c>
      <c r="G22" s="1526" t="s">
        <v>54</v>
      </c>
      <c r="H22" s="1660"/>
      <c r="I22" s="629">
        <v>-1.5</v>
      </c>
      <c r="J22" s="479">
        <v>-1.5</v>
      </c>
      <c r="K22" s="479">
        <v>-1.5</v>
      </c>
      <c r="L22" s="479">
        <v>-1</v>
      </c>
      <c r="M22" s="479">
        <v>-1</v>
      </c>
      <c r="N22" s="479">
        <v>1</v>
      </c>
      <c r="O22" s="479">
        <v>4.5</v>
      </c>
      <c r="P22" s="480">
        <v>6.5</v>
      </c>
      <c r="R22" s="117"/>
      <c r="T22" s="446"/>
      <c r="U22" s="446"/>
      <c r="V22" s="446"/>
      <c r="W22" s="446"/>
      <c r="Y22" s="169"/>
      <c r="Z22" s="114"/>
      <c r="AA22" s="114"/>
      <c r="AB22" s="114"/>
      <c r="AC22" s="114"/>
      <c r="AD22" s="114"/>
      <c r="AE22" s="114"/>
      <c r="AF22" s="114"/>
      <c r="AG22" s="114"/>
    </row>
    <row r="23" spans="2:33" ht="21" customHeight="1" x14ac:dyDescent="0.25">
      <c r="B23" s="1664"/>
      <c r="C23" s="1665"/>
      <c r="D23" s="104">
        <f t="shared" si="0"/>
        <v>1.625</v>
      </c>
      <c r="E23" s="104">
        <f t="shared" si="1"/>
        <v>2.75</v>
      </c>
      <c r="F23" s="724">
        <f>VLOOKUP(D23,'[1]Pricing '!$C$4558:$H$4594,6,FALSE)*-1+100</f>
        <v>0.22499999999999432</v>
      </c>
      <c r="G23" s="1526" t="s">
        <v>55</v>
      </c>
      <c r="H23" s="1660"/>
      <c r="I23" s="629">
        <v>-0.5</v>
      </c>
      <c r="J23" s="479">
        <v>-0.5</v>
      </c>
      <c r="K23" s="479">
        <v>-0.5</v>
      </c>
      <c r="L23" s="479">
        <v>-0.5</v>
      </c>
      <c r="M23" s="479">
        <v>0</v>
      </c>
      <c r="N23" s="479">
        <v>2.5</v>
      </c>
      <c r="O23" s="479">
        <v>6</v>
      </c>
      <c r="P23" s="480" t="s">
        <v>56</v>
      </c>
      <c r="R23" s="117"/>
      <c r="T23" s="446"/>
      <c r="U23" s="446"/>
      <c r="V23" s="446"/>
      <c r="W23" s="446"/>
      <c r="Y23" s="169"/>
      <c r="Z23" s="114"/>
      <c r="AA23" s="114"/>
      <c r="AB23" s="114"/>
      <c r="AC23" s="114"/>
      <c r="AD23" s="114"/>
      <c r="AE23" s="114"/>
      <c r="AF23" s="114"/>
      <c r="AG23" s="114"/>
    </row>
    <row r="24" spans="2:33" ht="21" customHeight="1" x14ac:dyDescent="0.25">
      <c r="B24" s="1664"/>
      <c r="C24" s="1665"/>
      <c r="D24" s="104">
        <f t="shared" si="0"/>
        <v>1.75</v>
      </c>
      <c r="E24" s="104">
        <f t="shared" si="1"/>
        <v>2.875</v>
      </c>
      <c r="F24" s="724">
        <f>VLOOKUP(D24,'[1]Pricing '!$C$4558:$H$4594,6,FALSE)*-1+100</f>
        <v>-0.15000000000000568</v>
      </c>
      <c r="G24" s="1526" t="s">
        <v>57</v>
      </c>
      <c r="H24" s="1660"/>
      <c r="I24" s="629">
        <v>0</v>
      </c>
      <c r="J24" s="479">
        <v>0</v>
      </c>
      <c r="K24" s="479">
        <v>0.5</v>
      </c>
      <c r="L24" s="479">
        <v>1</v>
      </c>
      <c r="M24" s="479">
        <v>1.5</v>
      </c>
      <c r="N24" s="479">
        <v>5</v>
      </c>
      <c r="O24" s="479">
        <v>7</v>
      </c>
      <c r="P24" s="480" t="s">
        <v>56</v>
      </c>
      <c r="R24" s="117"/>
      <c r="T24" s="446"/>
      <c r="U24" s="446"/>
      <c r="V24" s="446"/>
      <c r="W24" s="446"/>
      <c r="Y24" s="169"/>
      <c r="Z24" s="114"/>
      <c r="AA24" s="114"/>
      <c r="AB24" s="114"/>
      <c r="AC24" s="114"/>
      <c r="AD24" s="114"/>
      <c r="AE24" s="114"/>
      <c r="AF24" s="114"/>
      <c r="AG24" s="114"/>
    </row>
    <row r="25" spans="2:33" ht="21" customHeight="1" thickBot="1" x14ac:dyDescent="0.3">
      <c r="B25" s="1664"/>
      <c r="C25" s="1665"/>
      <c r="D25" s="104">
        <f t="shared" si="0"/>
        <v>1.875</v>
      </c>
      <c r="E25" s="104">
        <f t="shared" si="1"/>
        <v>3</v>
      </c>
      <c r="F25" s="724">
        <f>VLOOKUP(D25,'[1]Pricing '!$C$4558:$H$4594,6,FALSE)*-1+100</f>
        <v>-0.52500000000000568</v>
      </c>
      <c r="G25" s="1528" t="s">
        <v>58</v>
      </c>
      <c r="H25" s="1679"/>
      <c r="I25" s="403">
        <v>0.5</v>
      </c>
      <c r="J25" s="115">
        <v>1</v>
      </c>
      <c r="K25" s="115">
        <v>2</v>
      </c>
      <c r="L25" s="115">
        <v>2.5</v>
      </c>
      <c r="M25" s="115">
        <v>3</v>
      </c>
      <c r="N25" s="115" t="s">
        <v>56</v>
      </c>
      <c r="O25" s="115" t="s">
        <v>56</v>
      </c>
      <c r="P25" s="225" t="s">
        <v>56</v>
      </c>
      <c r="T25" s="446"/>
      <c r="U25" s="446"/>
      <c r="V25" s="446"/>
      <c r="W25" s="446"/>
      <c r="Y25" s="169"/>
      <c r="Z25" s="114"/>
      <c r="AA25" s="114"/>
      <c r="AB25" s="114"/>
      <c r="AC25" s="114"/>
      <c r="AD25" s="114"/>
      <c r="AE25" s="114"/>
      <c r="AF25" s="114"/>
      <c r="AG25" s="114"/>
    </row>
    <row r="26" spans="2:33" ht="21" customHeight="1" x14ac:dyDescent="0.25">
      <c r="B26" s="1664"/>
      <c r="C26" s="1665"/>
      <c r="D26" s="104">
        <f t="shared" si="0"/>
        <v>2</v>
      </c>
      <c r="E26" s="104">
        <f t="shared" si="1"/>
        <v>3.125</v>
      </c>
      <c r="F26" s="724">
        <f>VLOOKUP(D26,'[1]Pricing '!$C$4558:$H$4594,6,FALSE)*-1+100</f>
        <v>-0.90000000000000568</v>
      </c>
      <c r="G26" s="1674" t="s">
        <v>633</v>
      </c>
      <c r="H26" s="1675"/>
      <c r="I26" s="1521"/>
      <c r="J26" s="1521"/>
      <c r="K26" s="1521"/>
      <c r="L26" s="1521"/>
      <c r="M26" s="1521"/>
      <c r="N26" s="1521"/>
      <c r="O26" s="1521"/>
      <c r="P26" s="1522"/>
      <c r="U26" s="5"/>
      <c r="Y26" s="169"/>
      <c r="Z26" s="114"/>
      <c r="AA26" s="114"/>
      <c r="AB26" s="114"/>
      <c r="AC26" s="114"/>
      <c r="AD26" s="114"/>
      <c r="AE26" s="114"/>
      <c r="AF26" s="114"/>
      <c r="AG26" s="114"/>
    </row>
    <row r="27" spans="2:33" ht="21" customHeight="1" thickBot="1" x14ac:dyDescent="0.3">
      <c r="B27" s="1664"/>
      <c r="C27" s="1665"/>
      <c r="D27" s="104">
        <f t="shared" si="0"/>
        <v>2.125</v>
      </c>
      <c r="E27" s="104">
        <f t="shared" si="1"/>
        <v>3.25</v>
      </c>
      <c r="F27" s="724">
        <f>VLOOKUP(D27,'[1]Pricing '!$C$4558:$H$4594,6,FALSE)*-1+100</f>
        <v>-1.2750000000000057</v>
      </c>
      <c r="G27" s="1674"/>
      <c r="H27" s="1675"/>
      <c r="I27" s="1669"/>
      <c r="J27" s="1669"/>
      <c r="K27" s="1669"/>
      <c r="L27" s="1669"/>
      <c r="M27" s="1669"/>
      <c r="N27" s="1669"/>
      <c r="O27" s="1669"/>
      <c r="P27" s="1670"/>
      <c r="U27" s="5"/>
      <c r="Y27" s="169"/>
      <c r="Z27" s="114"/>
      <c r="AA27" s="114"/>
      <c r="AB27" s="114"/>
      <c r="AC27" s="114"/>
      <c r="AD27" s="114"/>
      <c r="AE27" s="114"/>
      <c r="AF27" s="114"/>
      <c r="AG27" s="114"/>
    </row>
    <row r="28" spans="2:33" ht="21" customHeight="1" x14ac:dyDescent="0.25">
      <c r="B28" s="1664"/>
      <c r="C28" s="1665"/>
      <c r="D28" s="104">
        <f t="shared" si="0"/>
        <v>2.25</v>
      </c>
      <c r="E28" s="104">
        <f t="shared" si="1"/>
        <v>3.375</v>
      </c>
      <c r="F28" s="724">
        <f>VLOOKUP(D28,'[1]Pricing '!$C$4558:$H$4594,6,FALSE)*-1+100</f>
        <v>-1.6500000000000057</v>
      </c>
      <c r="G28" s="1550" t="s">
        <v>52</v>
      </c>
      <c r="H28" s="1659"/>
      <c r="I28" s="553">
        <v>-1.375</v>
      </c>
      <c r="J28" s="401">
        <v>-1.375</v>
      </c>
      <c r="K28" s="401">
        <v>-1.125</v>
      </c>
      <c r="L28" s="401">
        <v>-0.875</v>
      </c>
      <c r="M28" s="401">
        <v>-0.875</v>
      </c>
      <c r="N28" s="401">
        <v>-0.625</v>
      </c>
      <c r="O28" s="401" t="s">
        <v>56</v>
      </c>
      <c r="P28" s="445" t="s">
        <v>56</v>
      </c>
      <c r="U28" s="5"/>
    </row>
    <row r="29" spans="2:33" ht="21" customHeight="1" x14ac:dyDescent="0.25">
      <c r="B29" s="1664"/>
      <c r="C29" s="1665"/>
      <c r="D29" s="104">
        <f t="shared" si="0"/>
        <v>2.375</v>
      </c>
      <c r="E29" s="104">
        <f t="shared" si="1"/>
        <v>3.5</v>
      </c>
      <c r="F29" s="724">
        <f>VLOOKUP(D29,'[1]Pricing '!$C$4558:$H$4594,6,FALSE)*-1+100</f>
        <v>-2.0250000000000057</v>
      </c>
      <c r="G29" s="1666" t="s">
        <v>53</v>
      </c>
      <c r="H29" s="1667"/>
      <c r="I29" s="1196">
        <v>-1.125</v>
      </c>
      <c r="J29" s="1095">
        <v>-1.125</v>
      </c>
      <c r="K29" s="1095">
        <v>-0.875</v>
      </c>
      <c r="L29" s="1095">
        <v>-0.625</v>
      </c>
      <c r="M29" s="1095">
        <v>-0.625</v>
      </c>
      <c r="N29" s="1095">
        <v>-0.375</v>
      </c>
      <c r="O29" s="1095" t="s">
        <v>56</v>
      </c>
      <c r="P29" s="1096" t="s">
        <v>56</v>
      </c>
      <c r="R29" s="180"/>
      <c r="U29" s="5"/>
    </row>
    <row r="30" spans="2:33" ht="21" customHeight="1" x14ac:dyDescent="0.25">
      <c r="B30" s="1664"/>
      <c r="C30" s="1665"/>
      <c r="D30" s="104">
        <f t="shared" si="0"/>
        <v>2.5</v>
      </c>
      <c r="E30" s="104">
        <f t="shared" si="1"/>
        <v>3.625</v>
      </c>
      <c r="F30" s="724">
        <f>VLOOKUP(D30,'[1]Pricing '!$C$4558:$H$4594,6,FALSE)*-1+100</f>
        <v>-2.4000000000000057</v>
      </c>
      <c r="G30" s="1666" t="s">
        <v>54</v>
      </c>
      <c r="H30" s="1667"/>
      <c r="I30" s="1196">
        <v>-0.875</v>
      </c>
      <c r="J30" s="1095">
        <v>-0.875</v>
      </c>
      <c r="K30" s="1095">
        <v>-0.625</v>
      </c>
      <c r="L30" s="1095">
        <v>-0.375</v>
      </c>
      <c r="M30" s="1095">
        <v>-0.375</v>
      </c>
      <c r="N30" s="1095">
        <v>0.375</v>
      </c>
      <c r="O30" s="1095" t="s">
        <v>56</v>
      </c>
      <c r="P30" s="1096" t="s">
        <v>56</v>
      </c>
      <c r="R30" s="114"/>
      <c r="U30" s="5"/>
    </row>
    <row r="31" spans="2:33" ht="21" customHeight="1" x14ac:dyDescent="0.25">
      <c r="B31" s="1664"/>
      <c r="C31" s="1665"/>
      <c r="D31" s="104">
        <f t="shared" si="0"/>
        <v>2.625</v>
      </c>
      <c r="E31" s="104">
        <f t="shared" si="1"/>
        <v>3.75</v>
      </c>
      <c r="F31" s="724">
        <f>VLOOKUP(D31,'[1]Pricing '!$C$4558:$H$4594,6,FALSE)*-1+100</f>
        <v>-2.7130000000000081</v>
      </c>
      <c r="G31" s="1666" t="s">
        <v>55</v>
      </c>
      <c r="H31" s="1667"/>
      <c r="I31" s="1196">
        <v>-0.25</v>
      </c>
      <c r="J31" s="1095">
        <v>-0.25</v>
      </c>
      <c r="K31" s="1095">
        <v>0</v>
      </c>
      <c r="L31" s="1095">
        <v>0.25</v>
      </c>
      <c r="M31" s="1095">
        <v>0.375</v>
      </c>
      <c r="N31" s="1095">
        <v>1.125</v>
      </c>
      <c r="O31" s="1095" t="s">
        <v>56</v>
      </c>
      <c r="P31" s="1096" t="s">
        <v>56</v>
      </c>
      <c r="U31" s="5"/>
      <c r="Y31" s="87"/>
      <c r="Z31" s="169"/>
      <c r="AA31" s="169"/>
      <c r="AB31" s="169"/>
      <c r="AC31" s="169"/>
      <c r="AD31" s="169"/>
      <c r="AE31" s="169"/>
    </row>
    <row r="32" spans="2:33" ht="21" customHeight="1" x14ac:dyDescent="0.25">
      <c r="B32" s="1664"/>
      <c r="C32" s="1665"/>
      <c r="D32" s="104">
        <f t="shared" si="0"/>
        <v>2.75</v>
      </c>
      <c r="E32" s="104">
        <f t="shared" si="1"/>
        <v>3.875</v>
      </c>
      <c r="F32" s="724">
        <f>VLOOKUP(D32,'[1]Pricing '!$C$4558:$H$4594,6,FALSE)*-1+100</f>
        <v>-3.0250000000000057</v>
      </c>
      <c r="G32" s="1666" t="s">
        <v>57</v>
      </c>
      <c r="H32" s="1667"/>
      <c r="I32" s="1196">
        <v>0</v>
      </c>
      <c r="J32" s="1095">
        <v>0</v>
      </c>
      <c r="K32" s="1095">
        <v>0.25</v>
      </c>
      <c r="L32" s="1095">
        <v>0.625</v>
      </c>
      <c r="M32" s="1095">
        <v>1.25</v>
      </c>
      <c r="N32" s="1095">
        <v>1.5</v>
      </c>
      <c r="O32" s="1095" t="s">
        <v>56</v>
      </c>
      <c r="P32" s="1096" t="s">
        <v>56</v>
      </c>
      <c r="U32" s="5"/>
      <c r="Y32" s="608"/>
      <c r="Z32" s="114"/>
      <c r="AA32" s="114"/>
      <c r="AB32" s="114"/>
      <c r="AC32" s="114"/>
      <c r="AD32" s="114"/>
      <c r="AE32" s="114"/>
    </row>
    <row r="33" spans="2:31" ht="21" customHeight="1" thickBot="1" x14ac:dyDescent="0.3">
      <c r="B33" s="1664"/>
      <c r="C33" s="1665"/>
      <c r="D33" s="104">
        <f t="shared" si="0"/>
        <v>2.875</v>
      </c>
      <c r="E33" s="104">
        <f t="shared" si="1"/>
        <v>4</v>
      </c>
      <c r="F33" s="724">
        <f>VLOOKUP(D33,'[1]Pricing '!$C$4558:$H$4594,6,FALSE)*-1+100</f>
        <v>-3.3380000000000081</v>
      </c>
      <c r="G33" s="1528" t="s">
        <v>58</v>
      </c>
      <c r="H33" s="1679"/>
      <c r="I33" s="482">
        <v>0.5</v>
      </c>
      <c r="J33" s="115">
        <v>0.5</v>
      </c>
      <c r="K33" s="115">
        <v>0.875</v>
      </c>
      <c r="L33" s="115">
        <v>1.375</v>
      </c>
      <c r="M33" s="115" t="s">
        <v>56</v>
      </c>
      <c r="N33" s="115" t="s">
        <v>56</v>
      </c>
      <c r="O33" s="115" t="s">
        <v>56</v>
      </c>
      <c r="P33" s="225" t="s">
        <v>56</v>
      </c>
      <c r="U33" s="5"/>
      <c r="Y33" s="608"/>
      <c r="Z33" s="114"/>
      <c r="AA33" s="114"/>
      <c r="AB33" s="114"/>
      <c r="AC33" s="114"/>
      <c r="AD33" s="114"/>
      <c r="AE33" s="114"/>
    </row>
    <row r="34" spans="2:31" ht="21" customHeight="1" x14ac:dyDescent="0.25">
      <c r="B34" s="1664"/>
      <c r="C34" s="1665"/>
      <c r="D34" s="104">
        <f t="shared" si="0"/>
        <v>3</v>
      </c>
      <c r="E34" s="104">
        <f t="shared" si="1"/>
        <v>4.125</v>
      </c>
      <c r="F34" s="724">
        <f>VLOOKUP(D34,'[1]Pricing '!$C$4558:$H$4594,6,FALSE)*-1+100</f>
        <v>-3.6500000000000057</v>
      </c>
      <c r="G34" s="1520" t="s">
        <v>629</v>
      </c>
      <c r="H34" s="1521"/>
      <c r="I34" s="1521"/>
      <c r="J34" s="1521"/>
      <c r="K34" s="1521"/>
      <c r="L34" s="1521"/>
      <c r="M34" s="1521"/>
      <c r="N34" s="1521"/>
      <c r="O34" s="1521"/>
      <c r="P34" s="1522"/>
      <c r="U34" s="5"/>
      <c r="Y34" s="608"/>
      <c r="Z34" s="114"/>
      <c r="AA34" s="114"/>
      <c r="AB34" s="114"/>
      <c r="AC34" s="114"/>
      <c r="AD34" s="114"/>
      <c r="AE34" s="114"/>
    </row>
    <row r="35" spans="2:31" ht="21" customHeight="1" thickBot="1" x14ac:dyDescent="0.3">
      <c r="B35" s="1664"/>
      <c r="C35" s="1665"/>
      <c r="D35" s="104">
        <f t="shared" si="0"/>
        <v>3.125</v>
      </c>
      <c r="E35" s="104">
        <f t="shared" si="1"/>
        <v>4.25</v>
      </c>
      <c r="F35" s="724">
        <f>VLOOKUP(D35,'[1]Pricing '!$C$4558:$H$4594,6,FALSE)*-1+100</f>
        <v>-3.9630000000000081</v>
      </c>
      <c r="G35" s="1668"/>
      <c r="H35" s="1669"/>
      <c r="I35" s="1669"/>
      <c r="J35" s="1669"/>
      <c r="K35" s="1669"/>
      <c r="L35" s="1669"/>
      <c r="M35" s="1669"/>
      <c r="N35" s="1669"/>
      <c r="O35" s="1669"/>
      <c r="P35" s="1670"/>
      <c r="R35" s="179"/>
      <c r="U35" s="5"/>
      <c r="Y35" s="608"/>
      <c r="Z35" s="114"/>
      <c r="AA35" s="114"/>
      <c r="AB35" s="114"/>
      <c r="AC35" s="114"/>
      <c r="AD35" s="114"/>
      <c r="AE35" s="114"/>
    </row>
    <row r="36" spans="2:31" ht="21" customHeight="1" x14ac:dyDescent="0.25">
      <c r="B36" s="1664"/>
      <c r="C36" s="1665"/>
      <c r="D36" s="104">
        <f t="shared" si="0"/>
        <v>3.25</v>
      </c>
      <c r="E36" s="104">
        <f t="shared" si="1"/>
        <v>4.375</v>
      </c>
      <c r="F36" s="724">
        <f>VLOOKUP(D36,'[1]Pricing '!$C$4558:$H$4594,6,FALSE)*-1+100</f>
        <v>-4.2750000000000057</v>
      </c>
      <c r="G36" s="1550" t="s">
        <v>52</v>
      </c>
      <c r="H36" s="1659"/>
      <c r="I36" s="444">
        <v>-1.25</v>
      </c>
      <c r="J36" s="401">
        <v>-1.25</v>
      </c>
      <c r="K36" s="401">
        <v>-1</v>
      </c>
      <c r="L36" s="401">
        <v>-0.75</v>
      </c>
      <c r="M36" s="401">
        <v>-0.25</v>
      </c>
      <c r="N36" s="401">
        <v>0</v>
      </c>
      <c r="O36" s="401" t="s">
        <v>56</v>
      </c>
      <c r="P36" s="445" t="s">
        <v>56</v>
      </c>
      <c r="R36" s="182"/>
      <c r="U36" s="5"/>
      <c r="Y36" s="608"/>
      <c r="Z36" s="114"/>
      <c r="AA36" s="114"/>
      <c r="AB36" s="114"/>
      <c r="AC36" s="114"/>
      <c r="AD36" s="114"/>
      <c r="AE36" s="114"/>
    </row>
    <row r="37" spans="2:31" ht="21" customHeight="1" x14ac:dyDescent="0.25">
      <c r="B37" s="1664"/>
      <c r="C37" s="1665"/>
      <c r="D37" s="104">
        <f t="shared" si="0"/>
        <v>3.375</v>
      </c>
      <c r="E37" s="104">
        <f t="shared" si="1"/>
        <v>4.5</v>
      </c>
      <c r="F37" s="724">
        <f>VLOOKUP(D37,'[1]Pricing '!$C$4558:$H$4594,6,FALSE)*-1+100</f>
        <v>-4.5250000000000057</v>
      </c>
      <c r="G37" s="1526" t="s">
        <v>53</v>
      </c>
      <c r="H37" s="1660"/>
      <c r="I37" s="737">
        <v>-1</v>
      </c>
      <c r="J37" s="479">
        <v>-1</v>
      </c>
      <c r="K37" s="479">
        <v>-0.75</v>
      </c>
      <c r="L37" s="479">
        <v>-0.5</v>
      </c>
      <c r="M37" s="479">
        <v>0</v>
      </c>
      <c r="N37" s="479">
        <v>0.25</v>
      </c>
      <c r="O37" s="479" t="s">
        <v>56</v>
      </c>
      <c r="P37" s="480" t="s">
        <v>56</v>
      </c>
      <c r="U37" s="5"/>
      <c r="X37" s="483"/>
      <c r="Y37" s="608"/>
      <c r="Z37" s="114"/>
      <c r="AA37" s="114"/>
      <c r="AB37" s="114"/>
      <c r="AC37" s="114"/>
      <c r="AD37" s="114"/>
      <c r="AE37" s="114"/>
    </row>
    <row r="38" spans="2:31" ht="21" customHeight="1" x14ac:dyDescent="0.25">
      <c r="B38" s="1664"/>
      <c r="C38" s="1665"/>
      <c r="D38" s="104">
        <f t="shared" si="0"/>
        <v>3.5</v>
      </c>
      <c r="E38" s="104">
        <f t="shared" si="1"/>
        <v>4.625</v>
      </c>
      <c r="F38" s="724">
        <f>VLOOKUP(D38,'[1]Pricing '!$C$4558:$H$4594,6,FALSE)*-1+100</f>
        <v>-4.7750000000000057</v>
      </c>
      <c r="G38" s="1526" t="s">
        <v>54</v>
      </c>
      <c r="H38" s="1660"/>
      <c r="I38" s="737">
        <v>-0.75</v>
      </c>
      <c r="J38" s="479">
        <v>-0.75</v>
      </c>
      <c r="K38" s="479">
        <v>-0.5</v>
      </c>
      <c r="L38" s="479">
        <v>-0.25</v>
      </c>
      <c r="M38" s="479">
        <v>0.25</v>
      </c>
      <c r="N38" s="479">
        <v>0.5</v>
      </c>
      <c r="O38" s="479" t="s">
        <v>56</v>
      </c>
      <c r="P38" s="480" t="s">
        <v>56</v>
      </c>
      <c r="R38" s="483"/>
      <c r="S38" s="483"/>
      <c r="T38" s="483"/>
      <c r="U38" s="483"/>
      <c r="V38" s="483"/>
      <c r="W38" s="483"/>
      <c r="X38" s="483"/>
      <c r="Y38" s="608"/>
      <c r="Z38" s="114"/>
      <c r="AA38" s="114"/>
      <c r="AB38" s="114"/>
      <c r="AC38" s="114"/>
      <c r="AD38" s="114"/>
      <c r="AE38" s="114"/>
    </row>
    <row r="39" spans="2:31" ht="21" customHeight="1" x14ac:dyDescent="0.25">
      <c r="B39" s="1664"/>
      <c r="C39" s="1665"/>
      <c r="D39" s="104">
        <f t="shared" si="0"/>
        <v>3.625</v>
      </c>
      <c r="E39" s="104">
        <f t="shared" si="1"/>
        <v>4.75</v>
      </c>
      <c r="F39" s="724">
        <f>VLOOKUP(D39,'[1]Pricing '!$C$4558:$H$4594,6,FALSE)*-1+100</f>
        <v>-5.0250000000000057</v>
      </c>
      <c r="G39" s="1526" t="s">
        <v>55</v>
      </c>
      <c r="H39" s="1660"/>
      <c r="I39" s="737">
        <v>-0.125</v>
      </c>
      <c r="J39" s="479">
        <v>-0.125</v>
      </c>
      <c r="K39" s="479">
        <v>0.125</v>
      </c>
      <c r="L39" s="479">
        <v>0.375</v>
      </c>
      <c r="M39" s="479">
        <v>1</v>
      </c>
      <c r="N39" s="479">
        <v>1.25</v>
      </c>
      <c r="O39" s="479" t="s">
        <v>56</v>
      </c>
      <c r="P39" s="480" t="s">
        <v>56</v>
      </c>
      <c r="R39" s="483"/>
      <c r="S39" s="483"/>
      <c r="T39" s="483"/>
      <c r="U39" s="483"/>
      <c r="V39" s="483"/>
      <c r="W39" s="483"/>
      <c r="Y39" s="608"/>
      <c r="Z39" s="114"/>
      <c r="AA39" s="114"/>
      <c r="AB39" s="114"/>
      <c r="AC39" s="114"/>
      <c r="AD39" s="114"/>
      <c r="AE39" s="114"/>
    </row>
    <row r="40" spans="2:31" ht="21" customHeight="1" x14ac:dyDescent="0.25">
      <c r="B40" s="1664"/>
      <c r="C40" s="1665"/>
      <c r="D40" s="104">
        <f t="shared" si="0"/>
        <v>3.75</v>
      </c>
      <c r="E40" s="104">
        <f t="shared" si="1"/>
        <v>4.875</v>
      </c>
      <c r="F40" s="724">
        <f>VLOOKUP(D40,'[1]Pricing '!$C$4558:$H$4594,6,FALSE)*-1+100</f>
        <v>-5.2750000000000057</v>
      </c>
      <c r="G40" s="1526" t="s">
        <v>57</v>
      </c>
      <c r="H40" s="1660"/>
      <c r="I40" s="737">
        <v>0.125</v>
      </c>
      <c r="J40" s="479">
        <v>0.125</v>
      </c>
      <c r="K40" s="479">
        <v>0.375</v>
      </c>
      <c r="L40" s="479">
        <v>0.75</v>
      </c>
      <c r="M40" s="479">
        <v>1.375</v>
      </c>
      <c r="N40" s="479">
        <v>1.625</v>
      </c>
      <c r="O40" s="479" t="s">
        <v>56</v>
      </c>
      <c r="P40" s="480" t="s">
        <v>56</v>
      </c>
      <c r="R40" s="483"/>
      <c r="U40" s="5"/>
    </row>
    <row r="41" spans="2:31" ht="21" customHeight="1" thickBot="1" x14ac:dyDescent="0.3">
      <c r="B41" s="1664"/>
      <c r="C41" s="1665"/>
      <c r="D41" s="104">
        <f t="shared" si="0"/>
        <v>3.875</v>
      </c>
      <c r="E41" s="104">
        <f t="shared" si="1"/>
        <v>5</v>
      </c>
      <c r="F41" s="724">
        <f>VLOOKUP(D41,'[1]Pricing '!$C$4558:$H$4594,6,FALSE)*-1+100</f>
        <v>-5.5250000000000057</v>
      </c>
      <c r="G41" s="1528" t="s">
        <v>58</v>
      </c>
      <c r="H41" s="1679"/>
      <c r="I41" s="482">
        <v>0.5</v>
      </c>
      <c r="J41" s="115">
        <v>0.5</v>
      </c>
      <c r="K41" s="115">
        <v>0.875</v>
      </c>
      <c r="L41" s="115">
        <v>1.375</v>
      </c>
      <c r="M41" s="115">
        <v>2.125</v>
      </c>
      <c r="N41" s="115">
        <v>2.375</v>
      </c>
      <c r="O41" s="115" t="s">
        <v>56</v>
      </c>
      <c r="P41" s="225" t="s">
        <v>56</v>
      </c>
      <c r="U41" s="5"/>
    </row>
    <row r="42" spans="2:31" ht="21" customHeight="1" thickBot="1" x14ac:dyDescent="0.25">
      <c r="B42" s="1664"/>
      <c r="C42" s="1665"/>
      <c r="D42" s="104">
        <f t="shared" si="0"/>
        <v>4</v>
      </c>
      <c r="E42" s="104">
        <f t="shared" si="1"/>
        <v>5.125</v>
      </c>
      <c r="F42" s="724">
        <f>VLOOKUP(D42,'[1]Pricing '!$C$4558:$H$4594,6,FALSE)*-1+100</f>
        <v>-5.7750000000000057</v>
      </c>
      <c r="G42" s="1671" t="s">
        <v>632</v>
      </c>
      <c r="H42" s="1672"/>
      <c r="I42" s="1672"/>
      <c r="J42" s="1672"/>
      <c r="K42" s="1672"/>
      <c r="L42" s="1672"/>
      <c r="M42" s="1672"/>
      <c r="N42" s="1672"/>
      <c r="O42" s="1672"/>
      <c r="P42" s="1673"/>
      <c r="U42" s="5"/>
    </row>
    <row r="43" spans="2:31" ht="21" customHeight="1" x14ac:dyDescent="0.25">
      <c r="B43" s="1664"/>
      <c r="C43" s="1665"/>
      <c r="D43" s="104">
        <f t="shared" si="0"/>
        <v>4.125</v>
      </c>
      <c r="E43" s="104">
        <f t="shared" si="1"/>
        <v>5.25</v>
      </c>
      <c r="F43" s="724">
        <f>VLOOKUP(D43,'[1]Pricing '!$C$4558:$H$4594,6,FALSE)*-1+100</f>
        <v>-6.0250000000000057</v>
      </c>
      <c r="G43" s="1550" t="s">
        <v>247</v>
      </c>
      <c r="H43" s="1659"/>
      <c r="I43" s="553">
        <v>1.25</v>
      </c>
      <c r="J43" s="401">
        <v>1.25</v>
      </c>
      <c r="K43" s="401">
        <v>1.25</v>
      </c>
      <c r="L43" s="401">
        <v>1.25</v>
      </c>
      <c r="M43" s="401">
        <v>1.5</v>
      </c>
      <c r="N43" s="401" t="s">
        <v>56</v>
      </c>
      <c r="O43" s="401" t="s">
        <v>56</v>
      </c>
      <c r="P43" s="445" t="s">
        <v>56</v>
      </c>
      <c r="U43" s="5"/>
    </row>
    <row r="44" spans="2:31" ht="21" customHeight="1" x14ac:dyDescent="0.25">
      <c r="B44" s="1664"/>
      <c r="C44" s="1665"/>
      <c r="D44" s="104">
        <f t="shared" si="0"/>
        <v>4.25</v>
      </c>
      <c r="E44" s="104">
        <f t="shared" si="1"/>
        <v>5.375</v>
      </c>
      <c r="F44" s="724">
        <f>VLOOKUP(D44,'[1]Pricing '!$C$4558:$H$4594,6,FALSE)*-1+100</f>
        <v>-6.2750000000000057</v>
      </c>
      <c r="G44" s="1526" t="s">
        <v>80</v>
      </c>
      <c r="H44" s="1660"/>
      <c r="I44" s="629">
        <v>1</v>
      </c>
      <c r="J44" s="479">
        <v>1</v>
      </c>
      <c r="K44" s="479">
        <v>1</v>
      </c>
      <c r="L44" s="479">
        <v>1</v>
      </c>
      <c r="M44" s="479">
        <v>1.25</v>
      </c>
      <c r="N44" s="479" t="s">
        <v>56</v>
      </c>
      <c r="O44" s="479" t="s">
        <v>56</v>
      </c>
      <c r="P44" s="480" t="s">
        <v>56</v>
      </c>
      <c r="U44" s="5"/>
    </row>
    <row r="45" spans="2:31" ht="21" customHeight="1" x14ac:dyDescent="0.25">
      <c r="B45" s="1664"/>
      <c r="C45" s="1665"/>
      <c r="D45" s="104">
        <f t="shared" si="0"/>
        <v>4.375</v>
      </c>
      <c r="E45" s="104">
        <f t="shared" si="1"/>
        <v>5.5</v>
      </c>
      <c r="F45" s="724">
        <f>VLOOKUP(D45,'[1]Pricing '!$C$4558:$H$4594,6,FALSE)*-1+100</f>
        <v>-6.5250000000000057</v>
      </c>
      <c r="G45" s="1526" t="s">
        <v>248</v>
      </c>
      <c r="H45" s="1660"/>
      <c r="I45" s="629">
        <v>1.5</v>
      </c>
      <c r="J45" s="479">
        <v>2.125</v>
      </c>
      <c r="K45" s="479">
        <v>2.75</v>
      </c>
      <c r="L45" s="479">
        <v>3.375</v>
      </c>
      <c r="M45" s="479" t="s">
        <v>56</v>
      </c>
      <c r="N45" s="479" t="s">
        <v>56</v>
      </c>
      <c r="O45" s="479" t="s">
        <v>56</v>
      </c>
      <c r="P45" s="480" t="s">
        <v>56</v>
      </c>
      <c r="U45" s="5"/>
    </row>
    <row r="46" spans="2:31" ht="21" customHeight="1" x14ac:dyDescent="0.25">
      <c r="B46" s="1664"/>
      <c r="C46" s="1665"/>
      <c r="D46" s="104">
        <f t="shared" si="0"/>
        <v>4.5</v>
      </c>
      <c r="E46" s="104">
        <f t="shared" si="1"/>
        <v>5.625</v>
      </c>
      <c r="F46" s="724">
        <f>VLOOKUP(D46,'[1]Pricing '!$C$4558:$H$4594,6,FALSE)*-1+100</f>
        <v>-6.7750000000000057</v>
      </c>
      <c r="G46" s="1526" t="s">
        <v>81</v>
      </c>
      <c r="H46" s="1660"/>
      <c r="I46" s="629">
        <v>2.125</v>
      </c>
      <c r="J46" s="479">
        <v>2.75</v>
      </c>
      <c r="K46" s="479">
        <v>3.375</v>
      </c>
      <c r="L46" s="479">
        <v>4</v>
      </c>
      <c r="M46" s="479" t="s">
        <v>56</v>
      </c>
      <c r="N46" s="619" t="s">
        <v>56</v>
      </c>
      <c r="O46" s="619" t="s">
        <v>56</v>
      </c>
      <c r="P46" s="480" t="s">
        <v>56</v>
      </c>
      <c r="U46" s="5"/>
    </row>
    <row r="47" spans="2:31" ht="21" customHeight="1" x14ac:dyDescent="0.25">
      <c r="B47" s="1664"/>
      <c r="C47" s="1665"/>
      <c r="D47" s="104">
        <f t="shared" si="0"/>
        <v>4.625</v>
      </c>
      <c r="E47" s="104">
        <f t="shared" si="1"/>
        <v>5.75</v>
      </c>
      <c r="F47" s="724">
        <f>VLOOKUP(D47,'[1]Pricing '!$C$4558:$H$4594,6,FALSE)*-1+100</f>
        <v>-7.0250000000000057</v>
      </c>
      <c r="G47" s="1526" t="s">
        <v>491</v>
      </c>
      <c r="H47" s="1660"/>
      <c r="I47" s="402">
        <v>-1.625</v>
      </c>
      <c r="J47" s="402">
        <v>-1.625</v>
      </c>
      <c r="K47" s="402">
        <v>-1.625</v>
      </c>
      <c r="L47" s="402">
        <v>-1.625</v>
      </c>
      <c r="M47" s="402">
        <v>-1.625</v>
      </c>
      <c r="N47" s="479">
        <v>-0.875</v>
      </c>
      <c r="O47" s="479" t="s">
        <v>56</v>
      </c>
      <c r="P47" s="620" t="s">
        <v>56</v>
      </c>
      <c r="U47" s="5"/>
    </row>
    <row r="48" spans="2:31" ht="21" customHeight="1" thickBot="1" x14ac:dyDescent="0.3">
      <c r="B48" s="1664"/>
      <c r="C48" s="1665"/>
      <c r="D48" s="104">
        <f t="shared" si="0"/>
        <v>4.75</v>
      </c>
      <c r="E48" s="104">
        <f t="shared" si="1"/>
        <v>5.875</v>
      </c>
      <c r="F48" s="724">
        <f>VLOOKUP(D48,'[1]Pricing '!$C$4558:$H$4594,6,FALSE)*-1+100</f>
        <v>-7.2750000000000057</v>
      </c>
      <c r="G48" s="1528" t="s">
        <v>518</v>
      </c>
      <c r="H48" s="1679"/>
      <c r="I48" s="403">
        <v>-2.125</v>
      </c>
      <c r="J48" s="403">
        <v>-2.125</v>
      </c>
      <c r="K48" s="403">
        <v>-2.125</v>
      </c>
      <c r="L48" s="403">
        <v>-2.125</v>
      </c>
      <c r="M48" s="403">
        <v>-2.125</v>
      </c>
      <c r="N48" s="115">
        <v>-1.5</v>
      </c>
      <c r="O48" s="115" t="s">
        <v>56</v>
      </c>
      <c r="P48" s="405" t="s">
        <v>56</v>
      </c>
      <c r="U48" s="5"/>
    </row>
    <row r="49" spans="2:32" ht="21" customHeight="1" thickBot="1" x14ac:dyDescent="0.25">
      <c r="B49" s="1664"/>
      <c r="C49" s="1665"/>
      <c r="D49" s="104">
        <f t="shared" si="0"/>
        <v>4.875</v>
      </c>
      <c r="E49" s="104">
        <f t="shared" si="1"/>
        <v>6</v>
      </c>
      <c r="F49" s="724">
        <f>VLOOKUP(D49,'[1]Pricing '!$C$4558:$H$4594,6,FALSE)*-1+100</f>
        <v>-7.5250000000000057</v>
      </c>
      <c r="G49" s="1671" t="s">
        <v>540</v>
      </c>
      <c r="H49" s="1672"/>
      <c r="I49" s="1672"/>
      <c r="J49" s="1672"/>
      <c r="K49" s="1672"/>
      <c r="L49" s="1672"/>
      <c r="M49" s="1672"/>
      <c r="N49" s="1672"/>
      <c r="O49" s="1672"/>
      <c r="P49" s="1673"/>
      <c r="U49" s="5"/>
    </row>
    <row r="50" spans="2:32" ht="21" customHeight="1" thickBot="1" x14ac:dyDescent="0.3">
      <c r="B50" s="1664"/>
      <c r="C50" s="1665"/>
      <c r="D50" s="104">
        <f t="shared" si="0"/>
        <v>5</v>
      </c>
      <c r="E50" s="104">
        <f t="shared" si="1"/>
        <v>6.125</v>
      </c>
      <c r="F50" s="724">
        <f>VLOOKUP(D50,'[1]Pricing '!$C$4558:$H$4594,6,FALSE)*-1+100</f>
        <v>-7.7750000000000057</v>
      </c>
      <c r="G50" s="1526" t="s">
        <v>541</v>
      </c>
      <c r="H50" s="1660"/>
      <c r="I50" s="618">
        <v>3</v>
      </c>
      <c r="J50" s="447">
        <v>3.5</v>
      </c>
      <c r="K50" s="447">
        <v>4.25</v>
      </c>
      <c r="L50" s="447" t="s">
        <v>56</v>
      </c>
      <c r="M50" s="447" t="s">
        <v>56</v>
      </c>
      <c r="N50" s="447" t="s">
        <v>56</v>
      </c>
      <c r="O50" s="447" t="s">
        <v>56</v>
      </c>
      <c r="P50" s="448" t="s">
        <v>56</v>
      </c>
      <c r="U50" s="5"/>
      <c r="X50" s="87"/>
      <c r="Y50" s="186"/>
      <c r="Z50" s="186"/>
      <c r="AA50" s="186"/>
      <c r="AB50" s="186"/>
      <c r="AC50" s="186"/>
      <c r="AD50" s="186"/>
      <c r="AE50" s="186"/>
      <c r="AF50" s="186"/>
    </row>
    <row r="51" spans="2:32" ht="21" customHeight="1" thickBot="1" x14ac:dyDescent="0.3">
      <c r="B51" s="1664"/>
      <c r="C51" s="1665"/>
      <c r="D51" s="104">
        <f t="shared" si="0"/>
        <v>5.125</v>
      </c>
      <c r="E51" s="104">
        <f t="shared" si="1"/>
        <v>6.25</v>
      </c>
      <c r="F51" s="724">
        <f>VLOOKUP(D51,'[1]Pricing '!$C$4558:$H$4594,6,FALSE)*-1+100</f>
        <v>-8.0250000000000057</v>
      </c>
      <c r="G51" s="1528" t="s">
        <v>749</v>
      </c>
      <c r="H51" s="1679"/>
      <c r="I51" s="623">
        <v>4</v>
      </c>
      <c r="J51" s="409">
        <v>4.25</v>
      </c>
      <c r="K51" s="409" t="s">
        <v>56</v>
      </c>
      <c r="L51" s="409" t="s">
        <v>56</v>
      </c>
      <c r="M51" s="409" t="s">
        <v>56</v>
      </c>
      <c r="N51" s="409" t="s">
        <v>56</v>
      </c>
      <c r="O51" s="409" t="s">
        <v>56</v>
      </c>
      <c r="P51" s="551" t="s">
        <v>56</v>
      </c>
      <c r="U51" s="5"/>
      <c r="W51" s="87"/>
      <c r="X51" s="87"/>
      <c r="Y51" s="186"/>
      <c r="Z51" s="186"/>
      <c r="AA51" s="186"/>
      <c r="AB51" s="186"/>
      <c r="AC51" s="186"/>
      <c r="AD51" s="186"/>
      <c r="AE51" s="186"/>
      <c r="AF51" s="186"/>
    </row>
    <row r="52" spans="2:32" ht="21" customHeight="1" thickBot="1" x14ac:dyDescent="0.25">
      <c r="B52" s="1664"/>
      <c r="C52" s="1665"/>
      <c r="D52" s="104">
        <f t="shared" si="0"/>
        <v>5.25</v>
      </c>
      <c r="E52" s="104">
        <f t="shared" si="1"/>
        <v>6.375</v>
      </c>
      <c r="F52" s="724">
        <f>VLOOKUP(D52,'[1]Pricing '!$C$4558:$H$4594,6,FALSE)*-1+100</f>
        <v>-8.2750000000000057</v>
      </c>
      <c r="G52" s="1628" t="s">
        <v>542</v>
      </c>
      <c r="H52" s="1629"/>
      <c r="I52" s="1629"/>
      <c r="J52" s="1629"/>
      <c r="K52" s="1629"/>
      <c r="L52" s="1629"/>
      <c r="M52" s="1629"/>
      <c r="N52" s="1629"/>
      <c r="O52" s="1629"/>
      <c r="P52" s="1630"/>
      <c r="U52" s="5"/>
      <c r="W52" s="87"/>
    </row>
    <row r="53" spans="2:32" ht="18.75" customHeight="1" x14ac:dyDescent="0.25">
      <c r="B53" s="1664"/>
      <c r="C53" s="1665"/>
      <c r="D53" s="104"/>
      <c r="E53" s="104"/>
      <c r="F53" s="724"/>
      <c r="G53" s="1550" t="s">
        <v>64</v>
      </c>
      <c r="H53" s="1659"/>
      <c r="I53" s="920">
        <v>0.5</v>
      </c>
      <c r="J53" s="481">
        <v>0.5</v>
      </c>
      <c r="K53" s="481">
        <v>0.5</v>
      </c>
      <c r="L53" s="481">
        <v>0.5</v>
      </c>
      <c r="M53" s="481">
        <v>0.75</v>
      </c>
      <c r="N53" s="481" t="s">
        <v>56</v>
      </c>
      <c r="O53" s="481" t="s">
        <v>56</v>
      </c>
      <c r="P53" s="552" t="s">
        <v>56</v>
      </c>
    </row>
    <row r="54" spans="2:32" ht="18.75" customHeight="1" x14ac:dyDescent="0.25">
      <c r="B54" s="1664"/>
      <c r="C54" s="1665"/>
      <c r="D54" s="104"/>
      <c r="E54" s="104"/>
      <c r="F54" s="724"/>
      <c r="G54" s="1526" t="s">
        <v>472</v>
      </c>
      <c r="H54" s="1634"/>
      <c r="I54" s="737">
        <v>0</v>
      </c>
      <c r="J54" s="584">
        <v>0</v>
      </c>
      <c r="K54" s="584">
        <v>0.125</v>
      </c>
      <c r="L54" s="584">
        <v>0.25</v>
      </c>
      <c r="M54" s="584">
        <v>0.375</v>
      </c>
      <c r="N54" s="584">
        <v>0.375</v>
      </c>
      <c r="O54" s="584" t="s">
        <v>56</v>
      </c>
      <c r="P54" s="574" t="s">
        <v>56</v>
      </c>
    </row>
    <row r="55" spans="2:32" ht="21" customHeight="1" x14ac:dyDescent="0.25">
      <c r="B55" s="1664"/>
      <c r="C55" s="1665"/>
      <c r="D55" s="104"/>
      <c r="E55" s="104"/>
      <c r="F55" s="724"/>
      <c r="G55" s="1526" t="s">
        <v>543</v>
      </c>
      <c r="H55" s="1634"/>
      <c r="I55" s="737">
        <v>2</v>
      </c>
      <c r="J55" s="584">
        <v>2.5</v>
      </c>
      <c r="K55" s="584">
        <v>3</v>
      </c>
      <c r="L55" s="584">
        <v>3.5</v>
      </c>
      <c r="M55" s="584" t="s">
        <v>56</v>
      </c>
      <c r="N55" s="584" t="s">
        <v>56</v>
      </c>
      <c r="O55" s="584" t="s">
        <v>56</v>
      </c>
      <c r="P55" s="574" t="s">
        <v>56</v>
      </c>
    </row>
    <row r="56" spans="2:32" ht="21" customHeight="1" thickBot="1" x14ac:dyDescent="0.3">
      <c r="B56" s="1664"/>
      <c r="C56" s="1665"/>
      <c r="D56" s="104"/>
      <c r="E56" s="104"/>
      <c r="F56" s="724"/>
      <c r="G56" s="1526" t="s">
        <v>62</v>
      </c>
      <c r="H56" s="1634"/>
      <c r="I56" s="737">
        <v>1</v>
      </c>
      <c r="J56" s="584">
        <v>1</v>
      </c>
      <c r="K56" s="584">
        <v>1</v>
      </c>
      <c r="L56" s="584">
        <v>1</v>
      </c>
      <c r="M56" s="584">
        <v>1</v>
      </c>
      <c r="N56" s="584">
        <v>1</v>
      </c>
      <c r="O56" s="584" t="s">
        <v>56</v>
      </c>
      <c r="P56" s="574" t="s">
        <v>56</v>
      </c>
    </row>
    <row r="57" spans="2:32" ht="21" customHeight="1" x14ac:dyDescent="0.25">
      <c r="B57" s="1682" t="s">
        <v>422</v>
      </c>
      <c r="C57" s="1683"/>
      <c r="D57" s="1683"/>
      <c r="E57" s="1683"/>
      <c r="F57" s="1683"/>
      <c r="G57" s="1526" t="s">
        <v>544</v>
      </c>
      <c r="H57" s="1634"/>
      <c r="I57" s="921">
        <v>0</v>
      </c>
      <c r="J57" s="589">
        <v>0</v>
      </c>
      <c r="K57" s="589">
        <v>0.125</v>
      </c>
      <c r="L57" s="589">
        <v>0.125</v>
      </c>
      <c r="M57" s="589">
        <v>0.25</v>
      </c>
      <c r="N57" s="584">
        <v>0.25</v>
      </c>
      <c r="O57" s="584">
        <v>0.375</v>
      </c>
      <c r="P57" s="574">
        <v>0.375</v>
      </c>
    </row>
    <row r="58" spans="2:32" ht="21" customHeight="1" x14ac:dyDescent="0.25">
      <c r="B58" s="1426" t="s">
        <v>423</v>
      </c>
      <c r="C58" s="1427"/>
      <c r="D58" s="1427"/>
      <c r="E58" s="1427"/>
      <c r="F58" s="1427"/>
      <c r="G58" s="1526" t="s">
        <v>628</v>
      </c>
      <c r="H58" s="1634"/>
      <c r="I58" s="737">
        <v>0</v>
      </c>
      <c r="J58" s="584">
        <v>0</v>
      </c>
      <c r="K58" s="584">
        <v>0.25</v>
      </c>
      <c r="L58" s="584">
        <v>0.25</v>
      </c>
      <c r="M58" s="584">
        <v>0.25</v>
      </c>
      <c r="N58" s="584">
        <v>0.25</v>
      </c>
      <c r="O58" s="584">
        <v>0.25</v>
      </c>
      <c r="P58" s="574">
        <v>0.25</v>
      </c>
    </row>
    <row r="59" spans="2:32" ht="21" customHeight="1" x14ac:dyDescent="0.25">
      <c r="B59" s="1426"/>
      <c r="C59" s="1427"/>
      <c r="D59" s="1427"/>
      <c r="E59" s="1427"/>
      <c r="F59" s="1427"/>
      <c r="G59" s="1526" t="s">
        <v>253</v>
      </c>
      <c r="H59" s="1634"/>
      <c r="I59" s="737">
        <v>0.25</v>
      </c>
      <c r="J59" s="584">
        <v>0.25</v>
      </c>
      <c r="K59" s="584">
        <v>0.5</v>
      </c>
      <c r="L59" s="584">
        <v>0.5</v>
      </c>
      <c r="M59" s="584">
        <v>0.5</v>
      </c>
      <c r="N59" s="584">
        <v>0.5</v>
      </c>
      <c r="O59" s="584">
        <v>0.5</v>
      </c>
      <c r="P59" s="574">
        <v>0.5</v>
      </c>
    </row>
    <row r="60" spans="2:32" ht="21" customHeight="1" x14ac:dyDescent="0.25">
      <c r="B60" s="1426" t="s">
        <v>424</v>
      </c>
      <c r="C60" s="1427"/>
      <c r="D60" s="1427"/>
      <c r="E60" s="1427"/>
      <c r="F60" s="1427"/>
      <c r="G60" s="1526" t="s">
        <v>74</v>
      </c>
      <c r="H60" s="1634"/>
      <c r="I60" s="737">
        <v>0.125</v>
      </c>
      <c r="J60" s="584">
        <v>0.125</v>
      </c>
      <c r="K60" s="584">
        <v>0.25</v>
      </c>
      <c r="L60" s="584">
        <v>0.25</v>
      </c>
      <c r="M60" s="584">
        <v>0.25</v>
      </c>
      <c r="N60" s="584">
        <v>0.25</v>
      </c>
      <c r="O60" s="584">
        <v>0.25</v>
      </c>
      <c r="P60" s="574">
        <v>0.25</v>
      </c>
    </row>
    <row r="61" spans="2:32" ht="21" customHeight="1" x14ac:dyDescent="0.25">
      <c r="B61" s="1426" t="s">
        <v>425</v>
      </c>
      <c r="C61" s="1427"/>
      <c r="D61" s="1427"/>
      <c r="E61" s="1427"/>
      <c r="F61" s="1427"/>
      <c r="G61" s="1526" t="s">
        <v>545</v>
      </c>
      <c r="H61" s="1634"/>
      <c r="I61" s="737">
        <v>0.25</v>
      </c>
      <c r="J61" s="584">
        <v>0.25</v>
      </c>
      <c r="K61" s="584">
        <v>0.25</v>
      </c>
      <c r="L61" s="584">
        <v>0.25</v>
      </c>
      <c r="M61" s="584">
        <v>0.25</v>
      </c>
      <c r="N61" s="584">
        <v>0.25</v>
      </c>
      <c r="O61" s="584">
        <v>0.25</v>
      </c>
      <c r="P61" s="574">
        <v>0.25</v>
      </c>
    </row>
    <row r="62" spans="2:32" ht="21" customHeight="1" x14ac:dyDescent="0.25">
      <c r="B62" s="1426"/>
      <c r="C62" s="1427"/>
      <c r="D62" s="1427"/>
      <c r="E62" s="1427"/>
      <c r="F62" s="1427"/>
      <c r="G62" s="1526" t="s">
        <v>539</v>
      </c>
      <c r="H62" s="1634"/>
      <c r="I62" s="737">
        <v>0.125</v>
      </c>
      <c r="J62" s="584">
        <v>0.125</v>
      </c>
      <c r="K62" s="584">
        <v>0.25</v>
      </c>
      <c r="L62" s="584">
        <v>0.25</v>
      </c>
      <c r="M62" s="584">
        <v>0.375</v>
      </c>
      <c r="N62" s="584">
        <v>0.5</v>
      </c>
      <c r="O62" s="584" t="s">
        <v>56</v>
      </c>
      <c r="P62" s="574" t="s">
        <v>56</v>
      </c>
    </row>
    <row r="63" spans="2:32" ht="21" customHeight="1" thickBot="1" x14ac:dyDescent="0.25">
      <c r="B63" s="1426" t="s">
        <v>426</v>
      </c>
      <c r="C63" s="1427"/>
      <c r="D63" s="1427"/>
      <c r="E63" s="1427"/>
      <c r="F63" s="1427"/>
      <c r="G63" s="1514" t="s">
        <v>666</v>
      </c>
      <c r="H63" s="1642"/>
      <c r="I63" s="922">
        <v>0.25</v>
      </c>
      <c r="J63" s="918">
        <v>0.25</v>
      </c>
      <c r="K63" s="918">
        <v>0.25</v>
      </c>
      <c r="L63" s="918">
        <v>0.25</v>
      </c>
      <c r="M63" s="918">
        <v>0.375</v>
      </c>
      <c r="N63" s="918">
        <v>0.375</v>
      </c>
      <c r="O63" s="918">
        <v>0.5</v>
      </c>
      <c r="P63" s="919">
        <v>0.5</v>
      </c>
    </row>
    <row r="64" spans="2:32" ht="21" customHeight="1" thickBot="1" x14ac:dyDescent="0.25">
      <c r="B64" s="1426" t="s">
        <v>427</v>
      </c>
      <c r="C64" s="1427"/>
      <c r="D64" s="1427"/>
      <c r="E64" s="1427"/>
      <c r="F64" s="1427"/>
      <c r="G64" s="1631" t="s">
        <v>546</v>
      </c>
      <c r="H64" s="1632"/>
      <c r="I64" s="1632"/>
      <c r="J64" s="1632"/>
      <c r="K64" s="1632"/>
      <c r="L64" s="1632"/>
      <c r="M64" s="1632"/>
      <c r="N64" s="1632"/>
      <c r="O64" s="1632"/>
      <c r="P64" s="1633"/>
    </row>
    <row r="65" spans="2:17" ht="21" customHeight="1" thickBot="1" x14ac:dyDescent="0.3">
      <c r="B65" s="1426" t="s">
        <v>428</v>
      </c>
      <c r="C65" s="1427"/>
      <c r="D65" s="1427"/>
      <c r="E65" s="1427"/>
      <c r="F65" s="1427"/>
      <c r="G65" s="1539">
        <v>24</v>
      </c>
      <c r="H65" s="1641"/>
      <c r="I65" s="553">
        <v>-2</v>
      </c>
      <c r="J65" s="401">
        <v>-2</v>
      </c>
      <c r="K65" s="401">
        <v>-2</v>
      </c>
      <c r="L65" s="401">
        <v>-2</v>
      </c>
      <c r="M65" s="401">
        <v>-2</v>
      </c>
      <c r="N65" s="401">
        <v>-2</v>
      </c>
      <c r="O65" s="401">
        <v>-2</v>
      </c>
      <c r="P65" s="445">
        <v>-2</v>
      </c>
    </row>
    <row r="66" spans="2:17" ht="21" customHeight="1" thickBot="1" x14ac:dyDescent="0.3">
      <c r="B66" s="1680"/>
      <c r="C66" s="1681"/>
      <c r="D66" s="1681"/>
      <c r="E66" s="1681"/>
      <c r="F66" s="1681"/>
      <c r="G66" s="1539">
        <v>36</v>
      </c>
      <c r="H66" s="1641"/>
      <c r="I66" s="630">
        <v>-1.5</v>
      </c>
      <c r="J66" s="738">
        <v>-1.5</v>
      </c>
      <c r="K66" s="738">
        <v>-1.5</v>
      </c>
      <c r="L66" s="738">
        <v>-1.5</v>
      </c>
      <c r="M66" s="738">
        <v>-1.5</v>
      </c>
      <c r="N66" s="738">
        <v>-1.5</v>
      </c>
      <c r="O66" s="738">
        <v>-1.5</v>
      </c>
      <c r="P66" s="739">
        <v>-1.5</v>
      </c>
      <c r="Q66" s="95"/>
    </row>
    <row r="67" spans="2:17" ht="21" customHeight="1" thickBot="1" x14ac:dyDescent="0.3">
      <c r="B67" s="766"/>
      <c r="C67" s="37"/>
      <c r="D67" s="37"/>
      <c r="E67" s="37"/>
      <c r="F67" s="37"/>
      <c r="G67" s="1539">
        <v>60</v>
      </c>
      <c r="H67" s="1641"/>
      <c r="I67" s="80">
        <v>0</v>
      </c>
      <c r="J67" s="554">
        <v>0</v>
      </c>
      <c r="K67" s="554">
        <v>0</v>
      </c>
      <c r="L67" s="554">
        <v>0</v>
      </c>
      <c r="M67" s="554">
        <v>0</v>
      </c>
      <c r="N67" s="554">
        <v>0</v>
      </c>
      <c r="O67" s="554">
        <v>0</v>
      </c>
      <c r="P67" s="631">
        <v>0</v>
      </c>
    </row>
    <row r="68" spans="2:17" ht="21" customHeight="1" x14ac:dyDescent="0.2">
      <c r="B68" s="95"/>
      <c r="E68" s="808"/>
      <c r="F68" s="808"/>
      <c r="G68" s="768" t="s">
        <v>575</v>
      </c>
      <c r="I68" s="1616" t="s">
        <v>571</v>
      </c>
      <c r="J68" s="1617"/>
      <c r="K68" s="1618"/>
      <c r="N68" s="1616" t="s">
        <v>572</v>
      </c>
      <c r="O68" s="1617"/>
      <c r="P68" s="1618"/>
    </row>
    <row r="69" spans="2:17" ht="19.5" customHeight="1" x14ac:dyDescent="0.2">
      <c r="B69" s="95"/>
      <c r="E69" s="809"/>
      <c r="F69" s="809"/>
      <c r="G69" s="809"/>
      <c r="I69" s="1619">
        <v>-2</v>
      </c>
      <c r="J69" s="1620"/>
      <c r="K69" s="1621"/>
      <c r="N69" s="1622" t="s">
        <v>576</v>
      </c>
      <c r="O69" s="1623"/>
      <c r="P69" s="1624"/>
    </row>
    <row r="70" spans="2:17" ht="19.5" customHeight="1" thickBot="1" x14ac:dyDescent="0.25">
      <c r="B70" s="95"/>
      <c r="E70" s="809"/>
      <c r="F70" s="809"/>
      <c r="G70" s="809"/>
      <c r="I70" s="1600"/>
      <c r="J70" s="1601"/>
      <c r="K70" s="1602"/>
      <c r="N70" s="1625"/>
      <c r="O70" s="1626"/>
      <c r="P70" s="1627"/>
    </row>
    <row r="71" spans="2:17" ht="19.5" customHeight="1" x14ac:dyDescent="0.2">
      <c r="B71" s="95"/>
      <c r="E71" s="807"/>
      <c r="I71" s="768" t="s">
        <v>639</v>
      </c>
      <c r="K71" s="767"/>
      <c r="L71" s="767"/>
      <c r="N71" s="167" t="s">
        <v>574</v>
      </c>
      <c r="P71" s="38"/>
    </row>
    <row r="72" spans="2:17" ht="19.5" customHeight="1" x14ac:dyDescent="0.25">
      <c r="B72" s="95"/>
      <c r="I72" s="27" t="s">
        <v>638</v>
      </c>
      <c r="J72" s="767"/>
      <c r="K72" s="767"/>
      <c r="L72" s="767"/>
      <c r="P72" s="38"/>
    </row>
    <row r="73" spans="2:17" ht="19.5" customHeight="1" x14ac:dyDescent="0.2">
      <c r="B73" s="95"/>
      <c r="J73" s="767"/>
      <c r="K73" s="767"/>
      <c r="L73" s="767"/>
      <c r="M73" s="767"/>
      <c r="P73" s="38"/>
    </row>
    <row r="74" spans="2:17" ht="19.5" customHeight="1" x14ac:dyDescent="0.2">
      <c r="B74" s="95"/>
      <c r="H74" s="767"/>
      <c r="I74" s="767"/>
      <c r="J74" s="767"/>
      <c r="K74" s="767"/>
      <c r="L74" s="767"/>
      <c r="M74" s="767"/>
      <c r="P74" s="38"/>
    </row>
    <row r="75" spans="2:17" ht="9.75" customHeight="1" x14ac:dyDescent="0.2">
      <c r="B75" s="95"/>
      <c r="H75" s="767"/>
      <c r="I75" s="767"/>
      <c r="J75" s="767"/>
      <c r="K75" s="767"/>
      <c r="L75" s="767"/>
      <c r="M75" s="767"/>
      <c r="P75" s="38"/>
    </row>
    <row r="76" spans="2:17" ht="9.75" customHeight="1" thickBot="1" x14ac:dyDescent="0.25">
      <c r="B76" s="139"/>
      <c r="C76" s="14"/>
      <c r="D76" s="14"/>
      <c r="E76" s="14"/>
      <c r="F76" s="14"/>
      <c r="G76" s="14"/>
      <c r="H76" s="541"/>
      <c r="I76" s="541"/>
      <c r="J76" s="541"/>
      <c r="K76" s="541"/>
      <c r="L76" s="541"/>
      <c r="M76" s="541"/>
      <c r="N76" s="14"/>
      <c r="O76" s="14"/>
      <c r="P76" s="48"/>
    </row>
    <row r="77" spans="2:17" ht="19.5" customHeight="1" x14ac:dyDescent="0.2">
      <c r="B77" s="1692" t="s">
        <v>300</v>
      </c>
      <c r="C77" s="1693"/>
      <c r="D77" s="1693"/>
      <c r="E77" s="1693"/>
      <c r="F77" s="1693"/>
      <c r="G77" s="1693"/>
      <c r="H77" s="1693"/>
      <c r="I77" s="1693"/>
      <c r="J77" s="1693"/>
      <c r="K77" s="1693"/>
      <c r="L77" s="1693"/>
      <c r="M77" s="1693"/>
      <c r="N77" s="1693"/>
      <c r="O77" s="1693"/>
      <c r="P77" s="1694"/>
    </row>
    <row r="78" spans="2:17" ht="19.5" customHeight="1" x14ac:dyDescent="0.2">
      <c r="B78" s="1695"/>
      <c r="C78" s="1696"/>
      <c r="D78" s="1696"/>
      <c r="E78" s="1696"/>
      <c r="F78" s="1696"/>
      <c r="G78" s="1696"/>
      <c r="H78" s="1696"/>
      <c r="I78" s="1696"/>
      <c r="J78" s="1696"/>
      <c r="K78" s="1696"/>
      <c r="L78" s="1696"/>
      <c r="M78" s="1696"/>
      <c r="N78" s="1696"/>
      <c r="O78" s="1696"/>
      <c r="P78" s="1697"/>
    </row>
    <row r="79" spans="2:17" ht="12" customHeight="1" thickBot="1" x14ac:dyDescent="0.25">
      <c r="B79" s="95"/>
      <c r="P79" s="38"/>
    </row>
    <row r="80" spans="2:17" ht="15" customHeight="1" x14ac:dyDescent="0.2">
      <c r="B80" s="1698" t="s">
        <v>547</v>
      </c>
      <c r="C80" s="1699"/>
      <c r="D80" s="1699"/>
      <c r="E80" s="1699"/>
      <c r="F80" s="1699"/>
      <c r="G80" s="1699"/>
      <c r="H80" s="1700"/>
      <c r="I80" s="1643" t="s">
        <v>566</v>
      </c>
      <c r="J80" s="1644"/>
      <c r="K80" s="1612" t="s">
        <v>565</v>
      </c>
      <c r="L80" s="1613"/>
      <c r="M80" s="1635" t="s">
        <v>366</v>
      </c>
      <c r="N80" s="1636"/>
      <c r="O80" s="1636"/>
      <c r="P80" s="1637"/>
    </row>
    <row r="81" spans="2:16" ht="19.5" customHeight="1" x14ac:dyDescent="0.2">
      <c r="B81" s="1701"/>
      <c r="C81" s="1702"/>
      <c r="D81" s="1702"/>
      <c r="E81" s="1702"/>
      <c r="F81" s="1702"/>
      <c r="G81" s="1702"/>
      <c r="H81" s="1703"/>
      <c r="I81" s="1645"/>
      <c r="J81" s="1646"/>
      <c r="K81" s="1614"/>
      <c r="L81" s="1615"/>
      <c r="M81" s="1638"/>
      <c r="N81" s="1639"/>
      <c r="O81" s="1639"/>
      <c r="P81" s="1640"/>
    </row>
    <row r="82" spans="2:16" ht="17.25" customHeight="1" x14ac:dyDescent="0.25">
      <c r="B82" s="261"/>
      <c r="C82" s="741" t="s">
        <v>551</v>
      </c>
      <c r="D82" s="741" t="s">
        <v>548</v>
      </c>
      <c r="E82" s="735" t="s">
        <v>553</v>
      </c>
      <c r="F82" s="735"/>
      <c r="G82" s="741"/>
      <c r="H82" s="319" t="s">
        <v>550</v>
      </c>
      <c r="I82" s="415" t="s">
        <v>431</v>
      </c>
      <c r="J82" s="740"/>
      <c r="K82" s="740"/>
      <c r="L82" s="443">
        <v>0.9</v>
      </c>
      <c r="M82" s="435" t="s">
        <v>429</v>
      </c>
      <c r="N82" s="742"/>
      <c r="O82" s="742"/>
      <c r="P82" s="436"/>
    </row>
    <row r="83" spans="2:16" ht="17.25" customHeight="1" x14ac:dyDescent="0.25">
      <c r="B83" s="261"/>
      <c r="C83" s="741" t="s">
        <v>552</v>
      </c>
      <c r="D83" s="741" t="s">
        <v>548</v>
      </c>
      <c r="E83" s="735" t="s">
        <v>554</v>
      </c>
      <c r="F83" s="735"/>
      <c r="G83" s="741"/>
      <c r="H83" s="319" t="s">
        <v>549</v>
      </c>
      <c r="I83" s="415" t="s">
        <v>22</v>
      </c>
      <c r="J83" s="740"/>
      <c r="K83" s="740"/>
      <c r="L83" s="443">
        <v>0.75</v>
      </c>
      <c r="M83" s="435" t="s">
        <v>430</v>
      </c>
      <c r="N83" s="742"/>
      <c r="O83" s="742"/>
      <c r="P83" s="436"/>
    </row>
    <row r="84" spans="2:16" ht="17.25" customHeight="1" x14ac:dyDescent="0.25">
      <c r="B84" s="261"/>
      <c r="C84" s="429"/>
      <c r="D84" s="429"/>
      <c r="E84" s="429"/>
      <c r="F84" s="735"/>
      <c r="G84" s="429"/>
      <c r="H84" s="319" t="s">
        <v>555</v>
      </c>
      <c r="I84" s="415" t="s">
        <v>433</v>
      </c>
      <c r="J84" s="743"/>
      <c r="K84" s="743"/>
      <c r="L84" s="443">
        <v>0.7</v>
      </c>
      <c r="M84" s="435" t="s">
        <v>453</v>
      </c>
      <c r="N84" s="744"/>
      <c r="O84" s="745"/>
      <c r="P84" s="437"/>
    </row>
    <row r="85" spans="2:16" ht="17.25" customHeight="1" x14ac:dyDescent="0.3">
      <c r="B85" s="261"/>
      <c r="C85" s="429"/>
      <c r="D85" s="429"/>
      <c r="E85" s="429"/>
      <c r="F85" s="735"/>
      <c r="G85" s="429"/>
      <c r="H85" s="319"/>
      <c r="I85" s="746"/>
      <c r="J85" s="747"/>
      <c r="K85" s="747"/>
      <c r="L85" s="555"/>
      <c r="M85" s="435" t="s">
        <v>432</v>
      </c>
      <c r="N85" s="744"/>
      <c r="O85" s="745"/>
      <c r="P85" s="437"/>
    </row>
    <row r="86" spans="2:16" ht="17.25" customHeight="1" x14ac:dyDescent="0.3">
      <c r="B86" s="261"/>
      <c r="C86" s="429"/>
      <c r="D86" s="429"/>
      <c r="E86" s="429"/>
      <c r="F86" s="735"/>
      <c r="G86" s="429"/>
      <c r="H86" s="319"/>
      <c r="I86" s="746"/>
      <c r="J86" s="747"/>
      <c r="K86" s="747"/>
      <c r="L86" s="555"/>
      <c r="M86" s="435" t="s">
        <v>636</v>
      </c>
      <c r="N86" s="744"/>
      <c r="O86" s="745"/>
      <c r="P86" s="437"/>
    </row>
    <row r="87" spans="2:16" ht="19.5" customHeight="1" thickBot="1" x14ac:dyDescent="0.35">
      <c r="B87" s="725"/>
      <c r="C87" s="726"/>
      <c r="D87" s="726"/>
      <c r="E87" s="726"/>
      <c r="F87" s="726"/>
      <c r="G87" s="726"/>
      <c r="H87" s="727"/>
      <c r="I87" s="728"/>
      <c r="J87" s="729"/>
      <c r="K87" s="729"/>
      <c r="L87" s="730"/>
      <c r="M87" s="769" t="s">
        <v>637</v>
      </c>
      <c r="N87" s="731"/>
      <c r="O87" s="732"/>
      <c r="P87" s="733"/>
    </row>
    <row r="88" spans="2:16" ht="14.25" customHeight="1" x14ac:dyDescent="0.2">
      <c r="B88" s="95"/>
      <c r="P88" s="38"/>
    </row>
    <row r="89" spans="2:16" ht="9.75" customHeight="1" x14ac:dyDescent="0.25">
      <c r="B89" s="507"/>
      <c r="C89" s="495"/>
      <c r="D89" s="748"/>
      <c r="E89" s="495"/>
      <c r="F89" s="493"/>
      <c r="G89" s="1690"/>
      <c r="H89" s="1690"/>
      <c r="I89" s="1690"/>
      <c r="J89" s="1690"/>
      <c r="K89" s="1690"/>
      <c r="L89" s="1690"/>
      <c r="M89" s="1690"/>
      <c r="N89" s="1690"/>
      <c r="O89" s="1690"/>
      <c r="P89" s="1691"/>
    </row>
    <row r="90" spans="2:16" ht="9.75" customHeight="1" x14ac:dyDescent="0.25">
      <c r="B90" s="507"/>
      <c r="C90" s="495"/>
      <c r="D90" s="748"/>
      <c r="E90" s="495"/>
      <c r="F90" s="1707"/>
      <c r="G90" s="1707"/>
      <c r="H90" s="494"/>
      <c r="I90" s="494"/>
      <c r="J90" s="494"/>
      <c r="K90" s="494"/>
      <c r="L90" s="494"/>
      <c r="M90" s="494"/>
      <c r="N90" s="1690"/>
      <c r="O90" s="1690"/>
      <c r="P90" s="1691"/>
    </row>
    <row r="91" spans="2:16" ht="9.75" customHeight="1" thickBot="1" x14ac:dyDescent="0.3">
      <c r="B91" s="507"/>
      <c r="C91" s="495"/>
      <c r="D91" s="748"/>
      <c r="E91" s="495"/>
      <c r="F91" s="1708"/>
      <c r="G91" s="1708"/>
      <c r="H91" s="494"/>
      <c r="I91" s="494"/>
      <c r="J91" s="494"/>
      <c r="K91" s="494"/>
      <c r="L91" s="494"/>
      <c r="M91" s="494"/>
      <c r="N91" s="496"/>
      <c r="O91" s="496"/>
      <c r="P91" s="508"/>
    </row>
    <row r="92" spans="2:16" ht="17.25" customHeight="1" thickBot="1" x14ac:dyDescent="0.3">
      <c r="B92" s="1561" t="s">
        <v>155</v>
      </c>
      <c r="C92" s="1562"/>
      <c r="D92" s="1562"/>
      <c r="E92" s="1562"/>
      <c r="F92" s="1562"/>
      <c r="G92" s="1562"/>
      <c r="H92" s="1562"/>
      <c r="I92" s="1562"/>
      <c r="J92" s="1562"/>
      <c r="K92" s="1562"/>
      <c r="L92" s="1562"/>
      <c r="M92" s="1562"/>
      <c r="N92" s="1562"/>
      <c r="O92" s="1562"/>
      <c r="P92" s="1563"/>
    </row>
    <row r="93" spans="2:16" ht="19.5" customHeight="1" x14ac:dyDescent="0.2">
      <c r="B93" s="1684"/>
      <c r="C93" s="1685"/>
      <c r="D93" s="1685"/>
      <c r="E93" s="1685"/>
      <c r="F93" s="1685"/>
      <c r="G93" s="1685"/>
      <c r="H93" s="1685"/>
      <c r="I93" s="1685"/>
      <c r="J93" s="1685"/>
      <c r="K93" s="1685"/>
      <c r="L93" s="1685"/>
      <c r="M93" s="1685"/>
      <c r="N93" s="1685"/>
      <c r="O93" s="1685"/>
      <c r="P93" s="1686"/>
    </row>
    <row r="94" spans="2:16" ht="19.5" customHeight="1" thickBot="1" x14ac:dyDescent="0.25">
      <c r="B94" s="1687"/>
      <c r="C94" s="1688"/>
      <c r="D94" s="1688"/>
      <c r="E94" s="1688"/>
      <c r="F94" s="1688"/>
      <c r="G94" s="1688"/>
      <c r="H94" s="1688"/>
      <c r="I94" s="1688"/>
      <c r="J94" s="1688"/>
      <c r="K94" s="1688"/>
      <c r="L94" s="1688"/>
      <c r="M94" s="1688"/>
      <c r="N94" s="1688"/>
      <c r="O94" s="1688"/>
      <c r="P94" s="1689"/>
    </row>
    <row r="95" spans="2:16" ht="19.5" customHeight="1" thickBot="1" x14ac:dyDescent="0.3">
      <c r="B95" s="507"/>
      <c r="C95" s="495"/>
      <c r="D95" s="748"/>
      <c r="E95" s="495"/>
      <c r="F95" s="497"/>
      <c r="G95" s="750"/>
      <c r="H95" s="493"/>
      <c r="I95" s="496"/>
      <c r="J95" s="492"/>
      <c r="K95" s="492"/>
      <c r="L95" s="492"/>
      <c r="M95" s="748"/>
      <c r="N95" s="749"/>
      <c r="O95" s="749"/>
      <c r="P95" s="542"/>
    </row>
    <row r="96" spans="2:16" ht="19.5" customHeight="1" x14ac:dyDescent="0.2">
      <c r="B96" s="543"/>
      <c r="C96" s="544"/>
      <c r="D96" s="544"/>
      <c r="E96" s="544"/>
      <c r="F96" s="544"/>
      <c r="G96" s="544"/>
      <c r="H96" s="544"/>
      <c r="I96" s="544"/>
      <c r="J96" s="544"/>
      <c r="K96" s="544"/>
      <c r="L96" s="544"/>
      <c r="M96" s="544"/>
      <c r="N96" s="544"/>
      <c r="O96" s="544"/>
      <c r="P96" s="545"/>
    </row>
    <row r="97" spans="2:16" ht="19.5" customHeight="1" thickBot="1" x14ac:dyDescent="0.25">
      <c r="B97" s="438"/>
      <c r="C97" s="439"/>
      <c r="D97" s="439"/>
      <c r="E97" s="439"/>
      <c r="F97" s="439"/>
      <c r="G97" s="439"/>
      <c r="H97" s="439"/>
      <c r="I97" s="439"/>
      <c r="J97" s="439"/>
      <c r="K97" s="439"/>
      <c r="L97" s="439"/>
      <c r="M97" s="439"/>
      <c r="N97" s="439"/>
      <c r="O97" s="439"/>
      <c r="P97" s="440"/>
    </row>
    <row r="98" spans="2:16" ht="19.5" customHeight="1" x14ac:dyDescent="0.25">
      <c r="B98" s="1250" t="s">
        <v>677</v>
      </c>
      <c r="C98" s="1251"/>
      <c r="D98" s="1251"/>
      <c r="E98" s="1251"/>
      <c r="F98" s="1251"/>
      <c r="G98" s="1251"/>
      <c r="H98" s="1251"/>
      <c r="I98" s="1251"/>
      <c r="J98" s="1251"/>
      <c r="K98" s="1251"/>
      <c r="L98" s="1251"/>
      <c r="M98" s="1251"/>
      <c r="N98" s="1251"/>
      <c r="O98" s="1251"/>
      <c r="P98" s="1252"/>
    </row>
    <row r="99" spans="2:16" ht="19.5" customHeight="1" x14ac:dyDescent="0.25">
      <c r="B99" s="1387" t="s">
        <v>10</v>
      </c>
      <c r="C99" s="1388"/>
      <c r="D99" s="1388"/>
      <c r="E99" s="1388"/>
      <c r="F99" s="1388"/>
      <c r="G99" s="1388"/>
      <c r="H99" s="1388"/>
      <c r="I99" s="1388"/>
      <c r="J99" s="1388"/>
      <c r="K99" s="1388"/>
      <c r="L99" s="1388"/>
      <c r="M99" s="1388"/>
      <c r="N99" s="1388"/>
      <c r="O99" s="1388"/>
      <c r="P99" s="1389"/>
    </row>
    <row r="100" spans="2:16" ht="19.5" customHeight="1" thickBot="1" x14ac:dyDescent="0.3">
      <c r="B100" s="1275" t="s">
        <v>23</v>
      </c>
      <c r="C100" s="1276"/>
      <c r="D100" s="1276"/>
      <c r="E100" s="1276"/>
      <c r="F100" s="1276"/>
      <c r="G100" s="1276"/>
      <c r="H100" s="1276"/>
      <c r="I100" s="1276"/>
      <c r="J100" s="1276"/>
      <c r="K100" s="1276"/>
      <c r="L100" s="1276"/>
      <c r="M100" s="1276"/>
      <c r="N100" s="1276"/>
      <c r="O100" s="1276"/>
      <c r="P100" s="1277"/>
    </row>
    <row r="101" spans="2:16" ht="19.5" customHeight="1" x14ac:dyDescent="0.2">
      <c r="J101" s="37"/>
    </row>
    <row r="102" spans="2:16" ht="19.5" customHeight="1" x14ac:dyDescent="0.25">
      <c r="B102" s="493"/>
      <c r="C102" s="493"/>
      <c r="D102" s="493"/>
      <c r="E102" s="493"/>
      <c r="F102" s="492"/>
      <c r="G102" s="492"/>
      <c r="H102" s="492"/>
      <c r="I102" s="492"/>
      <c r="J102" s="492"/>
      <c r="K102" s="492"/>
      <c r="L102" s="492"/>
      <c r="M102" s="492"/>
      <c r="N102" s="496"/>
      <c r="O102" s="496"/>
      <c r="P102" s="496"/>
    </row>
    <row r="103" spans="2:16" ht="19.5" customHeight="1" x14ac:dyDescent="0.25">
      <c r="B103" s="1676"/>
      <c r="C103" s="1676"/>
      <c r="D103" s="1676"/>
      <c r="E103" s="1676"/>
      <c r="F103" s="493"/>
      <c r="G103" s="493"/>
      <c r="H103" s="492"/>
      <c r="I103" s="492"/>
      <c r="J103" s="492"/>
      <c r="K103" s="492"/>
      <c r="L103" s="492"/>
      <c r="M103" s="492"/>
      <c r="N103" s="499"/>
      <c r="O103" s="499"/>
      <c r="P103" s="499"/>
    </row>
    <row r="104" spans="2:16" ht="19.5" customHeight="1" x14ac:dyDescent="0.35">
      <c r="B104" s="1677"/>
      <c r="C104" s="1677"/>
      <c r="D104" s="1677"/>
      <c r="E104" s="1677"/>
      <c r="F104" s="498"/>
      <c r="G104" s="500"/>
      <c r="H104" s="492"/>
      <c r="I104" s="492"/>
      <c r="J104" s="492"/>
      <c r="K104" s="492"/>
      <c r="L104" s="492"/>
      <c r="M104" s="492"/>
      <c r="N104" s="1678"/>
      <c r="O104" s="1678"/>
      <c r="P104" s="1678"/>
    </row>
    <row r="105" spans="2:16" ht="19.5" customHeight="1" x14ac:dyDescent="0.25">
      <c r="B105" s="1704"/>
      <c r="C105" s="1704"/>
      <c r="D105" s="1704"/>
      <c r="E105" s="1704"/>
      <c r="F105" s="501"/>
      <c r="G105" s="1705"/>
      <c r="H105" s="1705"/>
      <c r="I105" s="1705"/>
      <c r="J105" s="1705"/>
      <c r="K105" s="492"/>
      <c r="L105" s="492"/>
      <c r="M105" s="492"/>
      <c r="N105" s="498"/>
      <c r="O105" s="1706"/>
      <c r="P105" s="1706"/>
    </row>
    <row r="106" spans="2:16" ht="19.5" customHeight="1" x14ac:dyDescent="0.25">
      <c r="B106" s="492"/>
      <c r="C106" s="492"/>
      <c r="D106" s="492"/>
      <c r="E106" s="492"/>
      <c r="F106" s="497"/>
      <c r="G106" s="546"/>
      <c r="H106" s="493"/>
      <c r="I106" s="492"/>
      <c r="J106" s="494"/>
      <c r="K106" s="492"/>
      <c r="L106" s="492"/>
      <c r="M106" s="492"/>
      <c r="N106" s="502"/>
      <c r="O106" s="502"/>
      <c r="P106" s="502"/>
    </row>
    <row r="107" spans="2:16" ht="19.5" customHeight="1" x14ac:dyDescent="0.25">
      <c r="B107" s="492"/>
      <c r="C107" s="492"/>
      <c r="D107" s="492"/>
      <c r="E107" s="492"/>
      <c r="F107" s="503"/>
      <c r="G107" s="546"/>
      <c r="H107" s="493"/>
      <c r="I107" s="492"/>
      <c r="J107" s="494"/>
      <c r="K107" s="492"/>
      <c r="L107" s="492"/>
      <c r="M107" s="492"/>
      <c r="N107" s="498"/>
      <c r="O107" s="547"/>
      <c r="P107" s="556"/>
    </row>
    <row r="108" spans="2:16" ht="19.5" customHeight="1" x14ac:dyDescent="0.25">
      <c r="B108" s="492"/>
      <c r="C108" s="492"/>
      <c r="D108" s="492"/>
      <c r="E108" s="495"/>
      <c r="F108" s="503"/>
      <c r="G108" s="492"/>
      <c r="H108" s="492"/>
      <c r="I108" s="504"/>
      <c r="J108" s="492"/>
      <c r="K108" s="505"/>
      <c r="L108" s="493"/>
      <c r="M108" s="506"/>
      <c r="N108" s="492"/>
      <c r="O108" s="492"/>
      <c r="P108" s="492"/>
    </row>
    <row r="109" spans="2:16" ht="19.5" customHeight="1" x14ac:dyDescent="0.2">
      <c r="B109" s="1677"/>
      <c r="C109" s="1677"/>
      <c r="D109" s="1677"/>
      <c r="E109" s="1677"/>
      <c r="F109" s="1677"/>
      <c r="G109" s="1677"/>
      <c r="H109" s="1677"/>
      <c r="I109" s="1677"/>
      <c r="J109" s="1677"/>
      <c r="K109" s="1677"/>
      <c r="L109" s="1677"/>
      <c r="M109" s="1677"/>
      <c r="N109" s="1677"/>
      <c r="O109" s="1677"/>
      <c r="P109" s="1677"/>
    </row>
    <row r="110" spans="2:16" ht="19.5" customHeight="1" x14ac:dyDescent="0.2">
      <c r="B110" s="1677"/>
      <c r="C110" s="1677"/>
      <c r="D110" s="1677"/>
      <c r="E110" s="1677"/>
      <c r="F110" s="1677"/>
      <c r="G110" s="1677"/>
      <c r="H110" s="1677"/>
      <c r="I110" s="1677"/>
      <c r="J110" s="1677"/>
      <c r="K110" s="1677"/>
      <c r="L110" s="1677"/>
      <c r="M110" s="1677"/>
      <c r="N110" s="1677"/>
      <c r="O110" s="1677"/>
      <c r="P110" s="1677"/>
    </row>
    <row r="111" spans="2:16" ht="19.5" customHeight="1" x14ac:dyDescent="0.2"/>
    <row r="112" spans="2:16" ht="19.5" customHeight="1" x14ac:dyDescent="0.2"/>
    <row r="113" spans="21:21" ht="19.5" customHeight="1" x14ac:dyDescent="0.2"/>
    <row r="114" spans="21:21" ht="19.5" customHeight="1" x14ac:dyDescent="0.2"/>
    <row r="115" spans="21:21" ht="19.5" customHeight="1" x14ac:dyDescent="0.2"/>
    <row r="116" spans="21:21" ht="19.5" customHeight="1" x14ac:dyDescent="0.2"/>
    <row r="117" spans="21:21" ht="19.5" customHeight="1" x14ac:dyDescent="0.2"/>
    <row r="118" spans="21:21" ht="19.5" customHeight="1" x14ac:dyDescent="0.2"/>
    <row r="119" spans="21:21" ht="19.5" customHeight="1" x14ac:dyDescent="0.2"/>
    <row r="120" spans="21:21" ht="19.5" customHeight="1" x14ac:dyDescent="0.2"/>
    <row r="121" spans="21:21" ht="19.5" customHeight="1" x14ac:dyDescent="0.2"/>
    <row r="122" spans="21:21" ht="24.75" customHeight="1" x14ac:dyDescent="0.2"/>
    <row r="123" spans="21:21" ht="26.25" hidden="1" customHeight="1" x14ac:dyDescent="0.2">
      <c r="U123" s="5"/>
    </row>
    <row r="124" spans="21:21" ht="12.75" hidden="1" customHeight="1" x14ac:dyDescent="0.2">
      <c r="U124" s="5"/>
    </row>
    <row r="125" spans="21:21" ht="22.5" hidden="1" customHeight="1" x14ac:dyDescent="0.2">
      <c r="U125" s="5"/>
    </row>
    <row r="126" spans="21:21" ht="23.25" hidden="1" customHeight="1" x14ac:dyDescent="0.2">
      <c r="U126" s="5"/>
    </row>
    <row r="127" spans="21:21" ht="23.25" hidden="1" customHeight="1" x14ac:dyDescent="0.2">
      <c r="U127" s="5"/>
    </row>
    <row r="128" spans="21:21" ht="23.25" hidden="1" customHeight="1" x14ac:dyDescent="0.2">
      <c r="U128" s="5"/>
    </row>
    <row r="129" spans="21:21" ht="23.25" hidden="1" customHeight="1" x14ac:dyDescent="0.2">
      <c r="U129" s="5"/>
    </row>
    <row r="130" spans="21:21" ht="23.25" hidden="1" customHeight="1" x14ac:dyDescent="0.2">
      <c r="U130" s="5"/>
    </row>
    <row r="131" spans="21:21" ht="19.5" hidden="1" customHeight="1" x14ac:dyDescent="0.2">
      <c r="U131" s="5"/>
    </row>
    <row r="132" spans="21:21" ht="23.25" hidden="1" customHeight="1" x14ac:dyDescent="0.2">
      <c r="U132" s="5"/>
    </row>
    <row r="133" spans="21:21" ht="23.25" hidden="1" customHeight="1" x14ac:dyDescent="0.2">
      <c r="U133" s="5"/>
    </row>
    <row r="134" spans="21:21" ht="23.25" hidden="1" customHeight="1" x14ac:dyDescent="0.2">
      <c r="U134" s="5"/>
    </row>
    <row r="135" spans="21:21" ht="23.25" hidden="1" customHeight="1" x14ac:dyDescent="0.2">
      <c r="U135" s="5"/>
    </row>
    <row r="136" spans="21:21" ht="23.25" hidden="1" customHeight="1" x14ac:dyDescent="0.2">
      <c r="U136" s="5"/>
    </row>
    <row r="137" spans="21:21" ht="23.25" hidden="1" customHeight="1" x14ac:dyDescent="0.2">
      <c r="U137" s="5"/>
    </row>
    <row r="138" spans="21:21" ht="23.25" hidden="1" customHeight="1" x14ac:dyDescent="0.2">
      <c r="U138" s="5"/>
    </row>
    <row r="139" spans="21:21" ht="23.25" hidden="1" customHeight="1" x14ac:dyDescent="0.2">
      <c r="U139" s="5"/>
    </row>
    <row r="140" spans="21:21" ht="23.25" hidden="1" customHeight="1" x14ac:dyDescent="0.2">
      <c r="U140" s="5"/>
    </row>
    <row r="141" spans="21:21" ht="23.25" hidden="1" customHeight="1" x14ac:dyDescent="0.2">
      <c r="U141" s="5"/>
    </row>
    <row r="142" spans="21:21" ht="23.25" hidden="1" customHeight="1" x14ac:dyDescent="0.2">
      <c r="U142" s="5"/>
    </row>
    <row r="143" spans="21:21" ht="23.25" hidden="1" customHeight="1" x14ac:dyDescent="0.2">
      <c r="U143" s="5"/>
    </row>
    <row r="144" spans="21:21" ht="23.25" hidden="1" customHeight="1" x14ac:dyDescent="0.2">
      <c r="U144" s="5"/>
    </row>
    <row r="145" spans="3:21" ht="23.25" hidden="1" customHeight="1" x14ac:dyDescent="0.2">
      <c r="U145" s="5"/>
    </row>
    <row r="146" spans="3:21" ht="23.25" hidden="1" customHeight="1" x14ac:dyDescent="0.2">
      <c r="U146" s="5"/>
    </row>
    <row r="147" spans="3:21" ht="23.25" hidden="1" customHeight="1" x14ac:dyDescent="0.2">
      <c r="U147" s="5"/>
    </row>
    <row r="148" spans="3:21" ht="23.25" hidden="1" customHeight="1" x14ac:dyDescent="0.2">
      <c r="U148" s="5"/>
    </row>
    <row r="149" spans="3:21" ht="19.5" hidden="1" customHeight="1" x14ac:dyDescent="0.2">
      <c r="U149" s="5"/>
    </row>
    <row r="150" spans="3:21" ht="23.25" hidden="1" customHeight="1" x14ac:dyDescent="0.2">
      <c r="U150" s="5"/>
    </row>
    <row r="151" spans="3:21" ht="23.25" hidden="1" customHeight="1" x14ac:dyDescent="0.2">
      <c r="U151" s="5"/>
    </row>
    <row r="152" spans="3:21" ht="15.75" hidden="1" customHeight="1" x14ac:dyDescent="0.2">
      <c r="U152" s="5"/>
    </row>
    <row r="153" spans="3:21" ht="15.75" hidden="1" customHeight="1" x14ac:dyDescent="0.2">
      <c r="U153" s="5"/>
    </row>
    <row r="154" spans="3:21" ht="10.5" hidden="1" customHeight="1" x14ac:dyDescent="0.2">
      <c r="Q154" s="16"/>
      <c r="U154" s="5"/>
    </row>
    <row r="155" spans="3:21" ht="19.5" customHeight="1" x14ac:dyDescent="0.2">
      <c r="U155" s="5"/>
    </row>
    <row r="156" spans="3:21" x14ac:dyDescent="0.2">
      <c r="U156" s="5"/>
    </row>
    <row r="157" spans="3:21" x14ac:dyDescent="0.2">
      <c r="U157" s="5"/>
    </row>
    <row r="158" spans="3:21" x14ac:dyDescent="0.2">
      <c r="U158" s="5"/>
    </row>
    <row r="159" spans="3:21" ht="20.25" x14ac:dyDescent="0.2">
      <c r="C159" s="153"/>
      <c r="D159" s="92"/>
      <c r="E159" s="92"/>
      <c r="F159" s="92"/>
      <c r="G159" s="92"/>
      <c r="H159" s="92"/>
      <c r="I159" s="92"/>
      <c r="J159" s="91"/>
      <c r="K159" s="91"/>
      <c r="L159" s="153"/>
      <c r="M159" s="91"/>
      <c r="N159" s="91"/>
      <c r="O159" s="150"/>
      <c r="P159" s="150"/>
      <c r="U159" s="5"/>
    </row>
    <row r="160" spans="3:21" ht="20.25" x14ac:dyDescent="0.2">
      <c r="C160" s="153"/>
      <c r="D160" s="155"/>
      <c r="E160" s="155"/>
      <c r="F160" s="155"/>
      <c r="G160" s="155"/>
      <c r="H160" s="155"/>
      <c r="I160" s="155"/>
      <c r="J160" s="156"/>
      <c r="K160" s="156"/>
      <c r="L160" s="153"/>
      <c r="M160" s="156"/>
      <c r="N160" s="156"/>
      <c r="O160" s="150"/>
      <c r="P160" s="150"/>
      <c r="U160" s="5"/>
    </row>
    <row r="161" spans="3:21" ht="20.25" x14ac:dyDescent="0.2">
      <c r="C161" s="153"/>
      <c r="D161" s="155"/>
      <c r="E161" s="155"/>
      <c r="F161" s="155"/>
      <c r="G161" s="155"/>
      <c r="H161" s="155"/>
      <c r="I161" s="155"/>
      <c r="J161" s="156"/>
      <c r="K161" s="156"/>
      <c r="M161" s="156"/>
      <c r="N161" s="156"/>
      <c r="U161" s="5"/>
    </row>
    <row r="162" spans="3:21" x14ac:dyDescent="0.2">
      <c r="U162" s="5"/>
    </row>
    <row r="163" spans="3:21" x14ac:dyDescent="0.2">
      <c r="U163" s="5"/>
    </row>
  </sheetData>
  <mergeCells count="104">
    <mergeCell ref="B57:F57"/>
    <mergeCell ref="G39:H39"/>
    <mergeCell ref="G37:H37"/>
    <mergeCell ref="G46:H46"/>
    <mergeCell ref="B109:P110"/>
    <mergeCell ref="B93:P94"/>
    <mergeCell ref="G49:P49"/>
    <mergeCell ref="G43:H43"/>
    <mergeCell ref="B92:P92"/>
    <mergeCell ref="G89:M89"/>
    <mergeCell ref="N89:P89"/>
    <mergeCell ref="G44:H44"/>
    <mergeCell ref="G66:H66"/>
    <mergeCell ref="B77:P78"/>
    <mergeCell ref="B80:H81"/>
    <mergeCell ref="B105:C105"/>
    <mergeCell ref="D105:E105"/>
    <mergeCell ref="G105:J105"/>
    <mergeCell ref="O105:P105"/>
    <mergeCell ref="F90:G90"/>
    <mergeCell ref="F91:G91"/>
    <mergeCell ref="N90:P90"/>
    <mergeCell ref="B99:P99"/>
    <mergeCell ref="B100:P100"/>
    <mergeCell ref="B103:C103"/>
    <mergeCell ref="D103:E103"/>
    <mergeCell ref="B104:C104"/>
    <mergeCell ref="D104:E104"/>
    <mergeCell ref="N104:P104"/>
    <mergeCell ref="B98:P98"/>
    <mergeCell ref="G23:H23"/>
    <mergeCell ref="G24:H24"/>
    <mergeCell ref="G25:H25"/>
    <mergeCell ref="G56:H56"/>
    <mergeCell ref="G57:H57"/>
    <mergeCell ref="G48:H48"/>
    <mergeCell ref="G50:H50"/>
    <mergeCell ref="G53:H53"/>
    <mergeCell ref="G54:H54"/>
    <mergeCell ref="G33:H33"/>
    <mergeCell ref="G55:H55"/>
    <mergeCell ref="G41:H41"/>
    <mergeCell ref="G51:H51"/>
    <mergeCell ref="B65:F65"/>
    <mergeCell ref="B66:F66"/>
    <mergeCell ref="G65:H65"/>
    <mergeCell ref="G58:H58"/>
    <mergeCell ref="G62:H62"/>
    <mergeCell ref="G18:H18"/>
    <mergeCell ref="G20:H20"/>
    <mergeCell ref="G21:H21"/>
    <mergeCell ref="G45:H45"/>
    <mergeCell ref="I17:P17"/>
    <mergeCell ref="G22:H22"/>
    <mergeCell ref="B20:C56"/>
    <mergeCell ref="G38:H38"/>
    <mergeCell ref="G47:H47"/>
    <mergeCell ref="G28:H28"/>
    <mergeCell ref="G29:H29"/>
    <mergeCell ref="G30:H30"/>
    <mergeCell ref="G31:H31"/>
    <mergeCell ref="G32:H32"/>
    <mergeCell ref="G36:H36"/>
    <mergeCell ref="G40:H40"/>
    <mergeCell ref="G34:P35"/>
    <mergeCell ref="G42:P42"/>
    <mergeCell ref="G26:P27"/>
    <mergeCell ref="B61:F61"/>
    <mergeCell ref="B62:F62"/>
    <mergeCell ref="B59:F59"/>
    <mergeCell ref="B60:F60"/>
    <mergeCell ref="B58:F58"/>
    <mergeCell ref="B63:F63"/>
    <mergeCell ref="B64:F64"/>
    <mergeCell ref="I80:J81"/>
    <mergeCell ref="B2:D2"/>
    <mergeCell ref="B3:D3"/>
    <mergeCell ref="B4:D4"/>
    <mergeCell ref="B5:D5"/>
    <mergeCell ref="B6:D6"/>
    <mergeCell ref="J7:K7"/>
    <mergeCell ref="B9:P10"/>
    <mergeCell ref="B12:P12"/>
    <mergeCell ref="B13:P14"/>
    <mergeCell ref="N2:P2"/>
    <mergeCell ref="M11:P11"/>
    <mergeCell ref="B16:P16"/>
    <mergeCell ref="G19:P19"/>
    <mergeCell ref="B19:C19"/>
    <mergeCell ref="B18:C18"/>
    <mergeCell ref="B17:H17"/>
    <mergeCell ref="K80:L81"/>
    <mergeCell ref="I68:K68"/>
    <mergeCell ref="I69:K70"/>
    <mergeCell ref="N68:P68"/>
    <mergeCell ref="N69:P70"/>
    <mergeCell ref="G52:P52"/>
    <mergeCell ref="G64:P64"/>
    <mergeCell ref="G59:H59"/>
    <mergeCell ref="G60:H60"/>
    <mergeCell ref="G61:H61"/>
    <mergeCell ref="M80:P81"/>
    <mergeCell ref="G67:H67"/>
    <mergeCell ref="G63:H63"/>
  </mergeCells>
  <phoneticPr fontId="101" type="noConversion"/>
  <printOptions horizontalCentered="1" verticalCentered="1"/>
  <pageMargins left="0.1" right="0.1" top="0.1" bottom="0.1" header="0.1" footer="0.1"/>
  <pageSetup paperSize="5" scale="5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9B39-0B3E-48F5-82F5-305A3C227331}">
  <sheetPr codeName="Sheet7">
    <pageSetUpPr fitToPage="1"/>
  </sheetPr>
  <dimension ref="A1:AJ118"/>
  <sheetViews>
    <sheetView topLeftCell="A18" zoomScale="70" zoomScaleNormal="70" workbookViewId="0">
      <selection activeCell="E84" sqref="E84:K85"/>
    </sheetView>
  </sheetViews>
  <sheetFormatPr defaultRowHeight="14.25" x14ac:dyDescent="0.2"/>
  <cols>
    <col min="1" max="1" width="8" style="5" customWidth="1"/>
    <col min="2" max="2" width="19.140625" style="5" customWidth="1"/>
    <col min="3" max="3" width="14.5703125" style="5" customWidth="1"/>
    <col min="4" max="4" width="7.5703125" style="5" customWidth="1"/>
    <col min="5" max="6" width="13.5703125" style="5" customWidth="1"/>
    <col min="7" max="7" width="20.85546875" style="5" customWidth="1"/>
    <col min="8" max="9" width="13.5703125" style="5" customWidth="1"/>
    <col min="10" max="10" width="16.5703125" style="5" customWidth="1"/>
    <col min="11" max="11" width="17.7109375" style="5" customWidth="1"/>
    <col min="12" max="12" width="5.7109375" style="5" customWidth="1"/>
    <col min="13" max="13" width="19.140625" style="5" customWidth="1"/>
    <col min="14" max="14" width="19" style="5" customWidth="1"/>
    <col min="15" max="16" width="13.5703125" style="5" customWidth="1"/>
    <col min="17" max="17" width="14.7109375" style="5" customWidth="1"/>
    <col min="18" max="18" width="17.28515625" style="5" customWidth="1"/>
    <col min="19" max="20" width="9.140625" style="5"/>
    <col min="21" max="21" width="20.28515625" style="5" customWidth="1"/>
    <col min="22" max="23" width="18.42578125" style="5" customWidth="1"/>
    <col min="24" max="24" width="19" style="5" customWidth="1"/>
    <col min="25" max="31" width="11.85546875" style="5" customWidth="1"/>
    <col min="32" max="32" width="14" style="5" bestFit="1" customWidth="1"/>
    <col min="33" max="16384" width="9.140625" style="5"/>
  </cols>
  <sheetData>
    <row r="1" spans="1:18" ht="21.75" customHeight="1" x14ac:dyDescent="0.25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327" t="s">
        <v>735</v>
      </c>
    </row>
    <row r="2" spans="1:18" ht="20.25" customHeight="1" x14ac:dyDescent="0.25">
      <c r="A2" s="149"/>
      <c r="B2" s="1269" t="s">
        <v>0</v>
      </c>
      <c r="C2" s="1270"/>
      <c r="D2" s="1271"/>
      <c r="E2" s="27"/>
      <c r="F2" s="27"/>
      <c r="G2" s="117"/>
      <c r="H2" s="27"/>
      <c r="I2" s="27"/>
      <c r="J2" s="27"/>
      <c r="K2" s="27"/>
      <c r="L2" s="27"/>
      <c r="M2" s="27"/>
      <c r="N2" s="27"/>
      <c r="O2" s="27"/>
      <c r="P2" s="1269" t="s">
        <v>730</v>
      </c>
      <c r="Q2" s="1270"/>
      <c r="R2" s="1271"/>
    </row>
    <row r="3" spans="1:18" ht="18" customHeight="1" x14ac:dyDescent="0.25">
      <c r="A3" s="149"/>
      <c r="B3" s="1272" t="s">
        <v>1</v>
      </c>
      <c r="C3" s="1273"/>
      <c r="D3" s="1274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309"/>
      <c r="Q3" s="167"/>
      <c r="R3" s="310"/>
    </row>
    <row r="4" spans="1:18" ht="18" customHeight="1" x14ac:dyDescent="0.25">
      <c r="A4" s="149"/>
      <c r="B4" s="1272" t="s">
        <v>2</v>
      </c>
      <c r="C4" s="1273"/>
      <c r="D4" s="1274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309" t="s">
        <v>731</v>
      </c>
      <c r="Q4" s="167"/>
      <c r="R4" s="310">
        <f>[2]FNMA!$P$4</f>
        <v>45980</v>
      </c>
    </row>
    <row r="5" spans="1:18" ht="18" customHeight="1" x14ac:dyDescent="0.25">
      <c r="A5" s="149"/>
      <c r="B5" s="1272" t="s">
        <v>3</v>
      </c>
      <c r="C5" s="1273"/>
      <c r="D5" s="1274"/>
      <c r="E5" s="157"/>
      <c r="F5" s="27"/>
      <c r="G5" s="27"/>
      <c r="H5" s="27"/>
      <c r="I5" s="27"/>
      <c r="J5" s="27"/>
      <c r="K5" s="27"/>
      <c r="L5" s="27"/>
      <c r="M5" s="27"/>
      <c r="N5" s="27"/>
      <c r="O5" s="27"/>
      <c r="P5" s="309" t="s">
        <v>732</v>
      </c>
      <c r="Q5" s="167"/>
      <c r="R5" s="310">
        <f>[2]FNMA!$P$5</f>
        <v>45995</v>
      </c>
    </row>
    <row r="6" spans="1:18" ht="18" customHeight="1" x14ac:dyDescent="0.25">
      <c r="A6" s="149"/>
      <c r="B6" s="1266" t="s">
        <v>4</v>
      </c>
      <c r="C6" s="1267"/>
      <c r="D6" s="1268"/>
      <c r="E6" s="157"/>
      <c r="F6" s="27"/>
      <c r="G6" s="27"/>
      <c r="H6" s="27"/>
      <c r="I6" s="27"/>
      <c r="J6" s="27"/>
      <c r="K6" s="27"/>
      <c r="L6" s="27"/>
      <c r="M6" s="27"/>
      <c r="N6" s="27"/>
      <c r="O6" s="27"/>
      <c r="P6" s="311" t="s">
        <v>733</v>
      </c>
      <c r="Q6" s="135"/>
      <c r="R6" s="312">
        <f>[2]FNMA!$P$6</f>
        <v>46010</v>
      </c>
    </row>
    <row r="7" spans="1:18" ht="18.75" customHeight="1" thickBot="1" x14ac:dyDescent="0.3">
      <c r="B7" s="27"/>
      <c r="C7" s="27"/>
      <c r="D7" s="1062"/>
      <c r="E7" s="27"/>
      <c r="F7" s="1276" t="s">
        <v>5</v>
      </c>
      <c r="G7" s="1276"/>
      <c r="H7" s="1276"/>
      <c r="I7" s="1276"/>
      <c r="J7" s="117"/>
      <c r="K7" s="1369" t="s">
        <v>6</v>
      </c>
      <c r="L7" s="1369"/>
      <c r="M7" s="408">
        <f>[2]FNMA!L7</f>
        <v>45950</v>
      </c>
      <c r="N7" s="576" t="str">
        <f>[2]FNMA!M7</f>
        <v>8:00 AM PST</v>
      </c>
      <c r="O7" s="27"/>
      <c r="P7" s="27"/>
      <c r="Q7" s="27"/>
      <c r="R7" s="27"/>
    </row>
    <row r="8" spans="1:18" ht="10.5" customHeight="1" thickBot="1" x14ac:dyDescent="0.25">
      <c r="B8" s="514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140"/>
    </row>
    <row r="9" spans="1:18" ht="15" customHeight="1" x14ac:dyDescent="0.2">
      <c r="B9" s="1579" t="s">
        <v>38</v>
      </c>
      <c r="C9" s="1580"/>
      <c r="D9" s="1580"/>
      <c r="E9" s="1580"/>
      <c r="F9" s="1580"/>
      <c r="G9" s="1580"/>
      <c r="H9" s="1580"/>
      <c r="I9" s="1580"/>
      <c r="J9" s="1580"/>
      <c r="K9" s="1580"/>
      <c r="L9" s="1580"/>
      <c r="M9" s="1580"/>
      <c r="N9" s="1580"/>
      <c r="O9" s="1580"/>
      <c r="P9" s="1580"/>
      <c r="Q9" s="1580"/>
      <c r="R9" s="1581"/>
    </row>
    <row r="10" spans="1:18" ht="8.25" customHeight="1" thickBot="1" x14ac:dyDescent="0.25">
      <c r="B10" s="1582"/>
      <c r="C10" s="1583"/>
      <c r="D10" s="1583"/>
      <c r="E10" s="1583"/>
      <c r="F10" s="1583"/>
      <c r="G10" s="1583"/>
      <c r="H10" s="1583"/>
      <c r="I10" s="1583"/>
      <c r="J10" s="1583"/>
      <c r="K10" s="1583"/>
      <c r="L10" s="1583"/>
      <c r="M10" s="1583"/>
      <c r="N10" s="1583"/>
      <c r="O10" s="1583"/>
      <c r="P10" s="1583"/>
      <c r="Q10" s="1583"/>
      <c r="R10" s="1584"/>
    </row>
    <row r="11" spans="1:18" ht="23.25" customHeight="1" x14ac:dyDescent="0.25">
      <c r="B11" s="316" t="s">
        <v>358</v>
      </c>
      <c r="C11" s="585"/>
      <c r="D11" s="586"/>
      <c r="E11" s="587"/>
      <c r="F11" s="587"/>
      <c r="G11" s="588" t="s">
        <v>9</v>
      </c>
      <c r="H11" s="588"/>
      <c r="I11" s="588"/>
      <c r="J11" s="27"/>
      <c r="K11" s="1808" t="s">
        <v>352</v>
      </c>
      <c r="L11" s="1808"/>
      <c r="M11" s="1808"/>
      <c r="N11" s="1808"/>
      <c r="O11" s="1795" t="s">
        <v>625</v>
      </c>
      <c r="P11" s="1795"/>
      <c r="Q11" s="1795"/>
      <c r="R11" s="1796"/>
    </row>
    <row r="12" spans="1:18" ht="6" customHeight="1" x14ac:dyDescent="0.25">
      <c r="B12" s="1797"/>
      <c r="C12" s="1798"/>
      <c r="D12" s="1798"/>
      <c r="E12" s="1798"/>
      <c r="F12" s="1798"/>
      <c r="G12" s="1798"/>
      <c r="H12" s="1798"/>
      <c r="I12" s="1798"/>
      <c r="J12" s="1798"/>
      <c r="K12" s="1798"/>
      <c r="L12" s="1798"/>
      <c r="M12" s="1798"/>
      <c r="N12" s="1798"/>
      <c r="O12" s="1798"/>
      <c r="P12" s="1798"/>
      <c r="Q12" s="1798"/>
      <c r="R12" s="1799"/>
    </row>
    <row r="13" spans="1:18" ht="33.75" customHeight="1" x14ac:dyDescent="0.2">
      <c r="B13" s="1769" t="s">
        <v>11</v>
      </c>
      <c r="C13" s="1770"/>
      <c r="D13" s="1770"/>
      <c r="E13" s="1770"/>
      <c r="F13" s="1770"/>
      <c r="G13" s="1770"/>
      <c r="H13" s="1770"/>
      <c r="I13" s="1770"/>
      <c r="J13" s="1770"/>
      <c r="K13" s="1770"/>
      <c r="L13" s="1770"/>
      <c r="M13" s="1770"/>
      <c r="N13" s="1770"/>
      <c r="O13" s="1770"/>
      <c r="P13" s="1770"/>
      <c r="Q13" s="1770"/>
      <c r="R13" s="1771"/>
    </row>
    <row r="14" spans="1:18" ht="21" customHeight="1" x14ac:dyDescent="0.2">
      <c r="B14" s="1802"/>
      <c r="C14" s="1803"/>
      <c r="D14" s="1803"/>
      <c r="E14" s="1803"/>
      <c r="F14" s="1803"/>
      <c r="G14" s="1803"/>
      <c r="H14" s="1803"/>
      <c r="I14" s="1803"/>
      <c r="J14" s="1803"/>
      <c r="K14" s="1803"/>
      <c r="L14" s="1803"/>
      <c r="M14" s="1803"/>
      <c r="N14" s="1803"/>
      <c r="O14" s="1803"/>
      <c r="P14" s="1803"/>
      <c r="Q14" s="1803"/>
      <c r="R14" s="1804"/>
    </row>
    <row r="15" spans="1:18" ht="21" customHeight="1" x14ac:dyDescent="0.2">
      <c r="B15" s="1805"/>
      <c r="C15" s="1806"/>
      <c r="D15" s="1806"/>
      <c r="E15" s="1806"/>
      <c r="F15" s="1806"/>
      <c r="G15" s="1806"/>
      <c r="H15" s="1806"/>
      <c r="I15" s="1806"/>
      <c r="J15" s="1806"/>
      <c r="K15" s="1806"/>
      <c r="L15" s="1806"/>
      <c r="M15" s="1806"/>
      <c r="N15" s="1806"/>
      <c r="O15" s="1806"/>
      <c r="P15" s="1806"/>
      <c r="Q15" s="1806"/>
      <c r="R15" s="1807"/>
    </row>
    <row r="16" spans="1:18" ht="12" customHeight="1" thickBot="1" x14ac:dyDescent="0.25">
      <c r="B16" s="517"/>
      <c r="C16" s="831"/>
      <c r="D16" s="831"/>
      <c r="E16" s="831"/>
      <c r="F16" s="831"/>
      <c r="G16" s="831"/>
      <c r="H16" s="831"/>
      <c r="I16" s="831"/>
      <c r="J16" s="831"/>
      <c r="K16" s="831"/>
      <c r="L16" s="831"/>
      <c r="M16" s="831"/>
      <c r="N16" s="831"/>
      <c r="O16" s="831"/>
      <c r="P16" s="831"/>
      <c r="Q16" s="831"/>
      <c r="R16" s="138"/>
    </row>
    <row r="17" spans="2:18" ht="35.25" customHeight="1" thickBot="1" x14ac:dyDescent="0.25">
      <c r="B17" s="1772" t="s">
        <v>153</v>
      </c>
      <c r="C17" s="1773"/>
      <c r="D17" s="1773"/>
      <c r="E17" s="1773"/>
      <c r="F17" s="1773"/>
      <c r="G17" s="1773"/>
      <c r="H17" s="1773"/>
      <c r="I17" s="1773"/>
      <c r="J17" s="1773"/>
      <c r="K17" s="1773"/>
      <c r="L17" s="1773"/>
      <c r="M17" s="1773"/>
      <c r="N17" s="1773"/>
      <c r="O17" s="1773"/>
      <c r="P17" s="1773"/>
      <c r="Q17" s="1773"/>
      <c r="R17" s="1774"/>
    </row>
    <row r="18" spans="2:18" ht="15" customHeight="1" thickBot="1" x14ac:dyDescent="0.25">
      <c r="B18" s="533"/>
      <c r="C18" s="534"/>
      <c r="D18" s="534"/>
      <c r="E18" s="534"/>
      <c r="F18" s="534"/>
      <c r="G18" s="534"/>
      <c r="H18" s="534"/>
      <c r="I18" s="534"/>
      <c r="J18" s="534"/>
      <c r="K18" s="534"/>
      <c r="L18" s="534"/>
      <c r="M18" s="534"/>
      <c r="N18" s="534"/>
      <c r="O18" s="534"/>
      <c r="P18" s="534"/>
      <c r="Q18" s="534"/>
      <c r="R18" s="535"/>
    </row>
    <row r="19" spans="2:18" ht="27.75" customHeight="1" thickBot="1" x14ac:dyDescent="0.25">
      <c r="B19" s="1793" t="s">
        <v>379</v>
      </c>
      <c r="C19" s="1794"/>
      <c r="D19" s="609"/>
      <c r="E19" s="1764" t="s">
        <v>250</v>
      </c>
      <c r="F19" s="1765"/>
      <c r="G19" s="1766"/>
      <c r="H19" s="610"/>
      <c r="I19" s="1764" t="s">
        <v>251</v>
      </c>
      <c r="J19" s="1765"/>
      <c r="K19" s="1766"/>
      <c r="L19" s="611"/>
      <c r="M19" s="522" t="s">
        <v>530</v>
      </c>
      <c r="N19" s="523"/>
      <c r="O19" s="1775" t="s">
        <v>454</v>
      </c>
      <c r="P19" s="1776"/>
      <c r="Q19" s="1776"/>
      <c r="R19" s="1777"/>
    </row>
    <row r="20" spans="2:18" ht="32.25" customHeight="1" thickBot="1" x14ac:dyDescent="0.25">
      <c r="B20" s="1785" t="s">
        <v>488</v>
      </c>
      <c r="C20" s="1786"/>
      <c r="D20" s="181"/>
      <c r="E20" s="1750" t="s">
        <v>379</v>
      </c>
      <c r="F20" s="1751"/>
      <c r="G20" s="1752"/>
      <c r="I20" s="1750" t="s">
        <v>529</v>
      </c>
      <c r="J20" s="1751"/>
      <c r="K20" s="1752"/>
      <c r="L20" s="832"/>
      <c r="M20" s="1800" t="s">
        <v>520</v>
      </c>
      <c r="N20" s="1801"/>
      <c r="O20" s="1778"/>
      <c r="P20" s="1779"/>
      <c r="Q20" s="1779"/>
      <c r="R20" s="1780"/>
    </row>
    <row r="21" spans="2:18" ht="25.5" customHeight="1" thickTop="1" thickBot="1" x14ac:dyDescent="0.3">
      <c r="B21" s="1787" t="s">
        <v>154</v>
      </c>
      <c r="C21" s="1788"/>
      <c r="D21" s="181"/>
      <c r="E21" s="1744" t="s">
        <v>488</v>
      </c>
      <c r="F21" s="1745"/>
      <c r="G21" s="1746"/>
      <c r="I21" s="1744" t="s">
        <v>520</v>
      </c>
      <c r="J21" s="1745"/>
      <c r="K21" s="1746"/>
      <c r="L21" s="832"/>
      <c r="M21" s="1783" t="s">
        <v>521</v>
      </c>
      <c r="N21" s="1784"/>
      <c r="O21" s="1809" t="s">
        <v>498</v>
      </c>
      <c r="P21" s="1810"/>
      <c r="Q21" s="1810"/>
      <c r="R21" s="1811"/>
    </row>
    <row r="22" spans="2:18" ht="20.25" customHeight="1" thickBot="1" x14ac:dyDescent="0.25">
      <c r="B22" s="1789" t="s">
        <v>489</v>
      </c>
      <c r="C22" s="1790"/>
      <c r="D22" s="181"/>
      <c r="E22" s="1756" t="s">
        <v>474</v>
      </c>
      <c r="F22" s="1757"/>
      <c r="G22" s="1758"/>
      <c r="I22" s="1756" t="s">
        <v>506</v>
      </c>
      <c r="J22" s="1757"/>
      <c r="K22" s="1758"/>
      <c r="L22" s="607"/>
      <c r="M22" s="1767" t="s">
        <v>522</v>
      </c>
      <c r="N22" s="1768"/>
      <c r="O22" s="833"/>
      <c r="P22" s="833"/>
      <c r="Q22" s="833"/>
      <c r="R22" s="524"/>
    </row>
    <row r="23" spans="2:18" ht="21.75" customHeight="1" x14ac:dyDescent="0.25">
      <c r="B23" s="1791" t="s">
        <v>262</v>
      </c>
      <c r="C23" s="1792"/>
      <c r="D23" s="181"/>
      <c r="E23" s="1736" t="s">
        <v>475</v>
      </c>
      <c r="F23" s="1737"/>
      <c r="G23" s="1738"/>
      <c r="I23" s="1741" t="s">
        <v>523</v>
      </c>
      <c r="J23" s="1742"/>
      <c r="K23" s="1743"/>
      <c r="L23" s="834"/>
      <c r="M23" s="852" t="s">
        <v>14</v>
      </c>
      <c r="N23" s="853" t="s">
        <v>15</v>
      </c>
      <c r="O23" s="1598" t="s">
        <v>497</v>
      </c>
      <c r="P23" s="1598"/>
      <c r="Q23" s="1598"/>
      <c r="R23" s="1599"/>
    </row>
    <row r="24" spans="2:18" ht="21.75" customHeight="1" thickBot="1" x14ac:dyDescent="0.3">
      <c r="B24" s="1781" t="s">
        <v>490</v>
      </c>
      <c r="C24" s="1782"/>
      <c r="D24" s="181"/>
      <c r="E24" s="1736" t="s">
        <v>476</v>
      </c>
      <c r="F24" s="1737"/>
      <c r="G24" s="1738"/>
      <c r="H24" s="835"/>
      <c r="I24" s="1741" t="s">
        <v>524</v>
      </c>
      <c r="J24" s="1742"/>
      <c r="K24" s="1743"/>
      <c r="L24" s="834"/>
      <c r="M24" s="95"/>
      <c r="N24" s="38"/>
      <c r="O24" s="1598" t="s">
        <v>496</v>
      </c>
      <c r="P24" s="1598"/>
      <c r="Q24" s="1598"/>
      <c r="R24" s="1599"/>
    </row>
    <row r="25" spans="2:18" ht="21.75" customHeight="1" x14ac:dyDescent="0.25">
      <c r="B25" s="852" t="s">
        <v>14</v>
      </c>
      <c r="C25" s="853" t="s">
        <v>15</v>
      </c>
      <c r="D25" s="181"/>
      <c r="E25" s="1736" t="s">
        <v>477</v>
      </c>
      <c r="F25" s="1737"/>
      <c r="G25" s="1738"/>
      <c r="H25" s="223"/>
      <c r="I25" s="1736" t="s">
        <v>525</v>
      </c>
      <c r="J25" s="1737"/>
      <c r="K25" s="1738"/>
      <c r="L25" s="836"/>
      <c r="M25" s="104">
        <f>MIN('[1]Pricing '!$A$3000:$A$3028)</f>
        <v>5.75</v>
      </c>
      <c r="N25" s="305">
        <f>100-VLOOKUP(M25,'[1]Pricing '!$A$3000:$K$3028,11,FALSE)</f>
        <v>5.3400000000000034</v>
      </c>
      <c r="O25" s="1598" t="s">
        <v>495</v>
      </c>
      <c r="P25" s="1598"/>
      <c r="Q25" s="1598"/>
      <c r="R25" s="1599"/>
    </row>
    <row r="26" spans="2:18" ht="21.75" customHeight="1" x14ac:dyDescent="0.25">
      <c r="B26" s="95"/>
      <c r="C26" s="38"/>
      <c r="D26" s="181"/>
      <c r="E26" s="1736" t="s">
        <v>478</v>
      </c>
      <c r="F26" s="1737"/>
      <c r="G26" s="1738"/>
      <c r="H26" s="223"/>
      <c r="I26" s="1736" t="s">
        <v>526</v>
      </c>
      <c r="J26" s="1737"/>
      <c r="K26" s="1738"/>
      <c r="L26" s="836"/>
      <c r="M26" s="104">
        <f t="shared" ref="M26:M31" si="0">M25+0.125</f>
        <v>5.875</v>
      </c>
      <c r="N26" s="305">
        <f>100-VLOOKUP(M26,'[1]Pricing '!$A$3000:$K$3028,11,FALSE)</f>
        <v>4.7150000000000034</v>
      </c>
      <c r="O26" s="1598" t="s">
        <v>492</v>
      </c>
      <c r="P26" s="1598"/>
      <c r="Q26" s="1598"/>
      <c r="R26" s="1599"/>
    </row>
    <row r="27" spans="2:18" ht="21.75" customHeight="1" x14ac:dyDescent="0.25">
      <c r="B27" s="104">
        <v>5.875</v>
      </c>
      <c r="C27" s="305">
        <f>100-VLOOKUP(B27,'[1]Pricing '!$A$1619:$K$1646,11,FALSE)</f>
        <v>5.7150000000000034</v>
      </c>
      <c r="D27" s="181"/>
      <c r="E27" s="1736" t="s">
        <v>480</v>
      </c>
      <c r="F27" s="1737"/>
      <c r="G27" s="1738"/>
      <c r="H27" s="223"/>
      <c r="I27" s="1736" t="s">
        <v>480</v>
      </c>
      <c r="J27" s="1737"/>
      <c r="K27" s="1738"/>
      <c r="L27" s="836"/>
      <c r="M27" s="104">
        <f t="shared" si="0"/>
        <v>6</v>
      </c>
      <c r="N27" s="305">
        <f>100-VLOOKUP(M27,'[1]Pricing '!$A$3000:$K$3028,11,FALSE)</f>
        <v>4.0900000000000034</v>
      </c>
      <c r="O27" s="1598" t="s">
        <v>493</v>
      </c>
      <c r="P27" s="1598"/>
      <c r="Q27" s="1598"/>
      <c r="R27" s="1599"/>
    </row>
    <row r="28" spans="2:18" ht="21.75" customHeight="1" thickBot="1" x14ac:dyDescent="0.3">
      <c r="B28" s="104">
        <f>B27+0.125</f>
        <v>6</v>
      </c>
      <c r="C28" s="305">
        <f>100-VLOOKUP(B28,'[1]Pricing '!$A$1619:$K$1646,11,FALSE)</f>
        <v>5.0900000000000034</v>
      </c>
      <c r="D28" s="181"/>
      <c r="E28" s="1736" t="s">
        <v>479</v>
      </c>
      <c r="F28" s="1737"/>
      <c r="G28" s="1738"/>
      <c r="H28" s="223"/>
      <c r="I28" s="1759" t="s">
        <v>479</v>
      </c>
      <c r="J28" s="1760"/>
      <c r="K28" s="1761"/>
      <c r="L28" s="836"/>
      <c r="M28" s="104">
        <f t="shared" si="0"/>
        <v>6.125</v>
      </c>
      <c r="N28" s="305">
        <f>100-VLOOKUP(M28,'[1]Pricing '!$A$3000:$K$3028,11,FALSE)</f>
        <v>3.5900000000000034</v>
      </c>
      <c r="O28" s="1598" t="s">
        <v>178</v>
      </c>
      <c r="P28" s="1598"/>
      <c r="Q28" s="1598"/>
      <c r="R28" s="1599"/>
    </row>
    <row r="29" spans="2:18" ht="21.75" customHeight="1" thickTop="1" thickBot="1" x14ac:dyDescent="0.3">
      <c r="B29" s="104">
        <f t="shared" ref="B29:B47" si="1">B28+0.125</f>
        <v>6.125</v>
      </c>
      <c r="C29" s="305">
        <f>100-VLOOKUP(B29,'[1]Pricing '!$A$1619:$K$1646,11,FALSE)</f>
        <v>4.4650000000000034</v>
      </c>
      <c r="D29" s="181"/>
      <c r="E29" s="810"/>
      <c r="F29" s="811" t="s">
        <v>250</v>
      </c>
      <c r="G29" s="812"/>
      <c r="H29" s="223"/>
      <c r="I29" s="810"/>
      <c r="J29" s="811" t="s">
        <v>251</v>
      </c>
      <c r="K29" s="812"/>
      <c r="L29" s="608"/>
      <c r="M29" s="104">
        <f t="shared" si="0"/>
        <v>6.25</v>
      </c>
      <c r="N29" s="305">
        <f>100-VLOOKUP(M29,'[1]Pricing '!$A$3000:$K$3028,11,FALSE)</f>
        <v>3.0900000000000034</v>
      </c>
      <c r="O29" s="1598" t="s">
        <v>494</v>
      </c>
      <c r="P29" s="1598"/>
      <c r="Q29" s="1598"/>
      <c r="R29" s="1599"/>
    </row>
    <row r="30" spans="2:18" ht="27.75" customHeight="1" thickTop="1" thickBot="1" x14ac:dyDescent="0.3">
      <c r="B30" s="104">
        <f t="shared" si="1"/>
        <v>6.25</v>
      </c>
      <c r="C30" s="305">
        <f>100-VLOOKUP(B30,'[1]Pricing '!$A$1619:$K$1646,11,FALSE)</f>
        <v>3.9650000000000034</v>
      </c>
      <c r="D30" s="181"/>
      <c r="E30" s="1747" t="s">
        <v>154</v>
      </c>
      <c r="F30" s="1748"/>
      <c r="G30" s="1749"/>
      <c r="H30" s="211"/>
      <c r="I30" s="1747" t="s">
        <v>521</v>
      </c>
      <c r="J30" s="1748"/>
      <c r="K30" s="1749"/>
      <c r="L30" s="27"/>
      <c r="M30" s="104">
        <f t="shared" si="0"/>
        <v>6.375</v>
      </c>
      <c r="N30" s="305">
        <f>100-VLOOKUP(M30,'[1]Pricing '!$A$3000:$K$3028,11,FALSE)</f>
        <v>2.5900000000000034</v>
      </c>
      <c r="O30" s="1598" t="s">
        <v>418</v>
      </c>
      <c r="P30" s="1598"/>
      <c r="Q30" s="1598"/>
      <c r="R30" s="1599"/>
    </row>
    <row r="31" spans="2:18" ht="21.75" customHeight="1" thickBot="1" x14ac:dyDescent="0.3">
      <c r="B31" s="104">
        <f t="shared" si="1"/>
        <v>6.375</v>
      </c>
      <c r="C31" s="305">
        <f>100-VLOOKUP(B31,'[1]Pricing '!$A$1619:$K$1646,11,FALSE)</f>
        <v>3.4650000000000034</v>
      </c>
      <c r="D31" s="181"/>
      <c r="E31" s="1750" t="s">
        <v>489</v>
      </c>
      <c r="F31" s="1751"/>
      <c r="G31" s="1752"/>
      <c r="H31" s="223"/>
      <c r="I31" s="1750" t="s">
        <v>522</v>
      </c>
      <c r="J31" s="1751"/>
      <c r="K31" s="1752"/>
      <c r="M31" s="104">
        <f t="shared" si="0"/>
        <v>6.5</v>
      </c>
      <c r="N31" s="305">
        <f>100-VLOOKUP(M31,'[1]Pricing '!$A$3000:$K$3028,11,FALSE)</f>
        <v>2.0900000000000034</v>
      </c>
      <c r="O31" s="1598" t="s">
        <v>419</v>
      </c>
      <c r="P31" s="1598"/>
      <c r="Q31" s="1598"/>
      <c r="R31" s="1599"/>
    </row>
    <row r="32" spans="2:18" ht="21.75" customHeight="1" x14ac:dyDescent="0.25">
      <c r="B32" s="104">
        <f t="shared" si="1"/>
        <v>6.5</v>
      </c>
      <c r="C32" s="305">
        <f>100-VLOOKUP(B32,'[1]Pricing '!$A$1619:$K$1646,11,FALSE)</f>
        <v>2.9650000000000034</v>
      </c>
      <c r="D32" s="181"/>
      <c r="E32" s="1756" t="s">
        <v>473</v>
      </c>
      <c r="F32" s="1757"/>
      <c r="G32" s="1758"/>
      <c r="H32" s="223"/>
      <c r="I32" s="1756" t="s">
        <v>506</v>
      </c>
      <c r="J32" s="1757"/>
      <c r="K32" s="1758"/>
      <c r="M32" s="104">
        <f t="shared" ref="M32:M44" si="2">M31+0.125</f>
        <v>6.625</v>
      </c>
      <c r="N32" s="305">
        <f>100-VLOOKUP(M32,'[1]Pricing '!$A$3000:$K$3028,11,FALSE)</f>
        <v>1.7150000000000034</v>
      </c>
      <c r="O32" s="1598" t="s">
        <v>420</v>
      </c>
      <c r="P32" s="1598"/>
      <c r="Q32" s="1598"/>
      <c r="R32" s="1599"/>
    </row>
    <row r="33" spans="1:35" ht="29.25" customHeight="1" x14ac:dyDescent="0.25">
      <c r="B33" s="104">
        <f t="shared" si="1"/>
        <v>6.625</v>
      </c>
      <c r="C33" s="305">
        <f>100-VLOOKUP(B33,'[1]Pricing '!$A$1619:$K$1646,11,FALSE)</f>
        <v>2.5900000000000034</v>
      </c>
      <c r="D33" s="181"/>
      <c r="E33" s="1736" t="s">
        <v>481</v>
      </c>
      <c r="F33" s="1737"/>
      <c r="G33" s="1738"/>
      <c r="H33" s="223"/>
      <c r="I33" s="1741" t="s">
        <v>527</v>
      </c>
      <c r="J33" s="1742"/>
      <c r="K33" s="1743"/>
      <c r="L33" s="521"/>
      <c r="M33" s="104">
        <f t="shared" si="2"/>
        <v>6.75</v>
      </c>
      <c r="N33" s="305">
        <f>100-VLOOKUP(M33,'[1]Pricing '!$A$3000:$K$3028,11,FALSE)</f>
        <v>1.3400000000000034</v>
      </c>
      <c r="O33" s="1598" t="s">
        <v>316</v>
      </c>
      <c r="P33" s="1598"/>
      <c r="Q33" s="1598"/>
      <c r="R33" s="1599"/>
      <c r="W33" s="518"/>
      <c r="X33" s="518"/>
    </row>
    <row r="34" spans="1:35" ht="21.75" customHeight="1" x14ac:dyDescent="0.25">
      <c r="B34" s="104">
        <f t="shared" si="1"/>
        <v>6.75</v>
      </c>
      <c r="C34" s="305">
        <f>100-VLOOKUP(B34,'[1]Pricing '!$A$1619:$K$1646,11,FALSE)</f>
        <v>2.2150000000000034</v>
      </c>
      <c r="D34" s="181"/>
      <c r="E34" s="1736" t="s">
        <v>482</v>
      </c>
      <c r="F34" s="1737"/>
      <c r="G34" s="1738"/>
      <c r="H34" s="223"/>
      <c r="I34" s="1736" t="s">
        <v>528</v>
      </c>
      <c r="J34" s="1737"/>
      <c r="K34" s="1738"/>
      <c r="L34" s="832"/>
      <c r="M34" s="104">
        <f t="shared" si="2"/>
        <v>6.875</v>
      </c>
      <c r="N34" s="305">
        <f>100-VLOOKUP(M34,'[1]Pricing '!$A$3000:$K$3028,11,FALSE)</f>
        <v>0.96500000000000341</v>
      </c>
      <c r="O34" s="1598" t="s">
        <v>317</v>
      </c>
      <c r="P34" s="1598"/>
      <c r="Q34" s="1598"/>
      <c r="R34" s="1599"/>
    </row>
    <row r="35" spans="1:35" ht="21.75" customHeight="1" x14ac:dyDescent="0.25">
      <c r="B35" s="104">
        <f t="shared" si="1"/>
        <v>6.875</v>
      </c>
      <c r="C35" s="305">
        <f>100-VLOOKUP(B35,'[1]Pricing '!$A$1619:$K$1646,11,FALSE)</f>
        <v>1.8400000000000034</v>
      </c>
      <c r="D35" s="181"/>
      <c r="E35" s="1736" t="s">
        <v>483</v>
      </c>
      <c r="F35" s="1737"/>
      <c r="G35" s="1738"/>
      <c r="H35" s="223"/>
      <c r="I35" s="813"/>
      <c r="J35" s="837"/>
      <c r="K35" s="814"/>
      <c r="L35" s="832"/>
      <c r="M35" s="104">
        <f t="shared" si="2"/>
        <v>7</v>
      </c>
      <c r="N35" s="305">
        <f>100-VLOOKUP(M35,'[1]Pricing '!$A$3000:$K$3028,11,FALSE)</f>
        <v>0.61500000000000909</v>
      </c>
      <c r="O35" s="1598" t="s">
        <v>318</v>
      </c>
      <c r="P35" s="1598"/>
      <c r="Q35" s="1598"/>
      <c r="R35" s="1599"/>
    </row>
    <row r="36" spans="1:35" ht="21.75" customHeight="1" x14ac:dyDescent="0.25">
      <c r="B36" s="104">
        <f t="shared" si="1"/>
        <v>7</v>
      </c>
      <c r="C36" s="305">
        <f>100-VLOOKUP(B36,'[1]Pricing '!$A$1619:$K$1646,11,FALSE)</f>
        <v>1.4650000000000034</v>
      </c>
      <c r="D36" s="838"/>
      <c r="E36" s="1736" t="s">
        <v>480</v>
      </c>
      <c r="F36" s="1737"/>
      <c r="G36" s="1738"/>
      <c r="H36" s="223"/>
      <c r="I36" s="1741" t="s">
        <v>480</v>
      </c>
      <c r="J36" s="1742"/>
      <c r="K36" s="1743"/>
      <c r="L36" s="607"/>
      <c r="M36" s="104">
        <f t="shared" si="2"/>
        <v>7.125</v>
      </c>
      <c r="N36" s="305">
        <f>100-VLOOKUP(M36,'[1]Pricing '!$A$3000:$K$3028,11,FALSE)</f>
        <v>0.29000000000000625</v>
      </c>
      <c r="O36" s="1598" t="s">
        <v>319</v>
      </c>
      <c r="P36" s="1598"/>
      <c r="Q36" s="1598"/>
      <c r="R36" s="1599"/>
    </row>
    <row r="37" spans="1:35" ht="21.75" customHeight="1" thickBot="1" x14ac:dyDescent="0.3">
      <c r="B37" s="104">
        <f t="shared" si="1"/>
        <v>7.125</v>
      </c>
      <c r="C37" s="305">
        <f>100-VLOOKUP(B37,'[1]Pricing '!$A$1619:$K$1646,11,FALSE)</f>
        <v>1.0900000000000034</v>
      </c>
      <c r="D37" s="838"/>
      <c r="E37" s="1759" t="s">
        <v>479</v>
      </c>
      <c r="F37" s="1760"/>
      <c r="G37" s="1761"/>
      <c r="H37" s="223"/>
      <c r="I37" s="1759" t="s">
        <v>479</v>
      </c>
      <c r="J37" s="1760"/>
      <c r="K37" s="1761"/>
      <c r="L37" s="834"/>
      <c r="M37" s="104">
        <f t="shared" si="2"/>
        <v>7.25</v>
      </c>
      <c r="N37" s="305">
        <f>100-VLOOKUP(M37,'[1]Pricing '!$A$3000:$K$3028,11,FALSE)</f>
        <v>-9.9999999999909051E-3</v>
      </c>
      <c r="O37" s="1598" t="s">
        <v>179</v>
      </c>
      <c r="P37" s="1598"/>
      <c r="Q37" s="1598"/>
      <c r="R37" s="1599"/>
    </row>
    <row r="38" spans="1:35" ht="21.75" customHeight="1" thickTop="1" thickBot="1" x14ac:dyDescent="0.25">
      <c r="B38" s="104">
        <f t="shared" si="1"/>
        <v>7.25</v>
      </c>
      <c r="C38" s="305">
        <f>100-VLOOKUP(B38,'[1]Pricing '!$A$1619:$K$1646,11,FALSE)</f>
        <v>0.71500000000000341</v>
      </c>
      <c r="E38" s="1753" t="s">
        <v>250</v>
      </c>
      <c r="F38" s="1754"/>
      <c r="G38" s="1755"/>
      <c r="H38" s="223"/>
      <c r="L38" s="836"/>
      <c r="M38" s="104">
        <f t="shared" si="2"/>
        <v>7.375</v>
      </c>
      <c r="N38" s="305">
        <f>100-VLOOKUP(M38,'[1]Pricing '!$A$3000:$K$3028,11,FALSE)</f>
        <v>-0.28499999999999659</v>
      </c>
      <c r="O38" s="833"/>
      <c r="P38" s="833"/>
      <c r="Q38" s="833"/>
      <c r="R38" s="524"/>
    </row>
    <row r="39" spans="1:35" ht="21.75" customHeight="1" thickTop="1" thickBot="1" x14ac:dyDescent="0.25">
      <c r="B39" s="104">
        <f t="shared" si="1"/>
        <v>7.375</v>
      </c>
      <c r="C39" s="305">
        <f>100-VLOOKUP(B39,'[1]Pricing '!$A$1619:$K$1646,11,FALSE)</f>
        <v>0.36777777777777487</v>
      </c>
      <c r="E39" s="1747" t="s">
        <v>262</v>
      </c>
      <c r="F39" s="1748"/>
      <c r="G39" s="1749"/>
      <c r="H39" s="518"/>
      <c r="I39" s="186"/>
      <c r="J39" s="186"/>
      <c r="K39" s="186"/>
      <c r="M39" s="104">
        <f t="shared" si="2"/>
        <v>7.5</v>
      </c>
      <c r="N39" s="305">
        <f>100-VLOOKUP(M39,'[1]Pricing '!$A$3000:$K$3028,11,FALSE)</f>
        <v>-0.53499999999999659</v>
      </c>
      <c r="O39" s="1721" t="s">
        <v>259</v>
      </c>
      <c r="P39" s="1721"/>
      <c r="Q39" s="1721"/>
      <c r="R39" s="1722"/>
    </row>
    <row r="40" spans="1:35" ht="27" customHeight="1" thickBot="1" x14ac:dyDescent="0.3">
      <c r="B40" s="104">
        <f t="shared" si="1"/>
        <v>7.5</v>
      </c>
      <c r="C40" s="305">
        <f>100-VLOOKUP(B40,'[1]Pricing '!$A$1619:$K$1646,11,FALSE)</f>
        <v>4.8333333333332007E-2</v>
      </c>
      <c r="D40" s="838"/>
      <c r="E40" s="1750" t="s">
        <v>490</v>
      </c>
      <c r="F40" s="1751"/>
      <c r="G40" s="1752"/>
      <c r="H40" s="223"/>
      <c r="I40" s="186"/>
      <c r="J40" s="27"/>
      <c r="K40" s="27"/>
      <c r="L40" s="836"/>
      <c r="M40" s="104">
        <f t="shared" si="2"/>
        <v>7.625</v>
      </c>
      <c r="N40" s="305">
        <f>100-VLOOKUP(M40,'[1]Pricing '!$A$3000:$K$3028,11,FALSE)</f>
        <v>-0.75999999999999091</v>
      </c>
      <c r="O40" s="1723"/>
      <c r="P40" s="1723"/>
      <c r="Q40" s="1723"/>
      <c r="R40" s="1724"/>
    </row>
    <row r="41" spans="1:35" ht="21.75" customHeight="1" x14ac:dyDescent="0.2">
      <c r="B41" s="104">
        <f t="shared" si="1"/>
        <v>7.625</v>
      </c>
      <c r="C41" s="305">
        <f>100-VLOOKUP(B41,'[1]Pricing '!$A$1619:$K$1646,11,FALSE)</f>
        <v>-0.24333333333332519</v>
      </c>
      <c r="D41" s="838"/>
      <c r="E41" s="1756" t="s">
        <v>473</v>
      </c>
      <c r="F41" s="1757"/>
      <c r="G41" s="1758"/>
      <c r="H41" s="223"/>
      <c r="L41" s="836"/>
      <c r="M41" s="104">
        <f t="shared" si="2"/>
        <v>7.75</v>
      </c>
      <c r="N41" s="305">
        <f>100-VLOOKUP(M41,'[1]Pricing '!$A$3000:$K$3028,11,FALSE)</f>
        <v>-0.95999999999999375</v>
      </c>
      <c r="O41" s="1725" t="s">
        <v>260</v>
      </c>
      <c r="P41" s="1725"/>
      <c r="Q41" s="1725"/>
      <c r="R41" s="1726"/>
      <c r="Z41" s="183"/>
      <c r="AA41" s="183"/>
      <c r="AE41" s="183"/>
      <c r="AG41" s="183"/>
      <c r="AH41" s="183"/>
      <c r="AI41" s="183"/>
    </row>
    <row r="42" spans="1:35" ht="21.75" customHeight="1" thickBot="1" x14ac:dyDescent="0.25">
      <c r="B42" s="104">
        <f t="shared" si="1"/>
        <v>7.75</v>
      </c>
      <c r="C42" s="305">
        <f>100-VLOOKUP(B42,'[1]Pricing '!$A$1619:$K$1646,11,FALSE)</f>
        <v>-0.50722222222222513</v>
      </c>
      <c r="D42" s="520"/>
      <c r="E42" s="1736" t="s">
        <v>484</v>
      </c>
      <c r="F42" s="1737"/>
      <c r="G42" s="1738"/>
      <c r="H42" s="223"/>
      <c r="L42" s="608"/>
      <c r="M42" s="104">
        <f t="shared" si="2"/>
        <v>7.875</v>
      </c>
      <c r="N42" s="305">
        <f>100-VLOOKUP(M42,'[1]Pricing '!$A$3000:$K$3028,11,FALSE)</f>
        <v>-1.1349999999999909</v>
      </c>
      <c r="O42" s="840"/>
      <c r="P42" s="839"/>
      <c r="Q42" s="839"/>
      <c r="R42" s="593"/>
      <c r="Z42" s="183"/>
      <c r="AA42" s="183"/>
      <c r="AE42" s="183"/>
      <c r="AG42" s="183"/>
      <c r="AH42" s="183"/>
      <c r="AI42" s="183"/>
    </row>
    <row r="43" spans="1:35" ht="21.75" customHeight="1" thickTop="1" x14ac:dyDescent="0.2">
      <c r="B43" s="104">
        <f t="shared" si="1"/>
        <v>7.875</v>
      </c>
      <c r="C43" s="305">
        <f>100-VLOOKUP(B43,'[1]Pricing '!$A$1619:$K$1646,11,FALSE)</f>
        <v>-0.74333333333332519</v>
      </c>
      <c r="D43" s="520"/>
      <c r="E43" s="1736" t="s">
        <v>485</v>
      </c>
      <c r="F43" s="1737"/>
      <c r="G43" s="1738"/>
      <c r="H43" s="1836" t="s">
        <v>659</v>
      </c>
      <c r="I43" s="1837"/>
      <c r="J43" s="1837"/>
      <c r="K43" s="1837"/>
      <c r="L43" s="1837"/>
      <c r="M43" s="104">
        <f t="shared" si="2"/>
        <v>8</v>
      </c>
      <c r="N43" s="305">
        <f>100-VLOOKUP(M43,'[1]Pricing '!$A$3000:$K$3028,11,FALSE)</f>
        <v>-1.2849999999999966</v>
      </c>
      <c r="O43" s="1725" t="s">
        <v>261</v>
      </c>
      <c r="P43" s="1725"/>
      <c r="Q43" s="1725"/>
      <c r="R43" s="1726"/>
      <c r="Z43" s="183"/>
      <c r="AA43" s="183"/>
      <c r="AE43" s="183"/>
      <c r="AG43" s="183"/>
      <c r="AH43" s="183"/>
      <c r="AI43" s="183"/>
    </row>
    <row r="44" spans="1:35" ht="21.75" customHeight="1" x14ac:dyDescent="0.2">
      <c r="B44" s="104">
        <f t="shared" si="1"/>
        <v>8</v>
      </c>
      <c r="C44" s="305">
        <f>100-VLOOKUP(B44,'[1]Pricing '!$A$1619:$K$1646,11,FALSE)</f>
        <v>-0.95166666666699484</v>
      </c>
      <c r="D44" s="841"/>
      <c r="E44" s="1736" t="s">
        <v>486</v>
      </c>
      <c r="F44" s="1737"/>
      <c r="G44" s="1738"/>
      <c r="H44" s="1838" t="s">
        <v>471</v>
      </c>
      <c r="I44" s="1839"/>
      <c r="J44" s="1838" t="s">
        <v>576</v>
      </c>
      <c r="K44" s="1454"/>
      <c r="L44" s="1454"/>
      <c r="M44" s="104">
        <f t="shared" si="2"/>
        <v>8.125</v>
      </c>
      <c r="N44" s="305">
        <f>100-VLOOKUP(M44,'[1]Pricing '!$A$3000:$K$3028,11,FALSE)</f>
        <v>-1.4099999999999966</v>
      </c>
      <c r="O44" s="1725" t="s">
        <v>320</v>
      </c>
      <c r="P44" s="1725"/>
      <c r="Q44" s="1725"/>
      <c r="R44" s="1726"/>
      <c r="Z44" s="183"/>
      <c r="AA44" s="183"/>
      <c r="AE44" s="183"/>
      <c r="AG44" s="183"/>
      <c r="AH44" s="183"/>
      <c r="AI44" s="183"/>
    </row>
    <row r="45" spans="1:35" ht="33" customHeight="1" x14ac:dyDescent="0.25">
      <c r="B45" s="104">
        <f t="shared" si="1"/>
        <v>8.125</v>
      </c>
      <c r="C45" s="305">
        <f>100-VLOOKUP(B45,'[1]Pricing '!$A$1619:$K$1646,11,FALSE)</f>
        <v>-1.1322222222222251</v>
      </c>
      <c r="D45" s="841"/>
      <c r="E45" s="1736" t="s">
        <v>487</v>
      </c>
      <c r="F45" s="1737"/>
      <c r="G45" s="1738"/>
      <c r="H45" s="1838" t="s">
        <v>470</v>
      </c>
      <c r="I45" s="1839"/>
      <c r="J45" s="1840">
        <v>-0.25</v>
      </c>
      <c r="K45" s="1841"/>
      <c r="L45" s="1841"/>
      <c r="M45" s="104"/>
      <c r="N45" s="305"/>
      <c r="O45" s="1739" t="s">
        <v>321</v>
      </c>
      <c r="P45" s="1739"/>
      <c r="Q45" s="1739"/>
      <c r="R45" s="1740"/>
      <c r="Z45" s="183"/>
      <c r="AA45" s="183"/>
      <c r="AE45" s="183"/>
      <c r="AG45" s="183"/>
      <c r="AH45" s="183"/>
      <c r="AI45" s="183"/>
    </row>
    <row r="46" spans="1:35" ht="21.75" customHeight="1" thickBot="1" x14ac:dyDescent="0.3">
      <c r="B46" s="104">
        <f t="shared" si="1"/>
        <v>8.25</v>
      </c>
      <c r="C46" s="305">
        <f>100-VLOOKUP(B46,'[1]Pricing '!$A$1619:$K$1646,11,FALSE)</f>
        <v>-1.2849999999999966</v>
      </c>
      <c r="D46" s="841"/>
      <c r="E46" s="1736" t="s">
        <v>480</v>
      </c>
      <c r="F46" s="1737"/>
      <c r="G46" s="1738"/>
      <c r="H46" s="1838" t="s">
        <v>469</v>
      </c>
      <c r="I46" s="1839"/>
      <c r="J46" s="1762">
        <v>-0.5</v>
      </c>
      <c r="K46" s="1763"/>
      <c r="L46" s="1763"/>
      <c r="M46" s="388"/>
      <c r="N46" s="346"/>
      <c r="O46" s="839"/>
      <c r="P46" s="839"/>
      <c r="Q46" s="839"/>
      <c r="R46" s="593"/>
      <c r="Z46" s="183"/>
      <c r="AA46" s="183"/>
      <c r="AE46" s="183"/>
      <c r="AG46" s="183"/>
      <c r="AH46" s="183"/>
      <c r="AI46" s="183"/>
    </row>
    <row r="47" spans="1:35" ht="18.75" customHeight="1" thickBot="1" x14ac:dyDescent="0.3">
      <c r="B47" s="104">
        <f t="shared" si="1"/>
        <v>8.375</v>
      </c>
      <c r="C47" s="305">
        <f>100-VLOOKUP(B47,'[1]Pricing '!$A$1619:$K$1646,11,FALSE)</f>
        <v>-1.4099999999999966</v>
      </c>
      <c r="D47" s="841"/>
      <c r="E47" s="1759" t="s">
        <v>479</v>
      </c>
      <c r="F47" s="1760"/>
      <c r="G47" s="1761"/>
      <c r="H47" s="1838"/>
      <c r="I47" s="1839"/>
      <c r="J47" s="1842"/>
      <c r="K47" s="1315"/>
      <c r="L47" s="1843"/>
      <c r="O47" s="1729" t="s">
        <v>323</v>
      </c>
      <c r="P47" s="1725"/>
      <c r="Q47" s="1725"/>
      <c r="R47" s="1726"/>
      <c r="Z47" s="183"/>
      <c r="AA47" s="183"/>
      <c r="AE47" s="183"/>
      <c r="AG47" s="183"/>
      <c r="AH47" s="183"/>
      <c r="AI47" s="183"/>
    </row>
    <row r="48" spans="1:35" ht="24" customHeight="1" thickTop="1" thickBot="1" x14ac:dyDescent="0.3">
      <c r="A48" s="38"/>
      <c r="B48" s="994"/>
      <c r="C48" s="1173"/>
      <c r="H48" s="816"/>
      <c r="I48" s="817"/>
      <c r="J48" s="818" t="s">
        <v>59</v>
      </c>
      <c r="K48" s="888" t="s">
        <v>41</v>
      </c>
      <c r="L48" s="889"/>
      <c r="O48" s="1852" t="s">
        <v>322</v>
      </c>
      <c r="P48" s="1739"/>
      <c r="Q48" s="1739"/>
      <c r="R48" s="1740"/>
      <c r="Z48" s="183"/>
      <c r="AA48" s="183"/>
      <c r="AE48" s="183"/>
      <c r="AG48" s="183"/>
      <c r="AH48" s="183"/>
      <c r="AI48" s="183"/>
    </row>
    <row r="49" spans="1:35" ht="18" customHeight="1" thickTop="1" x14ac:dyDescent="0.25">
      <c r="A49" s="38"/>
      <c r="B49" s="1872" t="s">
        <v>29</v>
      </c>
      <c r="C49" s="1873"/>
      <c r="D49" s="1873"/>
      <c r="E49" s="1873"/>
      <c r="F49" s="1874"/>
      <c r="H49" s="1864" t="s">
        <v>649</v>
      </c>
      <c r="I49" s="1865"/>
      <c r="J49" s="819" t="s">
        <v>647</v>
      </c>
      <c r="K49" s="1727">
        <v>-0.5</v>
      </c>
      <c r="L49" s="1728"/>
      <c r="N49" s="38"/>
      <c r="O49" s="525"/>
      <c r="P49" s="525"/>
      <c r="Q49" s="525"/>
      <c r="R49" s="516"/>
      <c r="Z49" s="183"/>
      <c r="AA49" s="183"/>
      <c r="AE49" s="183"/>
      <c r="AG49" s="183"/>
      <c r="AH49" s="183"/>
      <c r="AI49" s="183"/>
    </row>
    <row r="50" spans="1:35" ht="18" customHeight="1" thickBot="1" x14ac:dyDescent="0.3">
      <c r="A50" s="38"/>
      <c r="B50" s="1859" t="s">
        <v>31</v>
      </c>
      <c r="C50" s="1860"/>
      <c r="D50" s="1875">
        <v>0.04</v>
      </c>
      <c r="E50" s="1876"/>
      <c r="F50" s="1877"/>
      <c r="G50" s="186"/>
      <c r="H50" s="1866"/>
      <c r="I50" s="1867"/>
      <c r="J50" s="842" t="s">
        <v>164</v>
      </c>
      <c r="K50" s="1844">
        <v>-1.75</v>
      </c>
      <c r="L50" s="1845"/>
      <c r="O50" s="515"/>
      <c r="P50" s="525"/>
      <c r="Q50" s="525"/>
      <c r="R50" s="516"/>
      <c r="Z50" s="183"/>
      <c r="AA50" s="183"/>
      <c r="AE50" s="183"/>
      <c r="AG50" s="183"/>
      <c r="AH50" s="183"/>
      <c r="AI50" s="183"/>
    </row>
    <row r="51" spans="1:35" ht="19.5" thickTop="1" thickBot="1" x14ac:dyDescent="0.3">
      <c r="A51" s="38"/>
      <c r="B51" s="1861"/>
      <c r="C51" s="1862"/>
      <c r="D51" s="1878"/>
      <c r="E51" s="1879"/>
      <c r="F51" s="1880"/>
      <c r="G51" s="186"/>
      <c r="H51" s="1866"/>
      <c r="I51" s="1867"/>
      <c r="J51" s="842" t="s">
        <v>648</v>
      </c>
      <c r="K51" s="1844">
        <v>-2.25</v>
      </c>
      <c r="L51" s="1845"/>
      <c r="O51" s="1846" t="s">
        <v>263</v>
      </c>
      <c r="P51" s="1847"/>
      <c r="Q51" s="1847"/>
      <c r="R51" s="1848"/>
      <c r="Z51" s="183"/>
      <c r="AA51" s="183"/>
      <c r="AE51" s="183"/>
      <c r="AG51" s="183"/>
      <c r="AH51" s="183"/>
      <c r="AI51" s="183"/>
    </row>
    <row r="52" spans="1:35" ht="18.75" thickBot="1" x14ac:dyDescent="0.3">
      <c r="A52" s="38"/>
      <c r="B52" s="1853" t="s">
        <v>254</v>
      </c>
      <c r="C52" s="1863"/>
      <c r="D52" s="1885">
        <v>3.6719000000000002E-2</v>
      </c>
      <c r="E52" s="1886"/>
      <c r="F52" s="1887"/>
      <c r="H52" s="1866"/>
      <c r="I52" s="1867"/>
      <c r="J52" s="842" t="s">
        <v>367</v>
      </c>
      <c r="K52" s="1844">
        <v>-2.5</v>
      </c>
      <c r="L52" s="1845"/>
      <c r="O52" s="1849"/>
      <c r="P52" s="1850"/>
      <c r="Q52" s="1850"/>
      <c r="R52" s="1851"/>
      <c r="Z52" s="183"/>
      <c r="AA52" s="183"/>
      <c r="AE52" s="183"/>
      <c r="AG52" s="183"/>
      <c r="AH52" s="183"/>
      <c r="AI52" s="183"/>
    </row>
    <row r="53" spans="1:35" ht="19.5" thickTop="1" thickBot="1" x14ac:dyDescent="0.3">
      <c r="A53" s="38"/>
      <c r="B53" s="1861"/>
      <c r="C53" s="1862"/>
      <c r="D53" s="1888"/>
      <c r="E53" s="1889"/>
      <c r="F53" s="1890"/>
      <c r="H53" s="1866"/>
      <c r="I53" s="1867"/>
      <c r="J53" s="842" t="s">
        <v>461</v>
      </c>
      <c r="K53" s="1844">
        <v>-2.75</v>
      </c>
      <c r="L53" s="1845"/>
      <c r="O53" s="1828" t="s">
        <v>499</v>
      </c>
      <c r="P53" s="1829"/>
      <c r="Q53" s="1829"/>
      <c r="R53" s="1830"/>
      <c r="Z53" s="183"/>
      <c r="AA53" s="183"/>
      <c r="AE53" s="183"/>
      <c r="AG53" s="183"/>
      <c r="AH53" s="183"/>
      <c r="AI53" s="183"/>
    </row>
    <row r="54" spans="1:35" ht="18.75" thickBot="1" x14ac:dyDescent="0.3">
      <c r="A54" s="38"/>
      <c r="B54" s="1853" t="s">
        <v>332</v>
      </c>
      <c r="C54" s="1863"/>
      <c r="D54" s="1891" t="s">
        <v>458</v>
      </c>
      <c r="E54" s="1892"/>
      <c r="F54" s="1893"/>
      <c r="H54" s="1868"/>
      <c r="I54" s="1869"/>
      <c r="J54" s="820" t="s">
        <v>460</v>
      </c>
      <c r="K54" s="1832">
        <v>-2.75</v>
      </c>
      <c r="L54" s="1833"/>
      <c r="O54" s="474"/>
      <c r="P54" s="843"/>
      <c r="Q54" s="843"/>
      <c r="R54" s="221"/>
      <c r="Z54" s="183"/>
      <c r="AA54" s="183"/>
      <c r="AE54" s="183"/>
      <c r="AG54" s="183"/>
      <c r="AH54" s="183"/>
      <c r="AI54" s="183"/>
    </row>
    <row r="55" spans="1:35" ht="18.75" customHeight="1" thickBot="1" x14ac:dyDescent="0.3">
      <c r="A55" s="38"/>
      <c r="B55" s="1861"/>
      <c r="C55" s="1862"/>
      <c r="D55" s="1894"/>
      <c r="E55" s="1895"/>
      <c r="F55" s="1896"/>
      <c r="H55" s="1881" t="s">
        <v>650</v>
      </c>
      <c r="I55" s="1882"/>
      <c r="J55" s="1870"/>
      <c r="K55" s="1834">
        <v>-2.25</v>
      </c>
      <c r="L55" s="1835"/>
      <c r="N55" s="815"/>
      <c r="O55" s="1828" t="s">
        <v>500</v>
      </c>
      <c r="P55" s="1829"/>
      <c r="Q55" s="1829"/>
      <c r="R55" s="1830"/>
      <c r="Z55" s="183"/>
      <c r="AA55" s="183"/>
      <c r="AE55" s="183"/>
      <c r="AG55" s="183"/>
      <c r="AH55" s="183"/>
      <c r="AI55" s="183"/>
    </row>
    <row r="56" spans="1:35" ht="18.75" thickBot="1" x14ac:dyDescent="0.25">
      <c r="A56" s="38"/>
      <c r="B56" s="1853" t="s">
        <v>531</v>
      </c>
      <c r="C56" s="1854"/>
      <c r="D56" s="1854"/>
      <c r="E56" s="1854"/>
      <c r="F56" s="1855"/>
      <c r="H56" s="1883"/>
      <c r="I56" s="1884"/>
      <c r="J56" s="1871"/>
      <c r="K56" s="886"/>
      <c r="L56" s="887"/>
      <c r="O56" s="474"/>
      <c r="P56" s="486"/>
      <c r="Q56" s="486"/>
      <c r="R56" s="469"/>
      <c r="Z56" s="183"/>
      <c r="AA56" s="183"/>
      <c r="AE56" s="183"/>
      <c r="AG56" s="183"/>
      <c r="AH56" s="183"/>
      <c r="AI56" s="183"/>
    </row>
    <row r="57" spans="1:35" ht="12.75" customHeight="1" thickTop="1" thickBot="1" x14ac:dyDescent="0.25">
      <c r="A57" s="38"/>
      <c r="B57" s="1856"/>
      <c r="C57" s="1857"/>
      <c r="D57" s="1857"/>
      <c r="E57" s="1857"/>
      <c r="F57" s="1858"/>
      <c r="H57" s="223"/>
      <c r="I57" s="838"/>
      <c r="J57" s="519"/>
      <c r="O57" s="1828" t="s">
        <v>501</v>
      </c>
      <c r="P57" s="1829"/>
      <c r="Q57" s="1829"/>
      <c r="R57" s="1830"/>
      <c r="Z57" s="183"/>
      <c r="AA57" s="183"/>
      <c r="AE57" s="183"/>
      <c r="AG57" s="183"/>
      <c r="AH57" s="183"/>
      <c r="AI57" s="183"/>
    </row>
    <row r="58" spans="1:35" ht="32.25" customHeight="1" thickTop="1" thickBot="1" x14ac:dyDescent="0.25">
      <c r="A58" s="38"/>
      <c r="B58" s="1816" t="s">
        <v>155</v>
      </c>
      <c r="C58" s="1817"/>
      <c r="D58" s="1817"/>
      <c r="E58" s="1817"/>
      <c r="F58" s="1817"/>
      <c r="G58" s="1817"/>
      <c r="H58" s="1817"/>
      <c r="I58" s="1817"/>
      <c r="J58" s="1817"/>
      <c r="K58" s="1817"/>
      <c r="L58" s="1817"/>
      <c r="M58" s="1817"/>
      <c r="N58" s="1817"/>
      <c r="O58" s="1828" t="s">
        <v>502</v>
      </c>
      <c r="P58" s="1829"/>
      <c r="Q58" s="1829"/>
      <c r="R58" s="1830"/>
      <c r="AA58" s="186"/>
      <c r="AE58" s="186"/>
      <c r="AG58" s="186"/>
      <c r="AH58" s="186"/>
      <c r="AI58" s="186"/>
    </row>
    <row r="59" spans="1:35" ht="12" customHeight="1" thickTop="1" thickBot="1" x14ac:dyDescent="0.25">
      <c r="A59" s="38"/>
      <c r="B59" s="1814"/>
      <c r="C59" s="1815"/>
      <c r="D59" s="1815"/>
      <c r="E59" s="1818"/>
      <c r="F59" s="1818"/>
      <c r="G59" s="1818"/>
      <c r="H59" s="1818"/>
      <c r="I59" s="1818"/>
      <c r="J59" s="1818"/>
      <c r="K59" s="1818"/>
      <c r="L59" s="1818"/>
      <c r="M59" s="1818"/>
      <c r="N59" s="1818"/>
      <c r="O59" s="474"/>
      <c r="P59" s="486"/>
      <c r="Q59" s="486"/>
      <c r="R59" s="469"/>
      <c r="Z59" s="163"/>
      <c r="AA59" s="163"/>
      <c r="AE59" s="163"/>
      <c r="AG59" s="163"/>
      <c r="AH59" s="163"/>
      <c r="AI59" s="163"/>
    </row>
    <row r="60" spans="1:35" ht="27.75" customHeight="1" thickBot="1" x14ac:dyDescent="0.3">
      <c r="A60" s="38"/>
      <c r="B60" s="1339" t="s">
        <v>156</v>
      </c>
      <c r="C60" s="1340"/>
      <c r="D60" s="1340"/>
      <c r="E60" s="1340"/>
      <c r="F60" s="1340"/>
      <c r="G60" s="1340"/>
      <c r="H60" s="1340"/>
      <c r="I60" s="1340"/>
      <c r="J60" s="1340"/>
      <c r="K60" s="1341"/>
      <c r="L60" s="844">
        <v>-2</v>
      </c>
      <c r="M60" s="844">
        <v>-2</v>
      </c>
      <c r="N60" s="844"/>
      <c r="O60" s="1828" t="s">
        <v>264</v>
      </c>
      <c r="P60" s="1829"/>
      <c r="Q60" s="1829"/>
      <c r="R60" s="1830"/>
      <c r="Z60" s="185"/>
      <c r="AA60" s="185"/>
      <c r="AE60" s="185"/>
      <c r="AG60" s="185"/>
      <c r="AH60" s="185"/>
      <c r="AI60" s="185"/>
    </row>
    <row r="61" spans="1:35" ht="24" customHeight="1" thickBot="1" x14ac:dyDescent="0.3">
      <c r="B61" s="395"/>
      <c r="C61" s="394"/>
      <c r="D61" s="394"/>
      <c r="E61" s="780" t="s">
        <v>157</v>
      </c>
      <c r="F61" s="781" t="s">
        <v>158</v>
      </c>
      <c r="G61" s="781" t="s">
        <v>159</v>
      </c>
      <c r="H61" s="781" t="s">
        <v>160</v>
      </c>
      <c r="I61" s="781" t="s">
        <v>101</v>
      </c>
      <c r="J61" s="781" t="s">
        <v>102</v>
      </c>
      <c r="K61" s="782" t="s">
        <v>103</v>
      </c>
      <c r="L61" s="594"/>
      <c r="N61" s="844"/>
      <c r="O61" s="511"/>
      <c r="P61" s="845"/>
      <c r="Q61" s="845"/>
      <c r="R61" s="222"/>
      <c r="AG61" s="18"/>
      <c r="AH61" s="18"/>
      <c r="AI61" s="18"/>
    </row>
    <row r="62" spans="1:35" ht="21" customHeight="1" x14ac:dyDescent="0.25">
      <c r="B62" s="201" t="s">
        <v>72</v>
      </c>
      <c r="E62" s="306">
        <v>-1.375</v>
      </c>
      <c r="F62" s="306">
        <v>-1.25</v>
      </c>
      <c r="G62" s="306">
        <v>-1.125</v>
      </c>
      <c r="H62" s="306">
        <v>-1</v>
      </c>
      <c r="I62" s="306">
        <v>-0.875</v>
      </c>
      <c r="J62" s="306">
        <v>-0.625</v>
      </c>
      <c r="K62" s="548">
        <v>0.25</v>
      </c>
      <c r="L62" s="181"/>
      <c r="O62" s="512" t="s">
        <v>265</v>
      </c>
      <c r="P62" s="843"/>
      <c r="Q62" s="843"/>
      <c r="R62" s="221"/>
      <c r="W62" s="143"/>
      <c r="AG62" s="87"/>
      <c r="AH62" s="87"/>
      <c r="AI62" s="87"/>
    </row>
    <row r="63" spans="1:35" ht="24" customHeight="1" x14ac:dyDescent="0.25">
      <c r="B63" s="201" t="s">
        <v>53</v>
      </c>
      <c r="C63" s="117"/>
      <c r="D63" s="399"/>
      <c r="E63" s="306">
        <v>-1.25</v>
      </c>
      <c r="F63" s="306">
        <v>-1.125</v>
      </c>
      <c r="G63" s="306">
        <v>-1</v>
      </c>
      <c r="H63" s="306">
        <v>-0.875</v>
      </c>
      <c r="I63" s="306">
        <v>-0.75</v>
      </c>
      <c r="J63" s="306">
        <v>-0.5</v>
      </c>
      <c r="K63" s="548">
        <v>0.375</v>
      </c>
      <c r="L63" s="181"/>
      <c r="O63" s="511"/>
      <c r="P63" s="843"/>
      <c r="Q63" s="843"/>
      <c r="R63" s="221"/>
      <c r="W63" s="184"/>
      <c r="AG63" s="188"/>
      <c r="AH63" s="188"/>
      <c r="AI63" s="188"/>
    </row>
    <row r="64" spans="1:35" ht="24" customHeight="1" x14ac:dyDescent="0.25">
      <c r="B64" s="201" t="s">
        <v>54</v>
      </c>
      <c r="C64" s="117"/>
      <c r="D64" s="399"/>
      <c r="E64" s="589">
        <v>-1.125</v>
      </c>
      <c r="F64" s="589">
        <v>-1</v>
      </c>
      <c r="G64" s="589">
        <v>-0.875</v>
      </c>
      <c r="H64" s="589">
        <v>-0.75</v>
      </c>
      <c r="I64" s="589">
        <v>-0.625</v>
      </c>
      <c r="J64" s="589">
        <v>-0.375</v>
      </c>
      <c r="K64" s="1082">
        <v>1</v>
      </c>
      <c r="L64" s="181"/>
      <c r="O64" s="512" t="s">
        <v>517</v>
      </c>
      <c r="P64" s="843"/>
      <c r="Q64" s="843"/>
      <c r="R64" s="221"/>
      <c r="W64" s="184"/>
      <c r="Y64" s="188"/>
      <c r="Z64" s="188"/>
      <c r="AA64" s="188"/>
      <c r="AE64" s="188"/>
      <c r="AG64" s="188"/>
      <c r="AH64" s="188"/>
      <c r="AI64" s="188"/>
    </row>
    <row r="65" spans="2:35" ht="20.25" customHeight="1" x14ac:dyDescent="0.25">
      <c r="B65" s="201" t="s">
        <v>55</v>
      </c>
      <c r="C65" s="117"/>
      <c r="D65" s="399"/>
      <c r="E65" s="589">
        <v>-0.875</v>
      </c>
      <c r="F65" s="589">
        <v>-0.875</v>
      </c>
      <c r="G65" s="589">
        <v>-0.75</v>
      </c>
      <c r="H65" s="589">
        <v>-0.625</v>
      </c>
      <c r="I65" s="589">
        <v>-0.25</v>
      </c>
      <c r="J65" s="589">
        <v>0.375</v>
      </c>
      <c r="K65" s="1082">
        <v>2.25</v>
      </c>
      <c r="L65" s="181"/>
      <c r="O65" s="511" t="s">
        <v>324</v>
      </c>
      <c r="P65" s="845"/>
      <c r="Q65" s="845"/>
      <c r="R65" s="222"/>
      <c r="W65" s="184"/>
      <c r="Y65" s="188"/>
      <c r="Z65" s="188"/>
      <c r="AA65" s="188"/>
      <c r="AE65" s="188"/>
      <c r="AG65" s="188"/>
      <c r="AH65" s="188"/>
      <c r="AI65" s="188"/>
    </row>
    <row r="66" spans="2:35" ht="20.25" customHeight="1" x14ac:dyDescent="0.25">
      <c r="B66" s="201" t="s">
        <v>57</v>
      </c>
      <c r="C66" s="117"/>
      <c r="D66" s="399"/>
      <c r="E66" s="589">
        <v>-0.625</v>
      </c>
      <c r="F66" s="589">
        <v>-0.5</v>
      </c>
      <c r="G66" s="589">
        <v>-0.375</v>
      </c>
      <c r="H66" s="589">
        <v>0</v>
      </c>
      <c r="I66" s="589">
        <v>0.75</v>
      </c>
      <c r="J66" s="589">
        <v>1.5</v>
      </c>
      <c r="K66" s="1082">
        <v>3</v>
      </c>
      <c r="L66" s="846"/>
      <c r="O66" s="512"/>
      <c r="P66" s="843"/>
      <c r="Q66" s="843"/>
      <c r="R66" s="221"/>
      <c r="Y66" s="188"/>
      <c r="Z66" s="188"/>
      <c r="AA66" s="188"/>
      <c r="AE66" s="188"/>
      <c r="AF66" s="188"/>
      <c r="AG66" s="188"/>
      <c r="AH66" s="188"/>
      <c r="AI66" s="188"/>
    </row>
    <row r="67" spans="2:35" ht="20.25" customHeight="1" x14ac:dyDescent="0.25">
      <c r="B67" s="201" t="s">
        <v>58</v>
      </c>
      <c r="C67" s="117"/>
      <c r="D67" s="399"/>
      <c r="E67" s="589">
        <v>-0.25</v>
      </c>
      <c r="F67" s="589">
        <v>0</v>
      </c>
      <c r="G67" s="589">
        <v>0.375</v>
      </c>
      <c r="H67" s="589">
        <v>0.875</v>
      </c>
      <c r="I67" s="589">
        <v>2</v>
      </c>
      <c r="J67" s="589">
        <v>3.5</v>
      </c>
      <c r="K67" s="1083" t="s">
        <v>56</v>
      </c>
      <c r="L67" s="846"/>
      <c r="O67" s="512" t="s">
        <v>434</v>
      </c>
      <c r="P67" s="843"/>
      <c r="Q67" s="843"/>
      <c r="R67" s="221"/>
      <c r="Y67" s="188"/>
      <c r="Z67" s="188"/>
      <c r="AA67" s="188"/>
      <c r="AE67" s="188"/>
    </row>
    <row r="68" spans="2:35" ht="20.25" customHeight="1" x14ac:dyDescent="0.25">
      <c r="B68" s="201" t="s">
        <v>73</v>
      </c>
      <c r="C68" s="117"/>
      <c r="D68" s="399"/>
      <c r="E68" s="589">
        <v>0</v>
      </c>
      <c r="F68" s="589">
        <v>0.25</v>
      </c>
      <c r="G68" s="589">
        <v>0.625</v>
      </c>
      <c r="H68" s="589">
        <v>1.5</v>
      </c>
      <c r="I68" s="589">
        <v>3.75</v>
      </c>
      <c r="J68" s="1084" t="s">
        <v>56</v>
      </c>
      <c r="K68" s="1083" t="s">
        <v>56</v>
      </c>
      <c r="L68" s="846"/>
      <c r="O68" s="512" t="s">
        <v>435</v>
      </c>
      <c r="P68" s="845"/>
      <c r="Q68" s="845"/>
      <c r="R68" s="222"/>
      <c r="Y68" s="87"/>
      <c r="Z68" s="87"/>
      <c r="AA68" s="87"/>
      <c r="AE68" s="87"/>
    </row>
    <row r="69" spans="2:35" ht="21" customHeight="1" x14ac:dyDescent="0.25">
      <c r="B69" s="201" t="s">
        <v>113</v>
      </c>
      <c r="C69" s="117"/>
      <c r="D69" s="399"/>
      <c r="E69" s="589">
        <v>0.25</v>
      </c>
      <c r="F69" s="589">
        <v>0.5</v>
      </c>
      <c r="G69" s="589">
        <v>1</v>
      </c>
      <c r="H69" s="589">
        <v>2.5</v>
      </c>
      <c r="I69" s="589" t="s">
        <v>56</v>
      </c>
      <c r="J69" s="1084" t="s">
        <v>56</v>
      </c>
      <c r="K69" s="1083" t="s">
        <v>56</v>
      </c>
      <c r="L69" s="846"/>
      <c r="O69" s="512" t="s">
        <v>436</v>
      </c>
      <c r="P69" s="845"/>
      <c r="Q69" s="845"/>
      <c r="R69" s="222"/>
      <c r="Z69" s="18"/>
      <c r="AA69" s="18"/>
      <c r="AE69" s="18"/>
    </row>
    <row r="70" spans="2:35" ht="21.75" customHeight="1" thickBot="1" x14ac:dyDescent="0.3">
      <c r="B70" s="201" t="s">
        <v>115</v>
      </c>
      <c r="C70" s="117"/>
      <c r="D70" s="399"/>
      <c r="E70" s="995">
        <v>0.5</v>
      </c>
      <c r="F70" s="995">
        <v>0.875</v>
      </c>
      <c r="G70" s="995">
        <v>1.5</v>
      </c>
      <c r="H70" s="995" t="s">
        <v>56</v>
      </c>
      <c r="I70" s="995" t="s">
        <v>56</v>
      </c>
      <c r="J70" s="998" t="s">
        <v>56</v>
      </c>
      <c r="K70" s="590" t="s">
        <v>56</v>
      </c>
      <c r="L70" s="846"/>
      <c r="O70" s="474"/>
      <c r="P70" s="843"/>
      <c r="Q70" s="843"/>
      <c r="R70" s="221"/>
    </row>
    <row r="71" spans="2:35" ht="25.5" customHeight="1" x14ac:dyDescent="0.25">
      <c r="B71" s="612" t="s">
        <v>666</v>
      </c>
      <c r="C71" s="916"/>
      <c r="D71" s="37"/>
      <c r="E71" s="923">
        <v>0.25</v>
      </c>
      <c r="F71" s="923">
        <v>0.25</v>
      </c>
      <c r="G71" s="923">
        <v>0.25</v>
      </c>
      <c r="H71" s="923">
        <v>0.25</v>
      </c>
      <c r="I71" s="923">
        <v>0.375</v>
      </c>
      <c r="J71" s="923">
        <v>0.375</v>
      </c>
      <c r="K71" s="924">
        <v>0.5</v>
      </c>
      <c r="L71" s="181"/>
      <c r="O71" s="1822" t="s">
        <v>503</v>
      </c>
      <c r="P71" s="1823"/>
      <c r="Q71" s="1823"/>
      <c r="R71" s="1824"/>
    </row>
    <row r="72" spans="2:35" ht="25.5" customHeight="1" x14ac:dyDescent="0.25">
      <c r="B72" s="201" t="s">
        <v>165</v>
      </c>
      <c r="C72" s="117"/>
      <c r="D72" s="117"/>
      <c r="E72" s="589">
        <v>0.125</v>
      </c>
      <c r="F72" s="589">
        <v>0.25</v>
      </c>
      <c r="G72" s="589">
        <v>0.5</v>
      </c>
      <c r="H72" s="589">
        <v>1</v>
      </c>
      <c r="I72" s="1084" t="s">
        <v>56</v>
      </c>
      <c r="J72" s="1084" t="s">
        <v>56</v>
      </c>
      <c r="K72" s="1083" t="s">
        <v>56</v>
      </c>
      <c r="L72" s="181"/>
      <c r="O72" s="633"/>
      <c r="P72" s="847"/>
      <c r="Q72" s="847"/>
      <c r="R72" s="634"/>
    </row>
    <row r="73" spans="2:35" ht="21" customHeight="1" x14ac:dyDescent="0.25">
      <c r="B73" s="201" t="s">
        <v>167</v>
      </c>
      <c r="C73" s="117"/>
      <c r="D73" s="117"/>
      <c r="E73" s="589">
        <v>0.125</v>
      </c>
      <c r="F73" s="589">
        <v>0.25</v>
      </c>
      <c r="G73" s="589">
        <v>0.25</v>
      </c>
      <c r="H73" s="589">
        <v>0.375</v>
      </c>
      <c r="I73" s="589">
        <v>0.375</v>
      </c>
      <c r="J73" s="589">
        <v>0.625</v>
      </c>
      <c r="K73" s="1082">
        <v>0.75</v>
      </c>
      <c r="L73" s="846"/>
      <c r="O73" s="1825" t="s">
        <v>660</v>
      </c>
      <c r="P73" s="1826"/>
      <c r="Q73" s="1826"/>
      <c r="R73" s="1827"/>
    </row>
    <row r="74" spans="2:35" ht="21" customHeight="1" x14ac:dyDescent="0.25">
      <c r="B74" s="201" t="s">
        <v>624</v>
      </c>
      <c r="C74" s="117"/>
      <c r="D74" s="117"/>
      <c r="E74" s="589">
        <v>0.25</v>
      </c>
      <c r="F74" s="589">
        <v>0.375</v>
      </c>
      <c r="G74" s="589">
        <v>0.75</v>
      </c>
      <c r="H74" s="589">
        <v>1.5</v>
      </c>
      <c r="I74" s="589" t="s">
        <v>56</v>
      </c>
      <c r="J74" s="589" t="s">
        <v>56</v>
      </c>
      <c r="K74" s="1082" t="s">
        <v>56</v>
      </c>
      <c r="L74" s="846"/>
      <c r="N74" s="38"/>
      <c r="O74" s="1822" t="s">
        <v>325</v>
      </c>
      <c r="P74" s="1823"/>
      <c r="Q74" s="1823"/>
      <c r="R74" s="1824"/>
    </row>
    <row r="75" spans="2:35" ht="21" customHeight="1" x14ac:dyDescent="0.25">
      <c r="B75" s="201" t="s">
        <v>169</v>
      </c>
      <c r="C75" s="117"/>
      <c r="D75" s="117"/>
      <c r="E75" s="589">
        <v>0.25</v>
      </c>
      <c r="F75" s="589">
        <v>0.25</v>
      </c>
      <c r="G75" s="589">
        <v>0.25</v>
      </c>
      <c r="H75" s="589">
        <v>0.375</v>
      </c>
      <c r="I75" s="589">
        <v>0.5</v>
      </c>
      <c r="J75" s="1084" t="s">
        <v>56</v>
      </c>
      <c r="K75" s="1083" t="s">
        <v>56</v>
      </c>
      <c r="L75" s="846"/>
      <c r="O75" s="512"/>
      <c r="P75" s="486"/>
      <c r="Q75" s="486"/>
      <c r="R75" s="469"/>
      <c r="AB75" s="188"/>
      <c r="AC75" s="188"/>
      <c r="AD75" s="188"/>
      <c r="AE75" s="188"/>
      <c r="AF75" s="87"/>
    </row>
    <row r="76" spans="2:35" ht="21" customHeight="1" x14ac:dyDescent="0.25">
      <c r="B76" s="201" t="s">
        <v>79</v>
      </c>
      <c r="C76" s="117"/>
      <c r="D76" s="117"/>
      <c r="E76" s="589">
        <v>0.375</v>
      </c>
      <c r="F76" s="589">
        <v>0.375</v>
      </c>
      <c r="G76" s="589">
        <v>0.5</v>
      </c>
      <c r="H76" s="589">
        <v>0.75</v>
      </c>
      <c r="I76" s="589">
        <v>1</v>
      </c>
      <c r="J76" s="589">
        <v>1</v>
      </c>
      <c r="K76" s="1083" t="s">
        <v>56</v>
      </c>
      <c r="L76" s="846"/>
      <c r="N76" s="38"/>
      <c r="O76" s="1828" t="s">
        <v>266</v>
      </c>
      <c r="P76" s="1829"/>
      <c r="Q76" s="1829"/>
      <c r="R76" s="1830"/>
      <c r="X76" s="185"/>
      <c r="AB76" s="188"/>
      <c r="AC76" s="188"/>
      <c r="AD76" s="188"/>
      <c r="AE76" s="188"/>
      <c r="AF76" s="87"/>
      <c r="AG76" s="18"/>
    </row>
    <row r="77" spans="2:35" ht="21" customHeight="1" thickBot="1" x14ac:dyDescent="0.3">
      <c r="B77" s="201" t="s">
        <v>92</v>
      </c>
      <c r="C77" s="117"/>
      <c r="D77" s="117"/>
      <c r="E77" s="589">
        <v>0.25</v>
      </c>
      <c r="F77" s="589">
        <v>0.25</v>
      </c>
      <c r="G77" s="589">
        <v>0.375</v>
      </c>
      <c r="H77" s="589">
        <v>0.5</v>
      </c>
      <c r="I77" s="589">
        <v>0.75</v>
      </c>
      <c r="J77" s="1084" t="s">
        <v>56</v>
      </c>
      <c r="K77" s="1083" t="s">
        <v>56</v>
      </c>
      <c r="L77" s="846"/>
      <c r="N77" s="38"/>
      <c r="O77" s="486"/>
      <c r="P77" s="486"/>
      <c r="Q77" s="486"/>
      <c r="R77" s="469"/>
      <c r="X77" s="185"/>
      <c r="AB77" s="188"/>
      <c r="AC77" s="188"/>
      <c r="AD77" s="188"/>
      <c r="AE77" s="188"/>
      <c r="AF77" s="87"/>
      <c r="AG77" s="18"/>
    </row>
    <row r="78" spans="2:35" ht="21" customHeight="1" thickTop="1" x14ac:dyDescent="0.25">
      <c r="B78" s="201" t="s">
        <v>172</v>
      </c>
      <c r="C78" s="117"/>
      <c r="D78" s="117"/>
      <c r="E78" s="589">
        <v>0.25</v>
      </c>
      <c r="F78" s="589">
        <v>0.25</v>
      </c>
      <c r="G78" s="589">
        <v>0.375</v>
      </c>
      <c r="H78" s="589">
        <v>0.75</v>
      </c>
      <c r="I78" s="589">
        <v>1</v>
      </c>
      <c r="J78" s="589">
        <v>1.5</v>
      </c>
      <c r="K78" s="1083" t="s">
        <v>56</v>
      </c>
      <c r="L78" s="181"/>
      <c r="O78" s="1715" t="s">
        <v>508</v>
      </c>
      <c r="P78" s="1716"/>
      <c r="Q78" s="1716"/>
      <c r="R78" s="1717"/>
    </row>
    <row r="79" spans="2:35" ht="21" customHeight="1" thickBot="1" x14ac:dyDescent="0.3">
      <c r="B79" s="201" t="s">
        <v>78</v>
      </c>
      <c r="C79" s="117"/>
      <c r="D79" s="117"/>
      <c r="E79" s="589">
        <v>0.125</v>
      </c>
      <c r="F79" s="589">
        <v>0.125</v>
      </c>
      <c r="G79" s="589">
        <v>0.25</v>
      </c>
      <c r="H79" s="589">
        <v>0.375</v>
      </c>
      <c r="I79" s="589">
        <v>0.75</v>
      </c>
      <c r="J79" s="589">
        <v>1</v>
      </c>
      <c r="K79" s="1085">
        <v>1.25</v>
      </c>
      <c r="L79" s="181"/>
      <c r="O79" s="1718"/>
      <c r="P79" s="1719"/>
      <c r="Q79" s="1719"/>
      <c r="R79" s="1720"/>
    </row>
    <row r="80" spans="2:35" ht="21" customHeight="1" thickTop="1" thickBot="1" x14ac:dyDescent="0.3">
      <c r="B80" s="400" t="s">
        <v>539</v>
      </c>
      <c r="C80" s="14"/>
      <c r="D80" s="14"/>
      <c r="E80" s="307">
        <v>0.125</v>
      </c>
      <c r="F80" s="307">
        <v>0.125</v>
      </c>
      <c r="G80" s="307">
        <v>0.25</v>
      </c>
      <c r="H80" s="307">
        <v>0.25</v>
      </c>
      <c r="I80" s="307">
        <v>0.375</v>
      </c>
      <c r="J80" s="307">
        <v>0.5</v>
      </c>
      <c r="K80" s="549">
        <v>0.5</v>
      </c>
      <c r="L80" s="181"/>
      <c r="N80" s="38"/>
      <c r="O80" s="529"/>
      <c r="P80" s="848"/>
      <c r="Q80" s="848"/>
      <c r="R80" s="510"/>
    </row>
    <row r="81" spans="2:33" ht="21" customHeight="1" x14ac:dyDescent="0.25">
      <c r="B81" s="395" t="s">
        <v>491</v>
      </c>
      <c r="C81" s="394"/>
      <c r="D81" s="1139"/>
      <c r="E81" s="481">
        <v>-1.875</v>
      </c>
      <c r="F81" s="481">
        <v>-1.875</v>
      </c>
      <c r="G81" s="481">
        <v>-1.75</v>
      </c>
      <c r="H81" s="481">
        <v>-1.625</v>
      </c>
      <c r="I81" s="481">
        <v>-1.5</v>
      </c>
      <c r="J81" s="481">
        <v>-1.25</v>
      </c>
      <c r="K81" s="552">
        <v>0.15</v>
      </c>
      <c r="L81" s="846"/>
      <c r="N81" s="38"/>
      <c r="O81" s="1820" t="s">
        <v>538</v>
      </c>
      <c r="P81" s="1820"/>
      <c r="Q81" s="1820"/>
      <c r="R81" s="1821"/>
      <c r="U81" s="483"/>
      <c r="V81" s="483"/>
      <c r="W81" s="483"/>
      <c r="X81" s="483"/>
      <c r="Y81" s="483"/>
      <c r="Z81" s="483"/>
      <c r="AA81" s="483"/>
      <c r="AC81" s="188"/>
      <c r="AD81" s="188"/>
      <c r="AE81" s="188"/>
      <c r="AF81" s="87"/>
      <c r="AG81" s="18"/>
    </row>
    <row r="82" spans="2:33" ht="16.5" customHeight="1" x14ac:dyDescent="0.25">
      <c r="B82" s="201" t="s">
        <v>518</v>
      </c>
      <c r="C82" s="117"/>
      <c r="D82" s="399"/>
      <c r="E82" s="306">
        <v>-2.25</v>
      </c>
      <c r="F82" s="306">
        <v>-2.25</v>
      </c>
      <c r="G82" s="1140">
        <v>-2.125</v>
      </c>
      <c r="H82" s="306">
        <v>-2.125</v>
      </c>
      <c r="I82" s="306">
        <v>-2</v>
      </c>
      <c r="J82" s="306">
        <v>-1.75</v>
      </c>
      <c r="K82" s="1141">
        <v>-0.35</v>
      </c>
      <c r="L82" s="846"/>
      <c r="O82" s="513"/>
      <c r="P82" s="848"/>
      <c r="Q82" s="848"/>
      <c r="R82" s="510"/>
      <c r="U82" s="483"/>
      <c r="V82" s="483"/>
      <c r="W82" s="483"/>
      <c r="X82" s="483"/>
      <c r="Y82" s="483"/>
      <c r="Z82" s="483"/>
      <c r="AA82" s="483"/>
    </row>
    <row r="83" spans="2:33" ht="21" customHeight="1" x14ac:dyDescent="0.3">
      <c r="B83" s="201" t="s">
        <v>507</v>
      </c>
      <c r="C83" s="25"/>
      <c r="D83" s="530"/>
      <c r="E83" s="1140">
        <v>-2.375</v>
      </c>
      <c r="F83" s="1140">
        <v>-2.375</v>
      </c>
      <c r="G83" s="306">
        <v>-2.25</v>
      </c>
      <c r="H83" s="306">
        <v>-2</v>
      </c>
      <c r="I83" s="306">
        <v>-1.75</v>
      </c>
      <c r="J83" s="306">
        <v>-1.625</v>
      </c>
      <c r="K83" s="1141" t="s">
        <v>56</v>
      </c>
      <c r="L83" s="846"/>
      <c r="O83" s="1819" t="s">
        <v>509</v>
      </c>
      <c r="P83" s="1820"/>
      <c r="Q83" s="1820"/>
      <c r="R83" s="1821"/>
    </row>
    <row r="84" spans="2:33" ht="21" customHeight="1" x14ac:dyDescent="0.25">
      <c r="B84" s="201" t="s">
        <v>90</v>
      </c>
      <c r="C84" s="117"/>
      <c r="D84" s="399"/>
      <c r="E84" s="1140">
        <v>-1.625</v>
      </c>
      <c r="F84" s="1140">
        <v>-1.5</v>
      </c>
      <c r="G84" s="1140">
        <v>-1.5</v>
      </c>
      <c r="H84" s="1140">
        <v>-1.375</v>
      </c>
      <c r="I84" s="1140">
        <v>-1</v>
      </c>
      <c r="J84" s="1140">
        <v>-0.625</v>
      </c>
      <c r="K84" s="1143">
        <v>2.25</v>
      </c>
      <c r="L84" s="846"/>
      <c r="O84" s="1819" t="s">
        <v>510</v>
      </c>
      <c r="P84" s="1820"/>
      <c r="Q84" s="1820"/>
      <c r="R84" s="1821"/>
      <c r="U84" s="483"/>
      <c r="V84" s="483"/>
      <c r="W84" s="483"/>
      <c r="X84" s="483"/>
      <c r="Y84" s="483"/>
      <c r="Z84" s="483"/>
      <c r="AA84" s="483"/>
    </row>
    <row r="85" spans="2:33" ht="21" customHeight="1" x14ac:dyDescent="0.25">
      <c r="B85" s="201" t="s">
        <v>80</v>
      </c>
      <c r="C85" s="117"/>
      <c r="D85" s="399"/>
      <c r="E85" s="1140">
        <v>-2.25</v>
      </c>
      <c r="F85" s="1140">
        <v>-2.25</v>
      </c>
      <c r="G85" s="1140">
        <v>-2.125</v>
      </c>
      <c r="H85" s="1142">
        <v>-2.125</v>
      </c>
      <c r="I85" s="1142">
        <v>-2</v>
      </c>
      <c r="J85" s="1142">
        <v>-1.75</v>
      </c>
      <c r="K85" s="1143">
        <v>1.75</v>
      </c>
      <c r="L85" s="181"/>
      <c r="O85" s="1819" t="s">
        <v>511</v>
      </c>
      <c r="P85" s="1820"/>
      <c r="Q85" s="1820"/>
      <c r="R85" s="1821"/>
      <c r="W85" s="27"/>
    </row>
    <row r="86" spans="2:33" ht="21" customHeight="1" x14ac:dyDescent="0.25">
      <c r="B86" s="466">
        <v>1099</v>
      </c>
      <c r="C86" s="117"/>
      <c r="D86" s="399"/>
      <c r="E86" s="1140">
        <v>-1.1000000000000001</v>
      </c>
      <c r="F86" s="1140">
        <v>-0.97499999999999998</v>
      </c>
      <c r="G86" s="1140">
        <v>-0.97499999999999998</v>
      </c>
      <c r="H86" s="1140">
        <v>-0.875</v>
      </c>
      <c r="I86" s="1140">
        <v>-0.5</v>
      </c>
      <c r="J86" s="1140">
        <v>0</v>
      </c>
      <c r="K86" s="1141" t="s">
        <v>56</v>
      </c>
      <c r="L86" s="181"/>
      <c r="O86" s="1819" t="s">
        <v>512</v>
      </c>
      <c r="P86" s="1820"/>
      <c r="Q86" s="1820"/>
      <c r="R86" s="1821"/>
      <c r="U86" s="483"/>
      <c r="V86" s="483"/>
      <c r="W86" s="483"/>
      <c r="X86" s="483"/>
      <c r="Y86" s="483"/>
      <c r="Z86" s="483"/>
    </row>
    <row r="87" spans="2:33" ht="15.75" customHeight="1" thickBot="1" x14ac:dyDescent="0.3">
      <c r="B87" s="400" t="s">
        <v>175</v>
      </c>
      <c r="C87" s="136"/>
      <c r="D87" s="1144"/>
      <c r="E87" s="307">
        <v>0.5</v>
      </c>
      <c r="F87" s="307">
        <v>0.75</v>
      </c>
      <c r="G87" s="307">
        <v>0.75</v>
      </c>
      <c r="H87" s="307">
        <v>1</v>
      </c>
      <c r="I87" s="307">
        <v>1.25</v>
      </c>
      <c r="J87" s="307">
        <v>1.5</v>
      </c>
      <c r="K87" s="927" t="s">
        <v>56</v>
      </c>
      <c r="O87" s="513"/>
      <c r="P87" s="848"/>
      <c r="Q87" s="848"/>
      <c r="R87" s="510"/>
      <c r="U87" s="483"/>
      <c r="V87" s="483"/>
      <c r="W87" s="483"/>
      <c r="X87" s="483"/>
      <c r="Y87" s="483"/>
      <c r="Z87" s="483"/>
    </row>
    <row r="88" spans="2:33" ht="25.5" customHeight="1" x14ac:dyDescent="0.25">
      <c r="B88" s="531" t="s">
        <v>535</v>
      </c>
      <c r="C88" s="37"/>
      <c r="D88" s="37"/>
      <c r="E88" s="306">
        <v>1</v>
      </c>
      <c r="F88" s="306">
        <v>1.125</v>
      </c>
      <c r="G88" s="306">
        <v>1.25</v>
      </c>
      <c r="H88" s="306">
        <v>1.625</v>
      </c>
      <c r="I88" s="306">
        <v>2</v>
      </c>
      <c r="J88" s="306">
        <v>2.5</v>
      </c>
      <c r="K88" s="552" t="s">
        <v>56</v>
      </c>
      <c r="O88" s="1819" t="s">
        <v>513</v>
      </c>
      <c r="P88" s="1820"/>
      <c r="Q88" s="1820"/>
      <c r="R88" s="1821"/>
    </row>
    <row r="89" spans="2:33" ht="21" customHeight="1" x14ac:dyDescent="0.25">
      <c r="B89" s="466" t="s">
        <v>536</v>
      </c>
      <c r="C89" s="117"/>
      <c r="D89" s="117"/>
      <c r="E89" s="589">
        <v>1.75</v>
      </c>
      <c r="F89" s="589">
        <v>2</v>
      </c>
      <c r="G89" s="589">
        <v>2.25</v>
      </c>
      <c r="H89" s="589">
        <v>2.5</v>
      </c>
      <c r="I89" s="589">
        <v>3</v>
      </c>
      <c r="J89" s="589">
        <v>3.5</v>
      </c>
      <c r="K89" s="1082" t="s">
        <v>56</v>
      </c>
      <c r="O89" s="1819" t="s">
        <v>514</v>
      </c>
      <c r="P89" s="1820"/>
      <c r="Q89" s="1820"/>
      <c r="R89" s="1821"/>
      <c r="V89" s="17"/>
      <c r="W89" s="17"/>
    </row>
    <row r="90" spans="2:33" ht="21" customHeight="1" thickBot="1" x14ac:dyDescent="0.3">
      <c r="B90" s="468" t="s">
        <v>519</v>
      </c>
      <c r="C90" s="14"/>
      <c r="D90" s="14"/>
      <c r="E90" s="307">
        <v>2.125</v>
      </c>
      <c r="F90" s="307">
        <v>2.375</v>
      </c>
      <c r="G90" s="307">
        <v>2.75</v>
      </c>
      <c r="H90" s="307">
        <v>3</v>
      </c>
      <c r="I90" s="307">
        <v>3.5</v>
      </c>
      <c r="J90" s="307">
        <v>4.25</v>
      </c>
      <c r="K90" s="549" t="s">
        <v>56</v>
      </c>
      <c r="O90" s="1819" t="s">
        <v>515</v>
      </c>
      <c r="P90" s="1820"/>
      <c r="Q90" s="1820"/>
      <c r="R90" s="1821"/>
      <c r="V90" s="17"/>
      <c r="W90" s="17"/>
    </row>
    <row r="91" spans="2:33" ht="21" customHeight="1" thickBot="1" x14ac:dyDescent="0.25">
      <c r="B91" s="1772" t="s">
        <v>504</v>
      </c>
      <c r="C91" s="1773"/>
      <c r="D91" s="1773"/>
      <c r="E91" s="1773"/>
      <c r="F91" s="1773"/>
      <c r="G91" s="1773"/>
      <c r="H91" s="1773"/>
      <c r="I91" s="1774"/>
      <c r="O91" s="509"/>
      <c r="P91" s="848"/>
      <c r="Q91" s="848"/>
      <c r="R91" s="510"/>
      <c r="U91" s="1518"/>
      <c r="V91" s="1518"/>
      <c r="W91" s="1518"/>
    </row>
    <row r="92" spans="2:33" ht="21" customHeight="1" thickBot="1" x14ac:dyDescent="0.3">
      <c r="B92" s="637" t="s">
        <v>91</v>
      </c>
      <c r="C92" s="638"/>
      <c r="D92" s="220"/>
      <c r="E92" s="37"/>
      <c r="F92" s="37"/>
      <c r="G92" s="37"/>
      <c r="H92" s="37"/>
      <c r="I92" s="830">
        <v>0.25</v>
      </c>
      <c r="O92" s="1712" t="s">
        <v>516</v>
      </c>
      <c r="P92" s="1713"/>
      <c r="Q92" s="1713"/>
      <c r="R92" s="1714"/>
      <c r="U92" s="1253"/>
      <c r="V92" s="1253"/>
      <c r="W92" s="1253"/>
    </row>
    <row r="93" spans="2:33" ht="21" customHeight="1" thickBot="1" x14ac:dyDescent="0.3">
      <c r="B93" s="177" t="s">
        <v>168</v>
      </c>
      <c r="C93" s="846"/>
      <c r="D93" s="27"/>
      <c r="I93" s="74">
        <v>1</v>
      </c>
      <c r="K93" s="1008"/>
      <c r="R93" s="38"/>
      <c r="U93" s="1831"/>
      <c r="V93" s="1831"/>
      <c r="W93" s="1831"/>
    </row>
    <row r="94" spans="2:33" ht="21" customHeight="1" thickBot="1" x14ac:dyDescent="0.3">
      <c r="B94" s="177" t="s">
        <v>267</v>
      </c>
      <c r="C94" s="846"/>
      <c r="D94" s="27"/>
      <c r="I94" s="94">
        <v>-0.125</v>
      </c>
      <c r="O94" s="823" t="s">
        <v>347</v>
      </c>
      <c r="P94" s="824"/>
      <c r="Q94" s="824"/>
      <c r="R94" s="825"/>
    </row>
    <row r="95" spans="2:33" ht="21" customHeight="1" x14ac:dyDescent="0.25">
      <c r="B95" s="177" t="s">
        <v>170</v>
      </c>
      <c r="C95" s="846"/>
      <c r="D95" s="27"/>
      <c r="I95" s="74">
        <v>0.75</v>
      </c>
      <c r="J95" s="1009"/>
      <c r="K95" s="1010"/>
      <c r="L95" s="1010"/>
      <c r="M95" s="1011"/>
      <c r="O95" s="95"/>
      <c r="Q95" s="821" t="s">
        <v>162</v>
      </c>
      <c r="R95" s="822"/>
    </row>
    <row r="96" spans="2:33" ht="21" customHeight="1" x14ac:dyDescent="0.25">
      <c r="B96" s="177" t="s">
        <v>171</v>
      </c>
      <c r="C96" s="846"/>
      <c r="D96" s="27"/>
      <c r="H96" s="87"/>
      <c r="I96" s="132">
        <v>0.25</v>
      </c>
      <c r="J96" s="1012"/>
      <c r="K96" s="1013"/>
      <c r="L96" s="1013"/>
      <c r="M96" s="1014"/>
      <c r="O96" s="73" t="s">
        <v>109</v>
      </c>
      <c r="P96" s="27"/>
      <c r="R96" s="74">
        <v>0</v>
      </c>
    </row>
    <row r="97" spans="2:34" ht="21" customHeight="1" x14ac:dyDescent="0.25">
      <c r="B97" s="177" t="s">
        <v>173</v>
      </c>
      <c r="C97" s="846"/>
      <c r="D97" s="27"/>
      <c r="H97" s="27"/>
      <c r="I97" s="132">
        <v>0.375</v>
      </c>
      <c r="J97" s="1730"/>
      <c r="K97" s="1731"/>
      <c r="L97" s="1731"/>
      <c r="M97" s="1732"/>
      <c r="O97" s="75" t="s">
        <v>111</v>
      </c>
      <c r="P97" s="27"/>
      <c r="R97" s="74">
        <v>0.125</v>
      </c>
    </row>
    <row r="98" spans="2:34" ht="21" customHeight="1" x14ac:dyDescent="0.25">
      <c r="B98" s="97" t="s">
        <v>174</v>
      </c>
      <c r="C98" s="846"/>
      <c r="D98" s="27"/>
      <c r="I98" s="132">
        <v>0.125</v>
      </c>
      <c r="J98" s="1733"/>
      <c r="K98" s="1734"/>
      <c r="L98" s="1734"/>
      <c r="M98" s="1735"/>
      <c r="O98" s="75" t="s">
        <v>112</v>
      </c>
      <c r="P98" s="27"/>
      <c r="R98" s="74">
        <v>0.25</v>
      </c>
    </row>
    <row r="99" spans="2:34" ht="21" customHeight="1" thickBot="1" x14ac:dyDescent="0.35">
      <c r="B99" s="177" t="s">
        <v>460</v>
      </c>
      <c r="D99" s="455"/>
      <c r="H99" s="33"/>
      <c r="I99" s="94">
        <v>-1.5</v>
      </c>
      <c r="J99" s="1897"/>
      <c r="K99" s="1898"/>
      <c r="L99" s="1898"/>
      <c r="M99" s="1899"/>
      <c r="O99" s="76" t="s">
        <v>163</v>
      </c>
      <c r="P99" s="78"/>
      <c r="Q99" s="14"/>
      <c r="R99" s="79">
        <v>0.375</v>
      </c>
    </row>
    <row r="100" spans="2:34" ht="21" customHeight="1" thickBot="1" x14ac:dyDescent="0.3">
      <c r="B100" s="177" t="s">
        <v>461</v>
      </c>
      <c r="D100" s="181"/>
      <c r="I100" s="94">
        <v>-1</v>
      </c>
      <c r="J100" s="1900"/>
      <c r="K100" s="1901"/>
      <c r="L100" s="1901"/>
      <c r="M100" s="1902"/>
      <c r="R100" s="38"/>
    </row>
    <row r="101" spans="2:34" ht="21" customHeight="1" thickBot="1" x14ac:dyDescent="0.3">
      <c r="B101" s="177" t="s">
        <v>367</v>
      </c>
      <c r="D101" s="181"/>
      <c r="H101" s="849"/>
      <c r="I101" s="94">
        <v>-0.5</v>
      </c>
      <c r="J101" s="1709"/>
      <c r="K101" s="1710"/>
      <c r="L101" s="1710"/>
      <c r="M101" s="1711"/>
      <c r="O101" s="826" t="s">
        <v>370</v>
      </c>
      <c r="P101" s="827"/>
      <c r="Q101" s="827"/>
      <c r="R101" s="828"/>
    </row>
    <row r="102" spans="2:34" ht="21" customHeight="1" x14ac:dyDescent="0.25">
      <c r="B102" s="177" t="s">
        <v>164</v>
      </c>
      <c r="D102" s="181"/>
      <c r="I102" s="94">
        <v>0.5</v>
      </c>
      <c r="O102" s="636" t="s">
        <v>207</v>
      </c>
      <c r="R102" s="464">
        <v>0.25</v>
      </c>
    </row>
    <row r="103" spans="2:34" ht="21" customHeight="1" thickBot="1" x14ac:dyDescent="0.3">
      <c r="B103" s="177" t="s">
        <v>166</v>
      </c>
      <c r="I103" s="94">
        <v>1</v>
      </c>
      <c r="N103" s="850"/>
      <c r="O103" s="829"/>
      <c r="P103" s="14"/>
      <c r="Q103" s="14"/>
      <c r="R103" s="405"/>
    </row>
    <row r="104" spans="2:34" ht="21" customHeight="1" thickBot="1" x14ac:dyDescent="0.3">
      <c r="B104" s="177" t="s">
        <v>646</v>
      </c>
      <c r="I104" s="94">
        <v>0</v>
      </c>
      <c r="N104" s="850"/>
      <c r="O104" s="114"/>
      <c r="R104" s="130"/>
    </row>
    <row r="105" spans="2:34" ht="19.5" customHeight="1" thickBot="1" x14ac:dyDescent="0.25">
      <c r="B105" s="1772" t="s">
        <v>643</v>
      </c>
      <c r="C105" s="1773"/>
      <c r="D105" s="1773"/>
      <c r="E105" s="1773"/>
      <c r="F105" s="1773"/>
      <c r="G105" s="1773"/>
      <c r="H105" s="1773"/>
      <c r="I105" s="1774"/>
      <c r="R105" s="38"/>
    </row>
    <row r="106" spans="2:34" ht="26.25" customHeight="1" thickBot="1" x14ac:dyDescent="0.3">
      <c r="B106" s="802" t="s">
        <v>646</v>
      </c>
      <c r="C106" s="851"/>
      <c r="D106" s="791"/>
      <c r="E106" s="792"/>
      <c r="F106" s="792"/>
      <c r="G106" s="792"/>
      <c r="H106" s="792"/>
      <c r="I106" s="801">
        <v>0</v>
      </c>
      <c r="R106" s="38"/>
      <c r="AH106" s="38"/>
    </row>
    <row r="107" spans="2:34" ht="24" customHeight="1" thickBot="1" x14ac:dyDescent="0.45">
      <c r="B107" s="526" t="s">
        <v>129</v>
      </c>
      <c r="C107" s="1372" t="s">
        <v>350</v>
      </c>
      <c r="D107" s="1373"/>
      <c r="E107" s="1373"/>
      <c r="F107" s="1373"/>
      <c r="G107" s="1373"/>
      <c r="H107" s="1373"/>
      <c r="I107" s="1373"/>
      <c r="J107" s="1373"/>
      <c r="K107" s="1373"/>
      <c r="L107" s="1374"/>
      <c r="N107" s="1579" t="s">
        <v>570</v>
      </c>
      <c r="O107" s="1580"/>
      <c r="P107" s="1580"/>
      <c r="Q107" s="1580"/>
      <c r="R107" s="1581"/>
      <c r="S107" s="430"/>
      <c r="AH107" s="120"/>
    </row>
    <row r="108" spans="2:34" ht="24" customHeight="1" thickBot="1" x14ac:dyDescent="0.45">
      <c r="B108" s="591" t="s">
        <v>176</v>
      </c>
      <c r="C108" s="917" t="s">
        <v>662</v>
      </c>
      <c r="D108" s="916"/>
      <c r="E108" s="220"/>
      <c r="F108" s="220"/>
      <c r="G108" s="220"/>
      <c r="H108" s="441"/>
      <c r="I108" s="37"/>
      <c r="J108" s="140"/>
      <c r="L108" s="38"/>
      <c r="N108" s="472" t="s">
        <v>88</v>
      </c>
      <c r="O108" s="624"/>
      <c r="P108" s="37"/>
      <c r="Q108" s="37"/>
      <c r="R108" s="464">
        <v>0.75</v>
      </c>
      <c r="S108" s="430"/>
      <c r="AH108" s="120"/>
    </row>
    <row r="109" spans="2:34" ht="24" customHeight="1" thickBot="1" x14ac:dyDescent="0.45">
      <c r="B109" s="526" t="s">
        <v>177</v>
      </c>
      <c r="C109" s="1372" t="s">
        <v>371</v>
      </c>
      <c r="D109" s="1373"/>
      <c r="E109" s="1373"/>
      <c r="F109" s="1373"/>
      <c r="G109" s="1373"/>
      <c r="H109" s="1373"/>
      <c r="I109" s="1373"/>
      <c r="J109" s="1373"/>
      <c r="K109" s="1373"/>
      <c r="L109" s="1374"/>
      <c r="N109" s="636" t="s">
        <v>89</v>
      </c>
      <c r="O109" s="114"/>
      <c r="R109" s="130">
        <v>1</v>
      </c>
      <c r="S109" s="430"/>
      <c r="AH109" s="120"/>
    </row>
    <row r="110" spans="2:34" ht="24" customHeight="1" thickBot="1" x14ac:dyDescent="0.45">
      <c r="B110" s="527" t="s">
        <v>176</v>
      </c>
      <c r="C110" s="29" t="s">
        <v>663</v>
      </c>
      <c r="D110" s="431"/>
      <c r="E110" s="431"/>
      <c r="F110" s="431"/>
      <c r="G110" s="431"/>
      <c r="H110" s="431"/>
      <c r="I110" s="14"/>
      <c r="J110" s="14"/>
      <c r="K110" s="14"/>
      <c r="L110" s="48"/>
      <c r="N110" s="473" t="s">
        <v>188</v>
      </c>
      <c r="O110" s="404"/>
      <c r="P110" s="14"/>
      <c r="Q110" s="14"/>
      <c r="R110" s="405">
        <v>1.5</v>
      </c>
      <c r="S110" s="430"/>
      <c r="AH110" s="120"/>
    </row>
    <row r="111" spans="2:34" ht="24" customHeight="1" thickBot="1" x14ac:dyDescent="0.35">
      <c r="B111" s="526" t="s">
        <v>206</v>
      </c>
      <c r="C111" s="1372" t="s">
        <v>462</v>
      </c>
      <c r="D111" s="1373"/>
      <c r="E111" s="1373"/>
      <c r="F111" s="1373"/>
      <c r="G111" s="1373"/>
      <c r="H111" s="1373"/>
      <c r="I111" s="1373"/>
      <c r="J111" s="1373"/>
      <c r="K111" s="1373"/>
      <c r="L111" s="1374"/>
      <c r="R111" s="38"/>
      <c r="T111" s="17"/>
      <c r="U111" s="17"/>
      <c r="AH111" s="120"/>
    </row>
    <row r="112" spans="2:34" ht="18.75" customHeight="1" thickBot="1" x14ac:dyDescent="0.3">
      <c r="B112" s="528" t="s">
        <v>176</v>
      </c>
      <c r="C112" s="465" t="s">
        <v>661</v>
      </c>
      <c r="D112" s="431"/>
      <c r="E112" s="431"/>
      <c r="F112" s="431"/>
      <c r="G112" s="431"/>
      <c r="H112" s="431"/>
      <c r="I112" s="14"/>
      <c r="J112" s="407"/>
      <c r="K112" s="14"/>
      <c r="L112" s="48"/>
      <c r="M112" s="14"/>
      <c r="N112" s="14"/>
      <c r="O112" s="14"/>
      <c r="P112" s="14"/>
      <c r="Q112" s="14"/>
      <c r="R112" s="48"/>
      <c r="T112" s="17"/>
      <c r="U112" s="17"/>
      <c r="AH112" s="120"/>
    </row>
    <row r="113" spans="2:36" ht="21" customHeight="1" x14ac:dyDescent="0.3">
      <c r="B113" s="1250" t="s">
        <v>678</v>
      </c>
      <c r="C113" s="1251"/>
      <c r="D113" s="1251"/>
      <c r="E113" s="1251"/>
      <c r="F113" s="1251"/>
      <c r="G113" s="1251"/>
      <c r="H113" s="1251"/>
      <c r="I113" s="1251"/>
      <c r="J113" s="1251"/>
      <c r="K113" s="1251"/>
      <c r="L113" s="1251"/>
      <c r="M113" s="1251"/>
      <c r="N113" s="1251"/>
      <c r="O113" s="1251"/>
      <c r="P113" s="1251"/>
      <c r="Q113" s="1251"/>
      <c r="R113" s="1252"/>
      <c r="U113" s="129"/>
      <c r="V113" s="164"/>
      <c r="W113" s="164"/>
      <c r="X113" s="164"/>
      <c r="Y113" s="165"/>
      <c r="AA113" s="128"/>
      <c r="AB113" s="128"/>
      <c r="AD113" s="128"/>
      <c r="AE113" s="128"/>
      <c r="AF113" s="128"/>
      <c r="AG113" s="128"/>
      <c r="AH113" s="128"/>
      <c r="AI113" s="128"/>
      <c r="AJ113" s="128"/>
    </row>
    <row r="114" spans="2:36" ht="18.75" customHeight="1" x14ac:dyDescent="0.3">
      <c r="B114" s="1812" t="s">
        <v>10</v>
      </c>
      <c r="C114" s="1253"/>
      <c r="D114" s="1253"/>
      <c r="E114" s="1253"/>
      <c r="F114" s="1253"/>
      <c r="G114" s="1253"/>
      <c r="H114" s="1253"/>
      <c r="I114" s="1253"/>
      <c r="J114" s="1253"/>
      <c r="K114" s="1253"/>
      <c r="L114" s="1253"/>
      <c r="M114" s="1253"/>
      <c r="N114" s="1253"/>
      <c r="O114" s="1253"/>
      <c r="P114" s="1253"/>
      <c r="Q114" s="1253"/>
      <c r="R114" s="1813"/>
      <c r="U114" s="129"/>
      <c r="V114" s="164"/>
      <c r="W114" s="164"/>
      <c r="X114" s="164"/>
      <c r="Y114" s="154"/>
      <c r="AA114" s="128"/>
      <c r="AB114" s="128"/>
      <c r="AC114" s="166"/>
      <c r="AD114" s="128"/>
      <c r="AE114" s="128"/>
      <c r="AF114" s="128"/>
      <c r="AG114" s="128"/>
      <c r="AH114" s="128"/>
      <c r="AI114" s="128"/>
      <c r="AJ114" s="128"/>
    </row>
    <row r="115" spans="2:36" ht="20.25" customHeight="1" thickBot="1" x14ac:dyDescent="0.35">
      <c r="B115" s="383"/>
      <c r="C115" s="384"/>
      <c r="D115" s="384"/>
      <c r="E115" s="14"/>
      <c r="F115" s="384"/>
      <c r="G115" s="384"/>
      <c r="H115" s="136" t="s">
        <v>23</v>
      </c>
      <c r="I115" s="384"/>
      <c r="J115" s="384"/>
      <c r="K115" s="384"/>
      <c r="L115" s="384"/>
      <c r="M115" s="384"/>
      <c r="N115" s="384"/>
      <c r="O115" s="384"/>
      <c r="P115" s="384"/>
      <c r="Q115" s="384"/>
      <c r="R115" s="385"/>
      <c r="U115" s="152"/>
      <c r="AG115" s="128"/>
      <c r="AH115" s="128"/>
      <c r="AI115" s="128"/>
      <c r="AJ115" s="128"/>
    </row>
    <row r="116" spans="2:36" x14ac:dyDescent="0.2">
      <c r="G116" s="37"/>
      <c r="H116" s="37"/>
      <c r="I116" s="37"/>
      <c r="J116" s="37"/>
    </row>
    <row r="118" spans="2:36" ht="15" x14ac:dyDescent="0.25"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</sheetData>
  <mergeCells count="162">
    <mergeCell ref="C109:L109"/>
    <mergeCell ref="C111:L111"/>
    <mergeCell ref="I30:K30"/>
    <mergeCell ref="E30:G30"/>
    <mergeCell ref="I32:K32"/>
    <mergeCell ref="E43:G43"/>
    <mergeCell ref="E44:G44"/>
    <mergeCell ref="B56:F57"/>
    <mergeCell ref="B50:C51"/>
    <mergeCell ref="B52:C53"/>
    <mergeCell ref="B54:C55"/>
    <mergeCell ref="H49:I54"/>
    <mergeCell ref="I33:K33"/>
    <mergeCell ref="I36:K36"/>
    <mergeCell ref="J55:J56"/>
    <mergeCell ref="E47:G47"/>
    <mergeCell ref="E37:G37"/>
    <mergeCell ref="B49:F49"/>
    <mergeCell ref="D50:F51"/>
    <mergeCell ref="H55:I56"/>
    <mergeCell ref="D52:F53"/>
    <mergeCell ref="D54:F55"/>
    <mergeCell ref="J99:M99"/>
    <mergeCell ref="J100:M100"/>
    <mergeCell ref="U91:W91"/>
    <mergeCell ref="U92:W92"/>
    <mergeCell ref="U93:W93"/>
    <mergeCell ref="K54:L54"/>
    <mergeCell ref="K55:L55"/>
    <mergeCell ref="H43:L43"/>
    <mergeCell ref="H44:I44"/>
    <mergeCell ref="H45:I45"/>
    <mergeCell ref="H46:I46"/>
    <mergeCell ref="J44:L44"/>
    <mergeCell ref="J45:L45"/>
    <mergeCell ref="H47:I47"/>
    <mergeCell ref="J47:L47"/>
    <mergeCell ref="O53:R53"/>
    <mergeCell ref="B91:I91"/>
    <mergeCell ref="K50:L50"/>
    <mergeCell ref="K51:L51"/>
    <mergeCell ref="K52:L52"/>
    <mergeCell ref="K53:L53"/>
    <mergeCell ref="O57:R57"/>
    <mergeCell ref="O58:R58"/>
    <mergeCell ref="O55:R55"/>
    <mergeCell ref="O51:R52"/>
    <mergeCell ref="O48:R48"/>
    <mergeCell ref="B114:R114"/>
    <mergeCell ref="B113:R113"/>
    <mergeCell ref="B59:D59"/>
    <mergeCell ref="B58:N58"/>
    <mergeCell ref="K59:N59"/>
    <mergeCell ref="H59:J59"/>
    <mergeCell ref="O89:R89"/>
    <mergeCell ref="O88:R88"/>
    <mergeCell ref="O90:R90"/>
    <mergeCell ref="O85:R85"/>
    <mergeCell ref="E59:G59"/>
    <mergeCell ref="O81:R81"/>
    <mergeCell ref="O83:R83"/>
    <mergeCell ref="O71:R71"/>
    <mergeCell ref="O73:R73"/>
    <mergeCell ref="O74:R74"/>
    <mergeCell ref="O84:R84"/>
    <mergeCell ref="O86:R86"/>
    <mergeCell ref="N107:R107"/>
    <mergeCell ref="O76:R76"/>
    <mergeCell ref="O60:R60"/>
    <mergeCell ref="B60:K60"/>
    <mergeCell ref="B105:I105"/>
    <mergeCell ref="C107:L107"/>
    <mergeCell ref="P2:R2"/>
    <mergeCell ref="B24:C24"/>
    <mergeCell ref="M21:N21"/>
    <mergeCell ref="I24:K24"/>
    <mergeCell ref="B20:C20"/>
    <mergeCell ref="B21:C21"/>
    <mergeCell ref="B22:C22"/>
    <mergeCell ref="B23:C23"/>
    <mergeCell ref="E20:G20"/>
    <mergeCell ref="E21:G21"/>
    <mergeCell ref="B2:D2"/>
    <mergeCell ref="B19:C19"/>
    <mergeCell ref="E19:G19"/>
    <mergeCell ref="B3:D3"/>
    <mergeCell ref="B4:D4"/>
    <mergeCell ref="B5:D5"/>
    <mergeCell ref="B6:D6"/>
    <mergeCell ref="B9:R10"/>
    <mergeCell ref="O11:R11"/>
    <mergeCell ref="B12:R12"/>
    <mergeCell ref="M20:N20"/>
    <mergeCell ref="B14:R15"/>
    <mergeCell ref="K11:N11"/>
    <mergeCell ref="O21:R21"/>
    <mergeCell ref="F7:I7"/>
    <mergeCell ref="K7:L7"/>
    <mergeCell ref="I19:K19"/>
    <mergeCell ref="I27:K27"/>
    <mergeCell ref="E33:G33"/>
    <mergeCell ref="M22:N22"/>
    <mergeCell ref="I34:K34"/>
    <mergeCell ref="E35:G35"/>
    <mergeCell ref="E34:G34"/>
    <mergeCell ref="I31:K31"/>
    <mergeCell ref="E31:G31"/>
    <mergeCell ref="E32:G32"/>
    <mergeCell ref="E23:G23"/>
    <mergeCell ref="B13:R13"/>
    <mergeCell ref="I20:K20"/>
    <mergeCell ref="I22:K22"/>
    <mergeCell ref="O24:R24"/>
    <mergeCell ref="B17:R17"/>
    <mergeCell ref="I25:K25"/>
    <mergeCell ref="I28:K28"/>
    <mergeCell ref="E22:G22"/>
    <mergeCell ref="E24:G24"/>
    <mergeCell ref="O19:R20"/>
    <mergeCell ref="O23:R23"/>
    <mergeCell ref="I23:K23"/>
    <mergeCell ref="I21:K21"/>
    <mergeCell ref="E39:G39"/>
    <mergeCell ref="E40:G40"/>
    <mergeCell ref="E36:G36"/>
    <mergeCell ref="E38:G38"/>
    <mergeCell ref="E46:G46"/>
    <mergeCell ref="E41:G41"/>
    <mergeCell ref="E25:G25"/>
    <mergeCell ref="I37:K37"/>
    <mergeCell ref="J46:L46"/>
    <mergeCell ref="E42:G42"/>
    <mergeCell ref="E45:G45"/>
    <mergeCell ref="O25:R25"/>
    <mergeCell ref="E26:G26"/>
    <mergeCell ref="E27:G27"/>
    <mergeCell ref="I26:K26"/>
    <mergeCell ref="O26:R26"/>
    <mergeCell ref="O27:R27"/>
    <mergeCell ref="E28:G28"/>
    <mergeCell ref="O45:R45"/>
    <mergeCell ref="O41:R41"/>
    <mergeCell ref="J101:M101"/>
    <mergeCell ref="O28:R28"/>
    <mergeCell ref="O92:R92"/>
    <mergeCell ref="O78:R79"/>
    <mergeCell ref="O37:R37"/>
    <mergeCell ref="O39:R40"/>
    <mergeCell ref="O29:R29"/>
    <mergeCell ref="O32:R32"/>
    <mergeCell ref="O33:R33"/>
    <mergeCell ref="O31:R31"/>
    <mergeCell ref="O35:R35"/>
    <mergeCell ref="O34:R34"/>
    <mergeCell ref="O30:R30"/>
    <mergeCell ref="O36:R36"/>
    <mergeCell ref="O43:R43"/>
    <mergeCell ref="O44:R44"/>
    <mergeCell ref="K49:L49"/>
    <mergeCell ref="O47:R47"/>
    <mergeCell ref="J97:M97"/>
    <mergeCell ref="J98:M98"/>
  </mergeCells>
  <hyperlinks>
    <hyperlink ref="B6" r:id="rId1" xr:uid="{18897476-F72B-4ADD-8ECC-26CA49A440A0}"/>
    <hyperlink ref="I19:K19" r:id="rId2" display="Click for Guideline" xr:uid="{0383843C-EE4F-405D-9F86-C57B570D7467}"/>
    <hyperlink ref="D29:G29" r:id="rId3" display="Click For Guideline" xr:uid="{47645A8C-3965-4C9D-8D31-B351DB228A0F}"/>
  </hyperlinks>
  <printOptions horizontalCentered="1" verticalCentered="1"/>
  <pageMargins left="0.1" right="0.1" top="0.1" bottom="0.1" header="0.1" footer="0.1"/>
  <pageSetup paperSize="5" scale="41" orientation="portrait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5B60-167D-415A-B744-4A8BC6991C45}">
  <sheetPr codeName="Sheet8">
    <pageSetUpPr fitToPage="1"/>
  </sheetPr>
  <dimension ref="A1:AF115"/>
  <sheetViews>
    <sheetView topLeftCell="A23" zoomScale="70" zoomScaleNormal="70" workbookViewId="0">
      <selection activeCell="J57" sqref="J57"/>
    </sheetView>
  </sheetViews>
  <sheetFormatPr defaultRowHeight="14.25" x14ac:dyDescent="0.2"/>
  <cols>
    <col min="1" max="1" width="9.140625" style="5"/>
    <col min="2" max="2" width="16.140625" style="5" customWidth="1"/>
    <col min="3" max="4" width="13.28515625" style="5" customWidth="1"/>
    <col min="5" max="5" width="13.42578125" style="5" customWidth="1"/>
    <col min="6" max="6" width="14" style="5" customWidth="1"/>
    <col min="7" max="7" width="13.42578125" style="5" customWidth="1"/>
    <col min="8" max="8" width="16" style="5" customWidth="1"/>
    <col min="9" max="9" width="14" style="5" customWidth="1"/>
    <col min="10" max="10" width="34" style="5" customWidth="1"/>
    <col min="11" max="11" width="13.5703125" style="5" customWidth="1"/>
    <col min="12" max="12" width="13.140625" style="5" customWidth="1"/>
    <col min="13" max="13" width="12.42578125" style="5" customWidth="1"/>
    <col min="14" max="14" width="12.7109375" style="5" customWidth="1"/>
    <col min="15" max="15" width="11.28515625" style="5" customWidth="1"/>
    <col min="16" max="16" width="12.28515625" style="5" customWidth="1"/>
    <col min="17" max="17" width="9.140625" style="5"/>
    <col min="18" max="18" width="14.42578125" style="5" bestFit="1" customWidth="1"/>
    <col min="19" max="19" width="9.140625" style="5"/>
    <col min="20" max="22" width="10" style="5" bestFit="1" customWidth="1"/>
    <col min="23" max="24" width="9.28515625" style="5" bestFit="1" customWidth="1"/>
    <col min="25" max="16384" width="9.140625" style="5"/>
  </cols>
  <sheetData>
    <row r="1" spans="1:17" ht="15" customHeight="1" x14ac:dyDescent="0.25">
      <c r="P1" s="327" t="s">
        <v>723</v>
      </c>
    </row>
    <row r="2" spans="1:17" ht="18.75" customHeight="1" x14ac:dyDescent="0.25">
      <c r="A2" s="149"/>
      <c r="B2" s="1953" t="s">
        <v>0</v>
      </c>
      <c r="C2" s="1954"/>
      <c r="D2" s="1955"/>
      <c r="E2" s="27"/>
      <c r="F2" s="117"/>
      <c r="G2" s="27"/>
      <c r="H2" s="27"/>
      <c r="I2" s="27"/>
      <c r="J2" s="27"/>
      <c r="K2" s="27"/>
      <c r="L2" s="27"/>
      <c r="M2" s="27"/>
      <c r="N2" s="1964"/>
      <c r="O2" s="1965"/>
      <c r="P2" s="1966"/>
    </row>
    <row r="3" spans="1:17" ht="17.25" customHeight="1" x14ac:dyDescent="0.25">
      <c r="A3" s="149"/>
      <c r="B3" s="1272" t="s">
        <v>1</v>
      </c>
      <c r="C3" s="1273"/>
      <c r="D3" s="1274"/>
      <c r="E3" s="27"/>
      <c r="F3" s="27"/>
      <c r="G3" s="27"/>
      <c r="H3" s="27"/>
      <c r="I3" s="27"/>
      <c r="J3" s="27"/>
      <c r="K3" s="27"/>
      <c r="L3" s="27"/>
      <c r="M3" s="27"/>
      <c r="N3" s="309"/>
      <c r="O3" s="167"/>
      <c r="P3" s="310"/>
    </row>
    <row r="4" spans="1:17" ht="18.75" customHeight="1" x14ac:dyDescent="0.25">
      <c r="A4" s="149"/>
      <c r="B4" s="1272" t="s">
        <v>2</v>
      </c>
      <c r="C4" s="1273"/>
      <c r="D4" s="1274"/>
      <c r="E4" s="27"/>
      <c r="F4" s="27"/>
      <c r="G4" s="27"/>
      <c r="H4" s="27"/>
      <c r="I4" s="27"/>
      <c r="J4" s="27"/>
      <c r="K4" s="27"/>
      <c r="L4" s="27"/>
      <c r="M4" s="27"/>
      <c r="N4" s="309"/>
      <c r="O4" s="167"/>
      <c r="P4" s="310"/>
    </row>
    <row r="5" spans="1:17" ht="15" customHeight="1" x14ac:dyDescent="0.25">
      <c r="A5" s="149"/>
      <c r="B5" s="1272" t="s">
        <v>3</v>
      </c>
      <c r="C5" s="1273"/>
      <c r="D5" s="1274"/>
      <c r="E5" s="27"/>
      <c r="F5" s="27"/>
      <c r="G5" s="27"/>
      <c r="H5" s="27"/>
      <c r="I5" s="27"/>
      <c r="J5" s="27"/>
      <c r="K5" s="27"/>
      <c r="L5" s="27"/>
      <c r="M5" s="27"/>
      <c r="N5" s="309"/>
      <c r="O5" s="167"/>
      <c r="P5" s="310"/>
    </row>
    <row r="6" spans="1:17" ht="17.25" customHeight="1" x14ac:dyDescent="0.25">
      <c r="A6" s="149"/>
      <c r="B6" s="1266" t="s">
        <v>4</v>
      </c>
      <c r="C6" s="1585"/>
      <c r="D6" s="1586"/>
      <c r="E6" s="27"/>
      <c r="F6" s="27"/>
      <c r="G6" s="27"/>
      <c r="H6" s="27"/>
      <c r="I6" s="27"/>
      <c r="J6" s="27"/>
      <c r="K6" s="27"/>
      <c r="L6" s="27"/>
      <c r="M6" s="27"/>
      <c r="N6" s="311"/>
      <c r="O6" s="135"/>
      <c r="P6" s="312"/>
    </row>
    <row r="7" spans="1:17" ht="18.75" customHeight="1" thickBot="1" x14ac:dyDescent="0.3">
      <c r="B7" s="328"/>
      <c r="C7" s="328"/>
      <c r="D7" s="328"/>
      <c r="E7" s="27"/>
      <c r="F7" s="117" t="s">
        <v>5</v>
      </c>
      <c r="G7" s="117"/>
      <c r="H7" s="117"/>
      <c r="I7" s="117"/>
      <c r="J7" s="327" t="s">
        <v>6</v>
      </c>
      <c r="K7" s="315">
        <f>AAA_AAI_AAQ_AAO!M7</f>
        <v>45950</v>
      </c>
      <c r="L7" s="576" t="str">
        <f>AAA_AAI_AAQ_AAO!N7</f>
        <v>8:00 AM PST</v>
      </c>
      <c r="M7" s="27"/>
      <c r="N7" s="167"/>
      <c r="O7" s="167"/>
      <c r="P7" s="329"/>
    </row>
    <row r="8" spans="1:17" ht="12" customHeight="1" x14ac:dyDescent="0.2">
      <c r="B8" s="1579" t="s">
        <v>38</v>
      </c>
      <c r="C8" s="1580"/>
      <c r="D8" s="1580"/>
      <c r="E8" s="1580"/>
      <c r="F8" s="1580"/>
      <c r="G8" s="1580"/>
      <c r="H8" s="1580"/>
      <c r="I8" s="1580"/>
      <c r="J8" s="1580"/>
      <c r="K8" s="1580"/>
      <c r="L8" s="1580"/>
      <c r="M8" s="1580"/>
      <c r="N8" s="1580"/>
      <c r="O8" s="1580"/>
      <c r="P8" s="1581"/>
    </row>
    <row r="9" spans="1:17" ht="9" customHeight="1" thickBot="1" x14ac:dyDescent="0.25">
      <c r="B9" s="1582"/>
      <c r="C9" s="1583"/>
      <c r="D9" s="1583"/>
      <c r="E9" s="1583"/>
      <c r="F9" s="1583"/>
      <c r="G9" s="1583"/>
      <c r="H9" s="1583"/>
      <c r="I9" s="1583"/>
      <c r="J9" s="1583"/>
      <c r="K9" s="1583"/>
      <c r="L9" s="1583"/>
      <c r="M9" s="1583"/>
      <c r="N9" s="1583"/>
      <c r="O9" s="1583"/>
      <c r="P9" s="1584"/>
    </row>
    <row r="10" spans="1:17" ht="21" customHeight="1" thickBot="1" x14ac:dyDescent="0.3">
      <c r="B10" s="1959" t="s">
        <v>8</v>
      </c>
      <c r="C10" s="1960"/>
      <c r="D10" s="330" t="s">
        <v>351</v>
      </c>
      <c r="E10" s="331"/>
      <c r="F10" s="331"/>
      <c r="G10" s="264"/>
      <c r="H10" s="581" t="s">
        <v>353</v>
      </c>
      <c r="I10" s="581"/>
      <c r="J10" s="580" t="s">
        <v>352</v>
      </c>
      <c r="L10" s="1534" t="s">
        <v>626</v>
      </c>
      <c r="M10" s="1534"/>
      <c r="N10" s="1534"/>
      <c r="O10" s="1534"/>
      <c r="P10" s="1535"/>
      <c r="Q10" s="23"/>
    </row>
    <row r="11" spans="1:17" ht="4.5" customHeight="1" thickBot="1" x14ac:dyDescent="0.25">
      <c r="B11" s="81"/>
      <c r="C11" s="796"/>
      <c r="D11" s="141"/>
      <c r="E11" s="142"/>
      <c r="F11" s="142"/>
      <c r="H11" s="797"/>
      <c r="I11" s="797"/>
      <c r="J11" s="797"/>
      <c r="K11" s="582"/>
      <c r="L11" s="797"/>
      <c r="M11" s="797"/>
      <c r="N11" s="82"/>
      <c r="O11" s="82"/>
      <c r="P11" s="83"/>
      <c r="Q11" s="23"/>
    </row>
    <row r="12" spans="1:17" ht="24.75" customHeight="1" x14ac:dyDescent="0.2">
      <c r="B12" s="1579" t="s">
        <v>11</v>
      </c>
      <c r="C12" s="1580"/>
      <c r="D12" s="1580"/>
      <c r="E12" s="1580"/>
      <c r="F12" s="1580"/>
      <c r="G12" s="1580"/>
      <c r="H12" s="1580"/>
      <c r="I12" s="1580"/>
      <c r="J12" s="1580"/>
      <c r="K12" s="1580"/>
      <c r="L12" s="1580"/>
      <c r="M12" s="1580"/>
      <c r="N12" s="1580"/>
      <c r="O12" s="1580"/>
      <c r="P12" s="1581"/>
    </row>
    <row r="13" spans="1:17" ht="14.25" customHeight="1" x14ac:dyDescent="0.2">
      <c r="B13" s="1961">
        <f>AAA_AAI_AAQ_AAO!B14</f>
        <v>0</v>
      </c>
      <c r="C13" s="1962"/>
      <c r="D13" s="1962"/>
      <c r="E13" s="1962"/>
      <c r="F13" s="1962"/>
      <c r="G13" s="1962"/>
      <c r="H13" s="1962"/>
      <c r="I13" s="1962"/>
      <c r="J13" s="1962"/>
      <c r="K13" s="1962"/>
      <c r="L13" s="1962"/>
      <c r="M13" s="1962"/>
      <c r="N13" s="1962"/>
      <c r="O13" s="1962"/>
      <c r="P13" s="1963"/>
    </row>
    <row r="14" spans="1:17" ht="7.5" customHeight="1" x14ac:dyDescent="0.2">
      <c r="B14" s="1961"/>
      <c r="C14" s="1962"/>
      <c r="D14" s="1962"/>
      <c r="E14" s="1962"/>
      <c r="F14" s="1962"/>
      <c r="G14" s="1962"/>
      <c r="H14" s="1962"/>
      <c r="I14" s="1962"/>
      <c r="J14" s="1962"/>
      <c r="K14" s="1962"/>
      <c r="L14" s="1962"/>
      <c r="M14" s="1962"/>
      <c r="N14" s="1962"/>
      <c r="O14" s="1962"/>
      <c r="P14" s="1963"/>
    </row>
    <row r="15" spans="1:17" ht="3" customHeight="1" thickBot="1" x14ac:dyDescent="0.3">
      <c r="B15" s="84"/>
      <c r="C15" s="798"/>
      <c r="D15" s="798"/>
      <c r="E15" s="798"/>
      <c r="F15" s="798"/>
      <c r="G15" s="798"/>
      <c r="H15" s="798"/>
      <c r="I15" s="798"/>
      <c r="J15" s="798"/>
      <c r="K15" s="798"/>
      <c r="L15" s="798"/>
      <c r="M15" s="798"/>
      <c r="N15" s="798"/>
      <c r="O15" s="798"/>
      <c r="P15" s="85"/>
    </row>
    <row r="16" spans="1:17" ht="25.5" customHeight="1" x14ac:dyDescent="0.2">
      <c r="B16" s="1956" t="s">
        <v>181</v>
      </c>
      <c r="C16" s="1957"/>
      <c r="D16" s="1957"/>
      <c r="E16" s="1957"/>
      <c r="F16" s="1957"/>
      <c r="G16" s="1957"/>
      <c r="H16" s="1957"/>
      <c r="I16" s="1957"/>
      <c r="J16" s="1957"/>
      <c r="K16" s="1957"/>
      <c r="L16" s="1957"/>
      <c r="M16" s="1957"/>
      <c r="N16" s="1957"/>
      <c r="O16" s="1957"/>
      <c r="P16" s="1958"/>
    </row>
    <row r="17" spans="2:25" ht="2.25" customHeight="1" x14ac:dyDescent="0.2">
      <c r="B17" s="788"/>
      <c r="C17" s="799"/>
      <c r="D17" s="789"/>
      <c r="E17" s="799"/>
      <c r="F17" s="789"/>
      <c r="G17" s="789"/>
      <c r="H17" s="789"/>
      <c r="I17" s="789"/>
      <c r="J17" s="789"/>
      <c r="K17" s="789"/>
      <c r="L17" s="789"/>
      <c r="M17" s="789"/>
      <c r="N17" s="789"/>
      <c r="O17" s="789"/>
      <c r="P17" s="790"/>
    </row>
    <row r="18" spans="2:25" ht="8.25" customHeight="1" thickBot="1" x14ac:dyDescent="0.25">
      <c r="B18" s="95"/>
      <c r="P18" s="38"/>
    </row>
    <row r="19" spans="2:25" ht="24.75" customHeight="1" thickBot="1" x14ac:dyDescent="0.25">
      <c r="B19" s="1927" t="s">
        <v>250</v>
      </c>
      <c r="C19" s="1928"/>
      <c r="D19" s="1928"/>
      <c r="E19" s="1928"/>
      <c r="F19" s="1928"/>
      <c r="G19" s="1928"/>
      <c r="H19" s="1928"/>
      <c r="I19" s="1928"/>
      <c r="J19" s="1928"/>
      <c r="K19" s="1928"/>
      <c r="L19" s="1928"/>
      <c r="M19" s="1928"/>
      <c r="N19" s="1928"/>
      <c r="O19" s="1928"/>
      <c r="P19" s="1929"/>
    </row>
    <row r="20" spans="2:25" ht="25.5" customHeight="1" thickBot="1" x14ac:dyDescent="0.25">
      <c r="B20" s="2002" t="s">
        <v>380</v>
      </c>
      <c r="C20" s="2003"/>
      <c r="D20" s="2003"/>
      <c r="E20" s="2003"/>
      <c r="F20" s="2003"/>
      <c r="G20" s="2003"/>
      <c r="H20" s="2003"/>
      <c r="I20" s="2003"/>
      <c r="J20" s="2003"/>
      <c r="K20" s="2003"/>
      <c r="L20" s="2003"/>
      <c r="M20" s="2003"/>
      <c r="N20" s="2003"/>
      <c r="O20" s="2003"/>
      <c r="P20" s="2004"/>
    </row>
    <row r="21" spans="2:25" ht="21" customHeight="1" x14ac:dyDescent="0.2">
      <c r="B21" s="1787" t="s">
        <v>381</v>
      </c>
      <c r="C21" s="1967"/>
      <c r="E21" s="1787" t="s">
        <v>389</v>
      </c>
      <c r="F21" s="1967"/>
      <c r="G21" s="990"/>
      <c r="H21" s="2005" t="s">
        <v>41</v>
      </c>
      <c r="I21" s="2006"/>
      <c r="J21" s="2007"/>
      <c r="K21" s="1579" t="s">
        <v>336</v>
      </c>
      <c r="L21" s="1580"/>
      <c r="M21" s="1580"/>
      <c r="N21" s="1580"/>
      <c r="O21" s="1580"/>
      <c r="P21" s="1581"/>
    </row>
    <row r="22" spans="2:25" ht="21" customHeight="1" thickBot="1" x14ac:dyDescent="0.25">
      <c r="B22" s="1789" t="s">
        <v>382</v>
      </c>
      <c r="C22" s="2021"/>
      <c r="E22" s="1968" t="s">
        <v>382</v>
      </c>
      <c r="F22" s="1969"/>
      <c r="G22" s="990"/>
      <c r="H22" s="2022"/>
      <c r="I22" s="2023"/>
      <c r="J22" s="2024"/>
      <c r="K22" s="1582"/>
      <c r="L22" s="1583"/>
      <c r="M22" s="1583"/>
      <c r="N22" s="1583"/>
      <c r="O22" s="1583"/>
      <c r="P22" s="1584"/>
    </row>
    <row r="23" spans="2:25" ht="21" customHeight="1" x14ac:dyDescent="0.3">
      <c r="B23" s="189" t="s">
        <v>14</v>
      </c>
      <c r="C23" s="386" t="s">
        <v>670</v>
      </c>
      <c r="E23" s="199" t="s">
        <v>14</v>
      </c>
      <c r="F23" s="993" t="s">
        <v>670</v>
      </c>
      <c r="G23" s="991"/>
      <c r="H23" s="476" t="s">
        <v>469</v>
      </c>
      <c r="I23" s="695"/>
      <c r="J23" s="736">
        <v>-3</v>
      </c>
      <c r="K23" s="955" t="s">
        <v>463</v>
      </c>
      <c r="L23" s="992" t="s">
        <v>465</v>
      </c>
      <c r="M23" s="992"/>
      <c r="N23" s="992"/>
      <c r="O23" s="992"/>
      <c r="P23" s="956"/>
      <c r="Y23" s="89"/>
    </row>
    <row r="24" spans="2:25" ht="21" customHeight="1" x14ac:dyDescent="0.3">
      <c r="B24" s="104">
        <f>MIN('[1]Pricing '!$A$1943:$A$1972)</f>
        <v>5.75</v>
      </c>
      <c r="C24" s="94">
        <f>100-VLOOKUP(B24,'[1]Pricing '!$A$1943:$K$1972,11,FALSE)</f>
        <v>6.3149999999999977</v>
      </c>
      <c r="E24" s="104">
        <f>B24</f>
        <v>5.75</v>
      </c>
      <c r="F24" s="94">
        <f>100-VLOOKUP(E24,'[1]Pricing '!$A$1943:$K$1972,11,FALSE)</f>
        <v>6.3149999999999977</v>
      </c>
      <c r="G24" s="93"/>
      <c r="H24" s="104" t="s">
        <v>470</v>
      </c>
      <c r="I24" s="223"/>
      <c r="J24" s="305">
        <v>-2.75</v>
      </c>
      <c r="K24" s="955" t="s">
        <v>464</v>
      </c>
      <c r="L24" s="992" t="s">
        <v>466</v>
      </c>
      <c r="M24" s="992"/>
      <c r="N24" s="992"/>
      <c r="O24" s="992"/>
      <c r="P24" s="956"/>
      <c r="Y24" s="89"/>
    </row>
    <row r="25" spans="2:25" ht="21" customHeight="1" x14ac:dyDescent="0.3">
      <c r="B25" s="104">
        <f>B24+0.125</f>
        <v>5.875</v>
      </c>
      <c r="C25" s="94">
        <f>100-VLOOKUP(B25,'[1]Pricing '!$A$1943:$K$1972,11,FALSE)</f>
        <v>5.6899999999999977</v>
      </c>
      <c r="E25" s="104">
        <f t="shared" ref="E25:E40" si="0">B25</f>
        <v>5.875</v>
      </c>
      <c r="F25" s="94">
        <f>100-VLOOKUP(E25,'[1]Pricing '!$A$1943:$K$1972,11,FALSE)</f>
        <v>5.6899999999999977</v>
      </c>
      <c r="G25" s="93"/>
      <c r="H25" s="104" t="s">
        <v>471</v>
      </c>
      <c r="I25" s="223"/>
      <c r="J25" s="305">
        <v>-2.75</v>
      </c>
      <c r="K25" s="955" t="s">
        <v>188</v>
      </c>
      <c r="L25" s="992" t="s">
        <v>189</v>
      </c>
      <c r="M25" s="992"/>
      <c r="N25" s="992"/>
      <c r="O25" s="992"/>
      <c r="P25" s="956"/>
      <c r="Y25" s="89"/>
    </row>
    <row r="26" spans="2:25" ht="21" customHeight="1" x14ac:dyDescent="0.3">
      <c r="B26" s="104">
        <f t="shared" ref="B26:B44" si="1">B25+0.125</f>
        <v>6</v>
      </c>
      <c r="C26" s="94">
        <f>100-VLOOKUP(B26,'[1]Pricing '!$A$1943:$K$1972,11,FALSE)</f>
        <v>5.0649999999999977</v>
      </c>
      <c r="E26" s="104">
        <f t="shared" si="0"/>
        <v>6</v>
      </c>
      <c r="F26" s="94">
        <f>100-VLOOKUP(E26,'[1]Pricing '!$A$1943:$K$1972,11,FALSE)</f>
        <v>5.0649999999999977</v>
      </c>
      <c r="G26" s="93"/>
      <c r="H26" s="104" t="s">
        <v>668</v>
      </c>
      <c r="I26" s="223"/>
      <c r="J26" s="305">
        <v>-2.25</v>
      </c>
      <c r="K26" s="955" t="s">
        <v>89</v>
      </c>
      <c r="L26" s="992" t="s">
        <v>191</v>
      </c>
      <c r="M26" s="992"/>
      <c r="N26" s="992"/>
      <c r="O26" s="992"/>
      <c r="P26" s="956"/>
      <c r="R26" s="483"/>
      <c r="Y26" s="89"/>
    </row>
    <row r="27" spans="2:25" ht="21" customHeight="1" x14ac:dyDescent="0.25">
      <c r="B27" s="104">
        <f t="shared" si="1"/>
        <v>6.125</v>
      </c>
      <c r="C27" s="94">
        <f>100-VLOOKUP(B27,'[1]Pricing '!$A$1943:$K$1972,11,FALSE)</f>
        <v>4.5649999999999977</v>
      </c>
      <c r="E27" s="104">
        <f t="shared" si="0"/>
        <v>6.125</v>
      </c>
      <c r="F27" s="94">
        <f>100-VLOOKUP(E27,'[1]Pricing '!$A$1943:$K$1972,11,FALSE)</f>
        <v>4.5649999999999977</v>
      </c>
      <c r="G27" s="93"/>
      <c r="H27" s="104" t="s">
        <v>202</v>
      </c>
      <c r="I27" s="223"/>
      <c r="J27" s="305">
        <v>-1.75</v>
      </c>
      <c r="K27" s="955" t="s">
        <v>88</v>
      </c>
      <c r="L27" s="992" t="s">
        <v>193</v>
      </c>
      <c r="M27" s="992"/>
      <c r="N27" s="992"/>
      <c r="O27" s="992"/>
      <c r="P27" s="956"/>
      <c r="T27" s="972"/>
      <c r="U27" s="960"/>
      <c r="V27" s="960"/>
      <c r="W27" s="960"/>
      <c r="X27" s="960"/>
      <c r="Y27" s="960"/>
    </row>
    <row r="28" spans="2:25" ht="21" customHeight="1" thickBot="1" x14ac:dyDescent="0.3">
      <c r="B28" s="104">
        <f t="shared" si="1"/>
        <v>6.25</v>
      </c>
      <c r="C28" s="94">
        <f>100-VLOOKUP(B28,'[1]Pricing '!$A$1943:$K$1972,11,FALSE)</f>
        <v>4.0649999999999977</v>
      </c>
      <c r="E28" s="104">
        <f t="shared" si="0"/>
        <v>6.25</v>
      </c>
      <c r="F28" s="94">
        <f>100-VLOOKUP(E28,'[1]Pricing '!$A$1943:$K$1972,11,FALSE)</f>
        <v>4.0649999999999977</v>
      </c>
      <c r="G28" s="93"/>
      <c r="H28" s="388" t="s">
        <v>669</v>
      </c>
      <c r="I28" s="772"/>
      <c r="J28" s="346">
        <v>-1</v>
      </c>
      <c r="K28" s="957" t="s">
        <v>195</v>
      </c>
      <c r="L28" s="958" t="s">
        <v>196</v>
      </c>
      <c r="M28" s="958"/>
      <c r="N28" s="958"/>
      <c r="O28" s="958"/>
      <c r="P28" s="959"/>
      <c r="T28" s="973"/>
      <c r="U28" s="1995"/>
      <c r="V28" s="1995"/>
      <c r="W28" s="1995"/>
      <c r="X28" s="1995"/>
      <c r="Y28" s="1995"/>
    </row>
    <row r="29" spans="2:25" ht="21" customHeight="1" thickBot="1" x14ac:dyDescent="0.35">
      <c r="B29" s="104">
        <f t="shared" si="1"/>
        <v>6.375</v>
      </c>
      <c r="C29" s="94">
        <f>100-VLOOKUP(B29,'[1]Pricing '!$A$1943:$K$1972,11,FALSE)</f>
        <v>3.5649999999999977</v>
      </c>
      <c r="E29" s="104">
        <f t="shared" si="0"/>
        <v>6.375</v>
      </c>
      <c r="F29" s="94">
        <f>100-VLOOKUP(E29,'[1]Pricing '!$A$1943:$K$1972,11,FALSE)</f>
        <v>3.5649999999999977</v>
      </c>
      <c r="G29" s="93"/>
      <c r="P29" s="38"/>
      <c r="Y29" s="89"/>
    </row>
    <row r="30" spans="2:25" ht="21" customHeight="1" x14ac:dyDescent="0.3">
      <c r="B30" s="104">
        <f t="shared" si="1"/>
        <v>6.5</v>
      </c>
      <c r="C30" s="94">
        <f>100-VLOOKUP(B30,'[1]Pricing '!$A$1943:$K$1972,11,FALSE)</f>
        <v>3.1899999999999977</v>
      </c>
      <c r="E30" s="104">
        <f t="shared" si="0"/>
        <v>6.5</v>
      </c>
      <c r="F30" s="94">
        <f>100-VLOOKUP(E30,'[1]Pricing '!$A$1943:$K$1972,11,FALSE)</f>
        <v>3.1899999999999977</v>
      </c>
      <c r="G30" s="93"/>
      <c r="H30" s="2005" t="s">
        <v>659</v>
      </c>
      <c r="I30" s="2006"/>
      <c r="J30" s="2007"/>
      <c r="K30" s="1579" t="s">
        <v>29</v>
      </c>
      <c r="L30" s="1580"/>
      <c r="M30" s="1580"/>
      <c r="N30" s="1580"/>
      <c r="O30" s="1580"/>
      <c r="P30" s="1581"/>
      <c r="T30" s="20"/>
      <c r="X30" s="88"/>
      <c r="Y30" s="24"/>
    </row>
    <row r="31" spans="2:25" ht="21" customHeight="1" thickBot="1" x14ac:dyDescent="0.35">
      <c r="B31" s="104">
        <f t="shared" si="1"/>
        <v>6.625</v>
      </c>
      <c r="C31" s="94">
        <f>100-VLOOKUP(B31,'[1]Pricing '!$A$1943:$K$1972,11,FALSE)</f>
        <v>2.8149999999999977</v>
      </c>
      <c r="E31" s="104">
        <f t="shared" si="0"/>
        <v>6.625</v>
      </c>
      <c r="F31" s="94">
        <f>100-VLOOKUP(E31,'[1]Pricing '!$A$1943:$K$1972,11,FALSE)</f>
        <v>2.8149999999999977</v>
      </c>
      <c r="G31" s="93"/>
      <c r="H31" s="2008"/>
      <c r="I31" s="2009"/>
      <c r="J31" s="2010"/>
      <c r="K31" s="1582"/>
      <c r="L31" s="1583"/>
      <c r="M31" s="1583"/>
      <c r="N31" s="1583"/>
      <c r="O31" s="1583"/>
      <c r="P31" s="1584"/>
      <c r="S31" s="17"/>
      <c r="T31" s="89"/>
    </row>
    <row r="32" spans="2:25" ht="21" customHeight="1" x14ac:dyDescent="0.3">
      <c r="B32" s="104">
        <f t="shared" si="1"/>
        <v>6.75</v>
      </c>
      <c r="C32" s="94">
        <f>100-VLOOKUP(B32,'[1]Pricing '!$A$1943:$K$1972,11,FALSE)</f>
        <v>2.4399999999999977</v>
      </c>
      <c r="E32" s="104">
        <f t="shared" si="0"/>
        <v>6.75</v>
      </c>
      <c r="F32" s="94">
        <f>100-VLOOKUP(E32,'[1]Pricing '!$A$1943:$K$1972,11,FALSE)</f>
        <v>2.4399999999999977</v>
      </c>
      <c r="G32" s="93"/>
      <c r="H32" s="104" t="s">
        <v>471</v>
      </c>
      <c r="I32" s="223"/>
      <c r="J32" s="132" t="s">
        <v>576</v>
      </c>
      <c r="K32" s="2017" t="s">
        <v>31</v>
      </c>
      <c r="L32" s="2018"/>
      <c r="M32" s="2018"/>
      <c r="N32" s="2019">
        <v>0.04</v>
      </c>
      <c r="O32" s="2019"/>
      <c r="P32" s="2020"/>
      <c r="S32" s="17"/>
      <c r="T32" s="24"/>
    </row>
    <row r="33" spans="2:25" ht="21" customHeight="1" x14ac:dyDescent="0.25">
      <c r="B33" s="104">
        <f t="shared" si="1"/>
        <v>6.875</v>
      </c>
      <c r="C33" s="94">
        <f>100-VLOOKUP(B33,'[1]Pricing '!$A$1943:$K$1972,11,FALSE)</f>
        <v>2.0649999999999977</v>
      </c>
      <c r="E33" s="104">
        <f t="shared" si="0"/>
        <v>6.875</v>
      </c>
      <c r="F33" s="94">
        <f>100-VLOOKUP(E33,'[1]Pricing '!$A$1943:$K$1972,11,FALSE)</f>
        <v>2.0649999999999977</v>
      </c>
      <c r="G33" s="93"/>
      <c r="H33" s="104" t="s">
        <v>470</v>
      </c>
      <c r="I33" s="223"/>
      <c r="J33" s="305">
        <v>-0.25</v>
      </c>
      <c r="K33" s="1909" t="s">
        <v>254</v>
      </c>
      <c r="L33" s="1910"/>
      <c r="M33" s="1910"/>
      <c r="N33" s="2025"/>
      <c r="O33" s="2025"/>
      <c r="P33" s="2026"/>
      <c r="S33" s="17"/>
    </row>
    <row r="34" spans="2:25" ht="21" customHeight="1" x14ac:dyDescent="0.3">
      <c r="B34" s="104">
        <f t="shared" si="1"/>
        <v>7</v>
      </c>
      <c r="C34" s="94">
        <f>100-VLOOKUP(B34,'[1]Pricing '!$A$1943:$K$1972,11,FALSE)</f>
        <v>1.6899999999999977</v>
      </c>
      <c r="E34" s="104">
        <f t="shared" si="0"/>
        <v>7</v>
      </c>
      <c r="F34" s="94">
        <f>100-VLOOKUP(E34,'[1]Pricing '!$A$1943:$K$1972,11,FALSE)</f>
        <v>1.6899999999999977</v>
      </c>
      <c r="G34" s="93"/>
      <c r="H34" s="104" t="s">
        <v>469</v>
      </c>
      <c r="I34" s="223"/>
      <c r="J34" s="305">
        <v>-0.5</v>
      </c>
      <c r="K34" s="1309" t="s">
        <v>184</v>
      </c>
      <c r="L34" s="1315"/>
      <c r="M34" s="1315"/>
      <c r="N34" s="1315"/>
      <c r="O34" s="1315"/>
      <c r="P34" s="1310"/>
      <c r="S34" s="17"/>
      <c r="T34" s="24"/>
      <c r="W34" s="88"/>
    </row>
    <row r="35" spans="2:25" ht="21" customHeight="1" thickBot="1" x14ac:dyDescent="0.35">
      <c r="B35" s="104">
        <f t="shared" si="1"/>
        <v>7.125</v>
      </c>
      <c r="C35" s="94">
        <f>100-VLOOKUP(B35,'[1]Pricing '!$A$1943:$K$1972,11,FALSE)</f>
        <v>1.3149999999999977</v>
      </c>
      <c r="E35" s="104">
        <f t="shared" si="0"/>
        <v>7.125</v>
      </c>
      <c r="F35" s="94">
        <f>100-VLOOKUP(E35,'[1]Pricing '!$A$1943:$K$1972,11,FALSE)</f>
        <v>1.3149999999999977</v>
      </c>
      <c r="G35" s="93"/>
      <c r="H35" s="987"/>
      <c r="I35" s="988"/>
      <c r="J35" s="950"/>
      <c r="K35" s="1323" t="s">
        <v>185</v>
      </c>
      <c r="L35" s="1324"/>
      <c r="M35" s="1324"/>
      <c r="N35" s="1324"/>
      <c r="O35" s="1324"/>
      <c r="P35" s="1325"/>
      <c r="S35" s="17"/>
      <c r="T35" s="24"/>
      <c r="U35" s="1908"/>
      <c r="W35" s="88"/>
    </row>
    <row r="36" spans="2:25" ht="21" customHeight="1" thickBot="1" x14ac:dyDescent="0.3">
      <c r="B36" s="104">
        <f t="shared" si="1"/>
        <v>7.25</v>
      </c>
      <c r="C36" s="94">
        <f>100-VLOOKUP(B36,'[1]Pricing '!$A$1943:$K$1972,11,FALSE)</f>
        <v>0.93999999999999773</v>
      </c>
      <c r="E36" s="104">
        <f t="shared" si="0"/>
        <v>7.25</v>
      </c>
      <c r="F36" s="94">
        <f>100-VLOOKUP(E36,'[1]Pricing '!$A$1943:$K$1972,11,FALSE)</f>
        <v>0.93999999999999773</v>
      </c>
      <c r="P36" s="38"/>
      <c r="S36" s="17"/>
      <c r="U36" s="1908"/>
      <c r="W36" s="88"/>
    </row>
    <row r="37" spans="2:25" ht="21" customHeight="1" thickBot="1" x14ac:dyDescent="0.35">
      <c r="B37" s="104">
        <f t="shared" si="1"/>
        <v>7.375</v>
      </c>
      <c r="C37" s="94">
        <f>100-VLOOKUP(B37,'[1]Pricing '!$A$1943:$K$1972,11,FALSE)</f>
        <v>0.56499999999999773</v>
      </c>
      <c r="E37" s="104">
        <f t="shared" si="0"/>
        <v>7.375</v>
      </c>
      <c r="F37" s="94">
        <f>100-VLOOKUP(E37,'[1]Pricing '!$A$1943:$K$1972,11,FALSE)</f>
        <v>0.56499999999999773</v>
      </c>
      <c r="G37" s="1165"/>
      <c r="H37" s="1166"/>
      <c r="I37" s="1166"/>
      <c r="J37" s="1167"/>
      <c r="K37" s="1930" t="s">
        <v>337</v>
      </c>
      <c r="L37" s="1930"/>
      <c r="M37" s="1930"/>
      <c r="N37" s="1930"/>
      <c r="O37" s="1930"/>
      <c r="P37" s="1931"/>
      <c r="S37" s="17"/>
      <c r="T37" s="24"/>
      <c r="U37" s="144"/>
      <c r="W37" s="88"/>
    </row>
    <row r="38" spans="2:25" ht="21" customHeight="1" x14ac:dyDescent="0.55000000000000004">
      <c r="B38" s="104">
        <f t="shared" si="1"/>
        <v>7.5</v>
      </c>
      <c r="C38" s="94">
        <f>100-VLOOKUP(B38,'[1]Pricing '!$A$1943:$K$1972,11,FALSE)</f>
        <v>0.21299999999999386</v>
      </c>
      <c r="E38" s="104">
        <f t="shared" si="0"/>
        <v>7.5</v>
      </c>
      <c r="F38" s="94">
        <f>100-VLOOKUP(E38,'[1]Pricing '!$A$1943:$K$1972,11,FALSE)</f>
        <v>0.21299999999999386</v>
      </c>
      <c r="G38" s="95"/>
      <c r="H38" s="1168"/>
      <c r="I38" s="1168"/>
      <c r="J38" s="1169"/>
      <c r="K38" s="989" t="s">
        <v>208</v>
      </c>
      <c r="L38" s="989"/>
      <c r="M38" s="989"/>
      <c r="N38" s="989"/>
      <c r="O38" s="989"/>
      <c r="P38" s="952"/>
      <c r="S38" s="17"/>
      <c r="T38" s="24"/>
      <c r="U38" s="332"/>
      <c r="W38" s="88"/>
    </row>
    <row r="39" spans="2:25" ht="21" customHeight="1" x14ac:dyDescent="0.25">
      <c r="B39" s="104">
        <f t="shared" si="1"/>
        <v>7.625</v>
      </c>
      <c r="C39" s="94">
        <f>100-VLOOKUP(B39,'[1]Pricing '!$A$1943:$K$1972,11,FALSE)</f>
        <v>-0.11500000000000909</v>
      </c>
      <c r="E39" s="104">
        <f t="shared" si="0"/>
        <v>7.625</v>
      </c>
      <c r="F39" s="94">
        <f>100-VLOOKUP(E39,'[1]Pricing '!$A$1943:$K$1972,11,FALSE)</f>
        <v>-0.11500000000000909</v>
      </c>
      <c r="G39" s="2014"/>
      <c r="H39" s="2015"/>
      <c r="I39" s="2015"/>
      <c r="J39" s="2016"/>
      <c r="K39" s="989" t="s">
        <v>210</v>
      </c>
      <c r="L39" s="989"/>
      <c r="M39" s="989"/>
      <c r="N39" s="989"/>
      <c r="O39" s="989"/>
      <c r="P39" s="952"/>
      <c r="S39" s="17"/>
      <c r="U39" s="144"/>
      <c r="W39" s="88"/>
    </row>
    <row r="40" spans="2:25" ht="21" customHeight="1" x14ac:dyDescent="0.25">
      <c r="B40" s="104">
        <f t="shared" si="1"/>
        <v>7.75</v>
      </c>
      <c r="C40" s="94">
        <f>100-VLOOKUP(B40,'[1]Pricing '!$A$1943:$K$1972,11,FALSE)</f>
        <v>-0.41899999999999693</v>
      </c>
      <c r="E40" s="104">
        <f t="shared" si="0"/>
        <v>7.75</v>
      </c>
      <c r="F40" s="94">
        <f>100-VLOOKUP(E40,'[1]Pricing '!$A$1943:$K$1972,11,FALSE)</f>
        <v>-0.41899999999999693</v>
      </c>
      <c r="G40" s="2011"/>
      <c r="H40" s="2012"/>
      <c r="I40" s="2012"/>
      <c r="J40" s="2013"/>
      <c r="K40" s="989" t="s">
        <v>212</v>
      </c>
      <c r="L40" s="989"/>
      <c r="M40" s="989"/>
      <c r="N40" s="989"/>
      <c r="O40" s="989"/>
      <c r="P40" s="952"/>
      <c r="S40" s="17"/>
      <c r="U40" s="333"/>
      <c r="W40" s="88"/>
      <c r="X40" s="18"/>
      <c r="Y40" s="18"/>
    </row>
    <row r="41" spans="2:25" ht="21" customHeight="1" x14ac:dyDescent="0.25">
      <c r="B41" s="104">
        <f t="shared" si="1"/>
        <v>7.875</v>
      </c>
      <c r="C41" s="94">
        <f>100-VLOOKUP(B41,'[1]Pricing '!$A$1943:$K$1972,11,FALSE)</f>
        <v>-0.70100000000000762</v>
      </c>
      <c r="E41" s="104">
        <f t="shared" ref="E41:E44" si="2">B41</f>
        <v>7.875</v>
      </c>
      <c r="F41" s="94">
        <f>100-VLOOKUP(E41,'[1]Pricing '!$A$1943:$K$1972,11,FALSE)</f>
        <v>-0.70100000000000762</v>
      </c>
      <c r="G41" s="1911"/>
      <c r="H41" s="1912"/>
      <c r="I41" s="1912"/>
      <c r="J41" s="1913"/>
      <c r="K41" s="989" t="s">
        <v>214</v>
      </c>
      <c r="L41" s="989"/>
      <c r="M41" s="989"/>
      <c r="N41" s="989"/>
      <c r="O41" s="989"/>
      <c r="P41" s="952"/>
      <c r="S41" s="17"/>
      <c r="U41" s="144"/>
      <c r="W41" s="88"/>
      <c r="X41" s="18"/>
      <c r="Y41" s="18"/>
    </row>
    <row r="42" spans="2:25" ht="21" customHeight="1" x14ac:dyDescent="0.25">
      <c r="B42" s="104">
        <f t="shared" si="1"/>
        <v>8</v>
      </c>
      <c r="C42" s="94">
        <f>100-VLOOKUP(B42,'[1]Pricing '!$A$1943:$K$1972,11,FALSE)</f>
        <v>-0.95799999999999841</v>
      </c>
      <c r="E42" s="104">
        <f t="shared" si="2"/>
        <v>8</v>
      </c>
      <c r="F42" s="94">
        <f>100-VLOOKUP(E42,'[1]Pricing '!$A$1943:$K$1972,11,FALSE)</f>
        <v>-0.95799999999999841</v>
      </c>
      <c r="G42" s="1914"/>
      <c r="H42" s="1915"/>
      <c r="I42" s="1915"/>
      <c r="J42" s="1916"/>
      <c r="K42" s="989" t="s">
        <v>215</v>
      </c>
      <c r="L42" s="989"/>
      <c r="M42" s="989"/>
      <c r="N42" s="989"/>
      <c r="O42" s="989"/>
      <c r="P42" s="952"/>
      <c r="S42" s="17"/>
      <c r="U42" s="144"/>
      <c r="X42" s="90"/>
      <c r="Y42" s="90"/>
    </row>
    <row r="43" spans="2:25" ht="21" customHeight="1" x14ac:dyDescent="0.25">
      <c r="B43" s="104">
        <f t="shared" si="1"/>
        <v>8.125</v>
      </c>
      <c r="C43" s="94">
        <f>100-VLOOKUP(B43,'[1]Pricing '!$A$1943:$K$1972,11,FALSE)</f>
        <v>-1.1929999999999978</v>
      </c>
      <c r="E43" s="104">
        <f t="shared" si="2"/>
        <v>8.125</v>
      </c>
      <c r="F43" s="94">
        <f>100-VLOOKUP(E43,'[1]Pricing '!$A$1943:$K$1972,11,FALSE)</f>
        <v>-1.1929999999999978</v>
      </c>
      <c r="G43" s="97"/>
      <c r="H43" s="339"/>
      <c r="I43" s="339"/>
      <c r="J43" s="1164"/>
      <c r="K43" s="989" t="s">
        <v>209</v>
      </c>
      <c r="L43" s="989"/>
      <c r="M43" s="989"/>
      <c r="N43" s="989"/>
      <c r="O43" s="989"/>
      <c r="P43" s="952"/>
      <c r="S43" s="17"/>
      <c r="X43" s="90"/>
      <c r="Y43" s="90"/>
    </row>
    <row r="44" spans="2:25" ht="21" customHeight="1" thickBot="1" x14ac:dyDescent="0.3">
      <c r="B44" s="388">
        <f t="shared" si="1"/>
        <v>8.25</v>
      </c>
      <c r="C44" s="256">
        <f>100-VLOOKUP(B44,'[1]Pricing '!$A$1943:$K$1972,11,FALSE)</f>
        <v>-1.4039999999999964</v>
      </c>
      <c r="E44" s="388">
        <f t="shared" si="2"/>
        <v>8.25</v>
      </c>
      <c r="F44" s="256">
        <f>100-VLOOKUP(E44,'[1]Pricing '!$A$1943:$K$1972,11,FALSE)</f>
        <v>-1.4039999999999964</v>
      </c>
      <c r="G44" s="1275"/>
      <c r="H44" s="1276"/>
      <c r="I44" s="1276"/>
      <c r="J44" s="1277"/>
      <c r="K44" s="989" t="s">
        <v>213</v>
      </c>
      <c r="L44" s="989"/>
      <c r="M44" s="989"/>
      <c r="N44" s="989"/>
      <c r="O44" s="989"/>
      <c r="P44" s="952"/>
      <c r="T44" s="18"/>
      <c r="U44" s="332"/>
    </row>
    <row r="45" spans="2:25" ht="21" customHeight="1" thickBot="1" x14ac:dyDescent="0.3">
      <c r="B45" s="139"/>
      <c r="C45" s="14"/>
      <c r="D45" s="14"/>
      <c r="E45" s="14"/>
      <c r="F45" s="14"/>
      <c r="G45" s="14"/>
      <c r="H45" s="14"/>
      <c r="I45" s="14"/>
      <c r="J45" s="14"/>
      <c r="K45" s="800" t="s">
        <v>211</v>
      </c>
      <c r="L45" s="953"/>
      <c r="M45" s="953"/>
      <c r="N45" s="953"/>
      <c r="O45" s="953"/>
      <c r="P45" s="954"/>
      <c r="T45" s="18"/>
      <c r="U45" s="332"/>
    </row>
    <row r="46" spans="2:25" ht="21" customHeight="1" x14ac:dyDescent="0.25">
      <c r="B46" s="1996" t="s">
        <v>675</v>
      </c>
      <c r="C46" s="1997"/>
      <c r="D46" s="1997"/>
      <c r="E46" s="1997"/>
      <c r="F46" s="1997"/>
      <c r="G46" s="1997"/>
      <c r="H46" s="1997"/>
      <c r="I46" s="1997"/>
      <c r="J46" s="1997"/>
      <c r="K46" s="1997"/>
      <c r="L46" s="1997"/>
      <c r="M46" s="1997"/>
      <c r="N46" s="1997"/>
      <c r="O46" s="1997"/>
      <c r="P46" s="1998"/>
      <c r="T46" s="18"/>
    </row>
    <row r="47" spans="2:25" ht="15" customHeight="1" x14ac:dyDescent="0.25">
      <c r="B47" s="1999"/>
      <c r="C47" s="2000"/>
      <c r="D47" s="2000"/>
      <c r="E47" s="2000"/>
      <c r="F47" s="2000"/>
      <c r="G47" s="2000"/>
      <c r="H47" s="2000"/>
      <c r="I47" s="2000"/>
      <c r="J47" s="2000"/>
      <c r="K47" s="2000"/>
      <c r="L47" s="2000"/>
      <c r="M47" s="2000"/>
      <c r="N47" s="2000"/>
      <c r="O47" s="2000"/>
      <c r="P47" s="2001"/>
      <c r="T47" s="18"/>
    </row>
    <row r="48" spans="2:25" ht="10.5" customHeight="1" thickBot="1" x14ac:dyDescent="0.3">
      <c r="B48" s="95"/>
      <c r="P48" s="38"/>
      <c r="T48" s="18"/>
    </row>
    <row r="49" spans="2:32" ht="24.75" customHeight="1" thickBot="1" x14ac:dyDescent="0.3">
      <c r="B49" s="1579" t="s">
        <v>672</v>
      </c>
      <c r="C49" s="1580"/>
      <c r="D49" s="1580"/>
      <c r="E49" s="1581"/>
      <c r="F49" s="1579" t="s">
        <v>673</v>
      </c>
      <c r="G49" s="1580"/>
      <c r="H49" s="1580"/>
      <c r="I49" s="1581"/>
      <c r="J49" s="1580" t="s">
        <v>671</v>
      </c>
      <c r="K49" s="1580"/>
      <c r="L49" s="1580"/>
      <c r="M49" s="1580"/>
      <c r="N49" s="1580"/>
      <c r="O49" s="1580"/>
      <c r="P49" s="1581"/>
      <c r="T49" s="18"/>
    </row>
    <row r="50" spans="2:32" ht="21.75" customHeight="1" thickBot="1" x14ac:dyDescent="0.3">
      <c r="B50" s="766"/>
      <c r="C50" s="37"/>
      <c r="D50" s="37"/>
      <c r="E50" s="37"/>
      <c r="F50" s="766"/>
      <c r="G50" s="37"/>
      <c r="H50" s="37"/>
      <c r="I50" s="140"/>
      <c r="J50" s="982" t="s">
        <v>199</v>
      </c>
      <c r="K50" s="977" t="s">
        <v>157</v>
      </c>
      <c r="L50" s="977" t="s">
        <v>158</v>
      </c>
      <c r="M50" s="977" t="s">
        <v>159</v>
      </c>
      <c r="N50" s="977" t="s">
        <v>160</v>
      </c>
      <c r="O50" s="977" t="s">
        <v>101</v>
      </c>
      <c r="P50" s="978" t="s">
        <v>102</v>
      </c>
    </row>
    <row r="51" spans="2:32" ht="21.75" customHeight="1" x14ac:dyDescent="0.25">
      <c r="B51" s="97" t="s">
        <v>91</v>
      </c>
      <c r="C51" s="27"/>
      <c r="D51" s="27"/>
      <c r="E51" s="107">
        <v>0.25</v>
      </c>
      <c r="F51" s="979" t="s">
        <v>469</v>
      </c>
      <c r="G51" s="980"/>
      <c r="I51" s="94">
        <v>-1.25</v>
      </c>
      <c r="J51" s="983" t="s">
        <v>72</v>
      </c>
      <c r="K51" s="358">
        <v>-1.375</v>
      </c>
      <c r="L51" s="358">
        <v>-1.25</v>
      </c>
      <c r="M51" s="358">
        <v>-1.25</v>
      </c>
      <c r="N51" s="358">
        <v>-1.25</v>
      </c>
      <c r="O51" s="358">
        <v>-1</v>
      </c>
      <c r="P51" s="336">
        <v>-0.5</v>
      </c>
    </row>
    <row r="52" spans="2:32" ht="21.75" customHeight="1" x14ac:dyDescent="0.25">
      <c r="B52" s="97" t="s">
        <v>170</v>
      </c>
      <c r="C52" s="27"/>
      <c r="D52" s="27"/>
      <c r="E52" s="107">
        <v>0.75</v>
      </c>
      <c r="F52" s="979" t="s">
        <v>470</v>
      </c>
      <c r="G52" s="980"/>
      <c r="I52" s="94">
        <v>-0.875</v>
      </c>
      <c r="J52" s="983" t="s">
        <v>53</v>
      </c>
      <c r="K52" s="358">
        <v>-1.25</v>
      </c>
      <c r="L52" s="358">
        <v>-1.125</v>
      </c>
      <c r="M52" s="358">
        <v>-1.125</v>
      </c>
      <c r="N52" s="358">
        <v>-1.125</v>
      </c>
      <c r="O52" s="358">
        <v>-0.875</v>
      </c>
      <c r="P52" s="336">
        <v>-0.375</v>
      </c>
    </row>
    <row r="53" spans="2:32" ht="21.75" customHeight="1" x14ac:dyDescent="0.25">
      <c r="B53" s="97" t="s">
        <v>203</v>
      </c>
      <c r="C53" s="27"/>
      <c r="D53" s="27"/>
      <c r="E53" s="107">
        <v>0.375</v>
      </c>
      <c r="F53" s="979" t="s">
        <v>471</v>
      </c>
      <c r="G53" s="980"/>
      <c r="I53" s="94">
        <v>-0.6</v>
      </c>
      <c r="J53" s="981" t="s">
        <v>54</v>
      </c>
      <c r="K53" s="479">
        <v>-1.125</v>
      </c>
      <c r="L53" s="479">
        <v>-1</v>
      </c>
      <c r="M53" s="479">
        <v>-1</v>
      </c>
      <c r="N53" s="479">
        <v>-1</v>
      </c>
      <c r="O53" s="479">
        <v>-0.75</v>
      </c>
      <c r="P53" s="480">
        <v>-0.25</v>
      </c>
    </row>
    <row r="54" spans="2:32" ht="21.75" customHeight="1" x14ac:dyDescent="0.25">
      <c r="B54" s="97" t="s">
        <v>204</v>
      </c>
      <c r="C54" s="27"/>
      <c r="D54" s="27"/>
      <c r="E54" s="107">
        <v>0.5</v>
      </c>
      <c r="F54" s="979" t="s">
        <v>668</v>
      </c>
      <c r="G54" s="980"/>
      <c r="I54" s="94">
        <v>0</v>
      </c>
      <c r="J54" s="981" t="s">
        <v>55</v>
      </c>
      <c r="K54" s="479">
        <v>-1</v>
      </c>
      <c r="L54" s="479">
        <v>-0.875</v>
      </c>
      <c r="M54" s="479">
        <v>-0.75</v>
      </c>
      <c r="N54" s="479">
        <v>-0.625</v>
      </c>
      <c r="O54" s="479">
        <v>-0.25</v>
      </c>
      <c r="P54" s="480">
        <v>0.375</v>
      </c>
    </row>
    <row r="55" spans="2:32" ht="21.75" customHeight="1" x14ac:dyDescent="0.25">
      <c r="B55" s="97" t="s">
        <v>754</v>
      </c>
      <c r="C55" s="27"/>
      <c r="D55" s="27"/>
      <c r="E55" s="107">
        <v>1</v>
      </c>
      <c r="F55" s="979" t="s">
        <v>202</v>
      </c>
      <c r="G55" s="980"/>
      <c r="I55" s="94">
        <v>0.5</v>
      </c>
      <c r="J55" s="981" t="s">
        <v>57</v>
      </c>
      <c r="K55" s="479">
        <v>-0.75</v>
      </c>
      <c r="L55" s="479">
        <v>-0.625</v>
      </c>
      <c r="M55" s="479">
        <v>-0.25</v>
      </c>
      <c r="N55" s="479">
        <v>0.25</v>
      </c>
      <c r="O55" s="479">
        <v>0.75</v>
      </c>
      <c r="P55" s="480">
        <v>2</v>
      </c>
      <c r="S55" s="90"/>
    </row>
    <row r="56" spans="2:32" ht="21.75" customHeight="1" x14ac:dyDescent="0.25">
      <c r="B56" s="177" t="s">
        <v>369</v>
      </c>
      <c r="C56" s="27"/>
      <c r="E56" s="107">
        <v>0.25</v>
      </c>
      <c r="F56" s="979" t="s">
        <v>669</v>
      </c>
      <c r="G56" s="980"/>
      <c r="I56" s="94">
        <v>1.5</v>
      </c>
      <c r="J56" s="981" t="s">
        <v>58</v>
      </c>
      <c r="K56" s="479">
        <v>-0.375</v>
      </c>
      <c r="L56" s="479">
        <v>-0.125</v>
      </c>
      <c r="M56" s="479">
        <v>0.5</v>
      </c>
      <c r="N56" s="479">
        <v>1</v>
      </c>
      <c r="O56" s="479">
        <v>1.875</v>
      </c>
      <c r="P56" s="480" t="s">
        <v>56</v>
      </c>
      <c r="Q56" s="98"/>
      <c r="R56" s="98"/>
      <c r="S56" s="18"/>
    </row>
    <row r="57" spans="2:32" ht="21.75" customHeight="1" x14ac:dyDescent="0.25">
      <c r="B57" s="97" t="s">
        <v>174</v>
      </c>
      <c r="C57" s="117"/>
      <c r="E57" s="223">
        <v>0.125</v>
      </c>
      <c r="F57" s="95"/>
      <c r="I57" s="38"/>
      <c r="J57" s="981" t="s">
        <v>73</v>
      </c>
      <c r="K57" s="479">
        <v>0.125</v>
      </c>
      <c r="L57" s="479">
        <v>0.375</v>
      </c>
      <c r="M57" s="479">
        <v>1.375</v>
      </c>
      <c r="N57" s="479">
        <v>2.125</v>
      </c>
      <c r="O57" s="479">
        <v>3.375</v>
      </c>
      <c r="P57" s="480" t="s">
        <v>56</v>
      </c>
    </row>
    <row r="58" spans="2:32" ht="21.75" customHeight="1" x14ac:dyDescent="0.25">
      <c r="B58" s="177"/>
      <c r="E58" s="94"/>
      <c r="F58" s="95"/>
      <c r="I58" s="38"/>
      <c r="J58" s="981" t="s">
        <v>113</v>
      </c>
      <c r="K58" s="479">
        <v>0.5</v>
      </c>
      <c r="L58" s="479">
        <v>1</v>
      </c>
      <c r="M58" s="479">
        <v>2.375</v>
      </c>
      <c r="N58" s="479">
        <v>2.875</v>
      </c>
      <c r="O58" s="479" t="s">
        <v>56</v>
      </c>
      <c r="P58" s="480" t="s">
        <v>56</v>
      </c>
      <c r="Q58" s="223"/>
    </row>
    <row r="59" spans="2:32" ht="23.25" customHeight="1" thickBot="1" x14ac:dyDescent="0.3">
      <c r="B59" s="139"/>
      <c r="C59" s="14"/>
      <c r="D59" s="14"/>
      <c r="E59" s="14"/>
      <c r="F59" s="139"/>
      <c r="G59" s="14"/>
      <c r="H59" s="14"/>
      <c r="I59" s="48"/>
      <c r="J59" s="984" t="s">
        <v>115</v>
      </c>
      <c r="K59" s="115">
        <v>1.125</v>
      </c>
      <c r="L59" s="115">
        <v>1.875</v>
      </c>
      <c r="M59" s="115" t="s">
        <v>56</v>
      </c>
      <c r="N59" s="115" t="s">
        <v>56</v>
      </c>
      <c r="O59" s="115" t="s">
        <v>56</v>
      </c>
      <c r="P59" s="225" t="s">
        <v>56</v>
      </c>
    </row>
    <row r="60" spans="2:32" ht="23.25" customHeight="1" x14ac:dyDescent="0.2">
      <c r="B60" s="1579" t="s">
        <v>573</v>
      </c>
      <c r="C60" s="1580"/>
      <c r="D60" s="1580"/>
      <c r="E60" s="1581"/>
      <c r="F60" s="1906" t="s">
        <v>570</v>
      </c>
      <c r="G60" s="1907"/>
      <c r="H60" s="1907"/>
      <c r="I60" s="1970"/>
      <c r="J60" s="1504" t="s">
        <v>674</v>
      </c>
      <c r="K60" s="1504"/>
      <c r="L60" s="1504"/>
      <c r="M60" s="1504"/>
      <c r="N60" s="1504"/>
      <c r="O60" s="1504"/>
      <c r="P60" s="1505"/>
    </row>
    <row r="61" spans="2:32" ht="20.25" customHeight="1" x14ac:dyDescent="0.4">
      <c r="B61" s="636" t="s">
        <v>207</v>
      </c>
      <c r="C61" s="114"/>
      <c r="E61" s="130">
        <v>0.25</v>
      </c>
      <c r="F61" s="97" t="s">
        <v>88</v>
      </c>
      <c r="I61" s="974">
        <v>0.75</v>
      </c>
      <c r="J61" s="985" t="s">
        <v>666</v>
      </c>
      <c r="K61" s="999">
        <v>0.25</v>
      </c>
      <c r="L61" s="999">
        <v>0.25</v>
      </c>
      <c r="M61" s="999">
        <v>0.25</v>
      </c>
      <c r="N61" s="999">
        <v>0.25</v>
      </c>
      <c r="O61" s="999">
        <v>0.375</v>
      </c>
      <c r="P61" s="1000">
        <v>0.375</v>
      </c>
      <c r="X61" s="951"/>
      <c r="Y61" s="951"/>
    </row>
    <row r="62" spans="2:32" ht="23.25" customHeight="1" x14ac:dyDescent="0.25">
      <c r="B62" s="95"/>
      <c r="E62" s="38"/>
      <c r="F62" s="97" t="s">
        <v>89</v>
      </c>
      <c r="I62" s="974">
        <v>1</v>
      </c>
      <c r="J62" s="981" t="s">
        <v>248</v>
      </c>
      <c r="K62" s="479">
        <v>-2.875</v>
      </c>
      <c r="L62" s="479">
        <v>-2.875</v>
      </c>
      <c r="M62" s="479">
        <v>-2.75</v>
      </c>
      <c r="N62" s="479">
        <v>-2.75</v>
      </c>
      <c r="O62" s="1095">
        <v>-2.25</v>
      </c>
      <c r="P62" s="480">
        <v>-1.375</v>
      </c>
      <c r="T62" s="18"/>
      <c r="X62" s="339"/>
      <c r="AE62" s="22"/>
      <c r="AF62" s="22"/>
    </row>
    <row r="63" spans="2:32" ht="21" customHeight="1" x14ac:dyDescent="0.4">
      <c r="B63" s="95"/>
      <c r="E63" s="38"/>
      <c r="F63" s="97" t="s">
        <v>188</v>
      </c>
      <c r="I63" s="974">
        <v>1.5</v>
      </c>
      <c r="J63" s="981" t="s">
        <v>252</v>
      </c>
      <c r="K63" s="479">
        <v>-2.875</v>
      </c>
      <c r="L63" s="479">
        <v>-2.75</v>
      </c>
      <c r="M63" s="479">
        <v>-2.375</v>
      </c>
      <c r="N63" s="479">
        <v>-2.375</v>
      </c>
      <c r="O63" s="1095">
        <v>-2.25</v>
      </c>
      <c r="P63" s="480">
        <v>-1</v>
      </c>
      <c r="R63" s="613"/>
      <c r="S63" s="951"/>
      <c r="T63" s="951"/>
      <c r="U63" s="951"/>
      <c r="V63" s="951"/>
      <c r="W63" s="951"/>
      <c r="X63" s="951"/>
      <c r="Y63" s="951"/>
      <c r="AE63" s="22"/>
      <c r="AF63" s="22"/>
    </row>
    <row r="64" spans="2:32" ht="21" customHeight="1" thickBot="1" x14ac:dyDescent="0.3">
      <c r="B64" s="139"/>
      <c r="C64" s="14"/>
      <c r="D64" s="14"/>
      <c r="E64" s="48"/>
      <c r="F64" s="139"/>
      <c r="G64" s="14"/>
      <c r="H64" s="14"/>
      <c r="I64" s="48"/>
      <c r="J64" s="981" t="s">
        <v>200</v>
      </c>
      <c r="K64" s="479">
        <v>-2</v>
      </c>
      <c r="L64" s="479">
        <v>-1.875</v>
      </c>
      <c r="M64" s="479">
        <v>-1.375</v>
      </c>
      <c r="N64" s="479">
        <v>0.25</v>
      </c>
      <c r="O64" s="1095">
        <v>0.75</v>
      </c>
      <c r="P64" s="480" t="s">
        <v>56</v>
      </c>
      <c r="R64" s="339"/>
      <c r="S64" s="87"/>
      <c r="T64" s="87"/>
      <c r="U64" s="27"/>
      <c r="V64" s="27"/>
      <c r="W64" s="27"/>
      <c r="X64" s="87"/>
      <c r="AE64" s="22"/>
      <c r="AF64" s="22"/>
    </row>
    <row r="65" spans="2:32" ht="21" customHeight="1" thickBot="1" x14ac:dyDescent="0.45">
      <c r="B65" s="986" t="s">
        <v>129</v>
      </c>
      <c r="C65" s="1923" t="s">
        <v>355</v>
      </c>
      <c r="D65" s="1923"/>
      <c r="E65" s="1923"/>
      <c r="F65" s="1923"/>
      <c r="G65" s="1923"/>
      <c r="H65" s="1923"/>
      <c r="I65" s="1924"/>
      <c r="J65" s="562" t="s">
        <v>165</v>
      </c>
      <c r="K65" s="479">
        <v>0.25</v>
      </c>
      <c r="L65" s="479">
        <v>0.25</v>
      </c>
      <c r="M65" s="479">
        <v>0.5</v>
      </c>
      <c r="N65" s="479">
        <v>0.875</v>
      </c>
      <c r="O65" s="479" t="s">
        <v>56</v>
      </c>
      <c r="P65" s="480" t="s">
        <v>56</v>
      </c>
      <c r="R65" s="613"/>
      <c r="S65" s="951"/>
      <c r="T65" s="951"/>
      <c r="U65" s="951"/>
      <c r="V65" s="951"/>
      <c r="W65" s="951"/>
      <c r="X65" s="951"/>
      <c r="Y65" s="614"/>
      <c r="AE65" s="21"/>
      <c r="AF65" s="21"/>
    </row>
    <row r="66" spans="2:32" ht="21" customHeight="1" x14ac:dyDescent="0.3">
      <c r="B66" s="975" t="s">
        <v>176</v>
      </c>
      <c r="C66" s="635" t="s">
        <v>665</v>
      </c>
      <c r="E66" s="27"/>
      <c r="F66" s="27"/>
      <c r="G66" s="27"/>
      <c r="H66" s="339"/>
      <c r="J66" s="562" t="s">
        <v>201</v>
      </c>
      <c r="K66" s="479">
        <v>0.125</v>
      </c>
      <c r="L66" s="479">
        <v>0.125</v>
      </c>
      <c r="M66" s="479">
        <v>0.25</v>
      </c>
      <c r="N66" s="479">
        <v>0.25</v>
      </c>
      <c r="O66" s="479">
        <v>0.375</v>
      </c>
      <c r="P66" s="480">
        <v>0.375</v>
      </c>
      <c r="R66" s="339"/>
      <c r="S66" s="87"/>
      <c r="T66" s="87"/>
      <c r="U66" s="87"/>
      <c r="V66" s="87"/>
      <c r="W66" s="87"/>
      <c r="X66" s="87"/>
      <c r="Z66" s="962"/>
      <c r="AA66" s="963"/>
      <c r="AB66" s="963"/>
      <c r="AC66" s="963"/>
      <c r="AE66" s="21"/>
      <c r="AF66" s="21"/>
    </row>
    <row r="67" spans="2:32" ht="21" customHeight="1" thickBot="1" x14ac:dyDescent="0.45">
      <c r="B67" s="616"/>
      <c r="C67" s="465" t="s">
        <v>664</v>
      </c>
      <c r="D67" s="14"/>
      <c r="E67" s="78"/>
      <c r="F67" s="78"/>
      <c r="G67" s="14"/>
      <c r="H67" s="14"/>
      <c r="I67" s="14"/>
      <c r="J67" s="564" t="s">
        <v>169</v>
      </c>
      <c r="K67" s="479">
        <v>0.25</v>
      </c>
      <c r="L67" s="479">
        <v>0.25</v>
      </c>
      <c r="M67" s="479">
        <v>0.25</v>
      </c>
      <c r="N67" s="479">
        <v>0.375</v>
      </c>
      <c r="O67" s="479" t="s">
        <v>56</v>
      </c>
      <c r="P67" s="480" t="s">
        <v>56</v>
      </c>
      <c r="R67" s="613"/>
      <c r="S67" s="951"/>
      <c r="T67" s="951"/>
      <c r="U67" s="951"/>
      <c r="V67" s="951"/>
      <c r="W67" s="951"/>
      <c r="X67" s="964"/>
      <c r="Y67" s="964"/>
      <c r="Z67" s="964"/>
      <c r="AA67" s="964"/>
      <c r="AB67" s="964"/>
      <c r="AC67" s="964"/>
      <c r="AE67" s="20"/>
      <c r="AF67" s="20"/>
    </row>
    <row r="68" spans="2:32" ht="21" customHeight="1" thickBot="1" x14ac:dyDescent="0.35">
      <c r="B68" s="617" t="s">
        <v>177</v>
      </c>
      <c r="C68" s="1923" t="s">
        <v>372</v>
      </c>
      <c r="D68" s="1923"/>
      <c r="E68" s="1923"/>
      <c r="F68" s="1923"/>
      <c r="G68" s="1923"/>
      <c r="H68" s="1923"/>
      <c r="I68" s="1924"/>
      <c r="J68" s="564" t="s">
        <v>79</v>
      </c>
      <c r="K68" s="479">
        <v>0.5</v>
      </c>
      <c r="L68" s="479">
        <v>0.5</v>
      </c>
      <c r="M68" s="479">
        <v>0.5</v>
      </c>
      <c r="N68" s="479">
        <v>0.5</v>
      </c>
      <c r="O68" s="479">
        <v>0.625</v>
      </c>
      <c r="P68" s="480">
        <v>0.75</v>
      </c>
      <c r="R68" s="339"/>
      <c r="S68" s="87"/>
      <c r="T68" s="87"/>
      <c r="U68" s="87"/>
      <c r="V68" s="87"/>
      <c r="W68" s="87"/>
      <c r="X68" s="965"/>
      <c r="Z68" s="966"/>
      <c r="AA68" s="966"/>
      <c r="AB68" s="966"/>
      <c r="AC68" s="966"/>
      <c r="AD68" s="963"/>
      <c r="AE68" s="963"/>
      <c r="AF68" s="963"/>
    </row>
    <row r="69" spans="2:32" ht="24.75" customHeight="1" thickBot="1" x14ac:dyDescent="0.3">
      <c r="B69" s="615" t="s">
        <v>176</v>
      </c>
      <c r="C69" s="603" t="s">
        <v>663</v>
      </c>
      <c r="D69" s="407"/>
      <c r="E69" s="29"/>
      <c r="F69" s="29"/>
      <c r="G69" s="29"/>
      <c r="H69" s="29"/>
      <c r="I69" s="407"/>
      <c r="J69" s="564" t="s">
        <v>92</v>
      </c>
      <c r="K69" s="479">
        <v>0.25</v>
      </c>
      <c r="L69" s="479">
        <v>0.25</v>
      </c>
      <c r="M69" s="479">
        <v>0.375</v>
      </c>
      <c r="N69" s="479">
        <v>0.5</v>
      </c>
      <c r="O69" s="479">
        <v>0.75</v>
      </c>
      <c r="P69" s="480" t="s">
        <v>56</v>
      </c>
      <c r="R69" s="964"/>
      <c r="S69" s="964"/>
      <c r="T69" s="964"/>
      <c r="U69" s="964"/>
      <c r="V69" s="964"/>
      <c r="W69" s="964"/>
      <c r="X69" s="965"/>
      <c r="Z69" s="967"/>
      <c r="AA69" s="967"/>
      <c r="AB69" s="967"/>
      <c r="AC69" s="967"/>
      <c r="AD69" s="964"/>
      <c r="AE69" s="964"/>
      <c r="AF69" s="964"/>
    </row>
    <row r="70" spans="2:32" ht="21.75" customHeight="1" thickBot="1" x14ac:dyDescent="0.3">
      <c r="B70" s="617" t="s">
        <v>206</v>
      </c>
      <c r="C70" s="1923" t="s">
        <v>462</v>
      </c>
      <c r="D70" s="1923"/>
      <c r="E70" s="1923"/>
      <c r="F70" s="1923"/>
      <c r="G70" s="1923"/>
      <c r="H70" s="1923"/>
      <c r="I70" s="1924" t="s">
        <v>450</v>
      </c>
      <c r="J70" s="564" t="s">
        <v>539</v>
      </c>
      <c r="K70" s="479">
        <v>0.125</v>
      </c>
      <c r="L70" s="479">
        <v>0.125</v>
      </c>
      <c r="M70" s="479">
        <v>0.25</v>
      </c>
      <c r="N70" s="479">
        <v>0.25</v>
      </c>
      <c r="O70" s="479">
        <v>0.375</v>
      </c>
      <c r="P70" s="480">
        <v>0.5</v>
      </c>
      <c r="R70" s="27"/>
      <c r="X70" s="965"/>
      <c r="Z70" s="966"/>
      <c r="AA70" s="966"/>
      <c r="AB70" s="966"/>
      <c r="AC70" s="966"/>
      <c r="AD70" s="966"/>
      <c r="AE70" s="966"/>
      <c r="AF70" s="966"/>
    </row>
    <row r="71" spans="2:32" ht="24" thickBot="1" x14ac:dyDescent="0.3">
      <c r="B71" s="616" t="s">
        <v>176</v>
      </c>
      <c r="C71" s="465" t="s">
        <v>661</v>
      </c>
      <c r="D71" s="14"/>
      <c r="E71" s="431"/>
      <c r="F71" s="431"/>
      <c r="G71" s="431"/>
      <c r="H71" s="431"/>
      <c r="I71" s="48"/>
      <c r="J71" s="467" t="s">
        <v>740</v>
      </c>
      <c r="K71" s="115">
        <v>0.5</v>
      </c>
      <c r="L71" s="115">
        <v>0.5</v>
      </c>
      <c r="M71" s="115">
        <v>0.625</v>
      </c>
      <c r="N71" s="115">
        <v>0.75</v>
      </c>
      <c r="O71" s="115">
        <v>0.75</v>
      </c>
      <c r="P71" s="225" t="s">
        <v>56</v>
      </c>
      <c r="R71" s="27"/>
      <c r="Z71" s="961"/>
      <c r="AA71" s="961"/>
      <c r="AB71" s="961"/>
      <c r="AC71" s="961"/>
      <c r="AD71" s="967"/>
      <c r="AE71" s="967"/>
      <c r="AF71" s="967"/>
    </row>
    <row r="72" spans="2:32" ht="8.25" customHeight="1" x14ac:dyDescent="0.25">
      <c r="B72" s="95"/>
      <c r="P72" s="38"/>
      <c r="R72" s="27"/>
      <c r="Z72" s="966"/>
      <c r="AA72" s="966"/>
      <c r="AB72" s="966"/>
      <c r="AC72" s="966"/>
      <c r="AD72" s="966"/>
      <c r="AE72" s="966"/>
      <c r="AF72" s="966"/>
    </row>
    <row r="73" spans="2:32" ht="8.25" hidden="1" customHeight="1" x14ac:dyDescent="0.3">
      <c r="B73" s="95"/>
      <c r="P73" s="38"/>
      <c r="R73" s="27"/>
      <c r="Z73" s="13"/>
      <c r="AA73" s="19"/>
      <c r="AB73" s="19"/>
      <c r="AC73" s="19"/>
      <c r="AD73" s="961"/>
      <c r="AE73" s="961"/>
      <c r="AF73" s="961"/>
    </row>
    <row r="74" spans="2:32" ht="8.25" hidden="1" customHeight="1" thickBot="1" x14ac:dyDescent="0.35">
      <c r="B74" s="139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48"/>
      <c r="R74" s="27"/>
      <c r="X74" s="20"/>
      <c r="Y74" s="20"/>
      <c r="Z74" s="13"/>
      <c r="AA74" s="19"/>
      <c r="AB74" s="19"/>
      <c r="AC74" s="19"/>
      <c r="AD74" s="966"/>
      <c r="AE74" s="966"/>
      <c r="AF74" s="966"/>
    </row>
    <row r="75" spans="2:32" ht="1.5" customHeight="1" thickBot="1" x14ac:dyDescent="0.35">
      <c r="B75" s="474"/>
      <c r="C75" s="486"/>
      <c r="D75" s="486"/>
      <c r="E75" s="486"/>
      <c r="F75" s="486"/>
      <c r="G75" s="486"/>
      <c r="H75" s="486"/>
      <c r="I75" s="486"/>
      <c r="J75" s="486"/>
      <c r="K75" s="486"/>
      <c r="L75" s="486"/>
      <c r="M75" s="486"/>
      <c r="N75" s="486"/>
      <c r="O75" s="486"/>
      <c r="P75" s="469"/>
      <c r="U75" s="163"/>
      <c r="X75" s="968"/>
      <c r="Y75" s="968"/>
      <c r="Z75" s="13"/>
      <c r="AA75" s="19"/>
      <c r="AB75" s="19"/>
      <c r="AC75" s="19"/>
      <c r="AD75" s="19"/>
      <c r="AE75" s="19"/>
      <c r="AF75" s="19"/>
    </row>
    <row r="76" spans="2:32" ht="16.5" customHeight="1" thickTop="1" x14ac:dyDescent="0.3">
      <c r="B76" s="1974" t="s">
        <v>333</v>
      </c>
      <c r="C76" s="1975"/>
      <c r="D76" s="1975"/>
      <c r="E76" s="1975"/>
      <c r="F76" s="1975"/>
      <c r="G76" s="1975"/>
      <c r="H76" s="1975"/>
      <c r="I76" s="1975"/>
      <c r="J76" s="1975"/>
      <c r="K76" s="1975"/>
      <c r="L76" s="1975"/>
      <c r="M76" s="1975"/>
      <c r="N76" s="1975"/>
      <c r="O76" s="1975"/>
      <c r="P76" s="1976"/>
      <c r="U76" s="163"/>
      <c r="W76" s="20"/>
      <c r="X76" s="968"/>
      <c r="Y76" s="968"/>
      <c r="Z76" s="13"/>
      <c r="AA76" s="19"/>
      <c r="AB76" s="19"/>
      <c r="AC76" s="19"/>
      <c r="AD76" s="19"/>
      <c r="AE76" s="19"/>
      <c r="AF76" s="19"/>
    </row>
    <row r="77" spans="2:32" ht="11.25" customHeight="1" thickBot="1" x14ac:dyDescent="0.35">
      <c r="B77" s="1977"/>
      <c r="C77" s="1978"/>
      <c r="D77" s="1978"/>
      <c r="E77" s="1978"/>
      <c r="F77" s="1978"/>
      <c r="G77" s="1978"/>
      <c r="H77" s="1978"/>
      <c r="I77" s="1978"/>
      <c r="J77" s="1978"/>
      <c r="K77" s="1978"/>
      <c r="L77" s="1978"/>
      <c r="M77" s="1978"/>
      <c r="N77" s="1978"/>
      <c r="O77" s="1978"/>
      <c r="P77" s="1979"/>
      <c r="U77" s="163"/>
      <c r="W77" s="968"/>
      <c r="X77" s="13"/>
      <c r="Y77" s="13"/>
      <c r="Z77" s="970"/>
      <c r="AA77" s="19"/>
      <c r="AB77" s="19"/>
      <c r="AC77" s="19"/>
      <c r="AD77" s="19"/>
      <c r="AE77" s="19"/>
      <c r="AF77" s="19"/>
    </row>
    <row r="78" spans="2:32" ht="6" customHeight="1" thickBot="1" x14ac:dyDescent="0.35">
      <c r="B78" s="95"/>
      <c r="P78" s="38"/>
      <c r="U78" s="163"/>
      <c r="V78" s="143"/>
      <c r="W78" s="968"/>
      <c r="X78" s="971"/>
      <c r="Y78" s="971"/>
      <c r="Z78" s="971"/>
      <c r="AA78" s="19"/>
      <c r="AB78" s="19"/>
      <c r="AC78" s="19"/>
      <c r="AD78" s="19"/>
      <c r="AE78" s="19"/>
      <c r="AF78" s="19"/>
    </row>
    <row r="79" spans="2:32" ht="27" customHeight="1" thickTop="1" thickBot="1" x14ac:dyDescent="0.35">
      <c r="B79" s="1932" t="s">
        <v>250</v>
      </c>
      <c r="C79" s="1933"/>
      <c r="D79" s="1933"/>
      <c r="E79" s="1934"/>
      <c r="F79" s="1935" t="s">
        <v>96</v>
      </c>
      <c r="G79" s="1936"/>
      <c r="H79" s="1936"/>
      <c r="I79" s="1937"/>
      <c r="J79" s="1982" t="s">
        <v>198</v>
      </c>
      <c r="K79" s="1983"/>
      <c r="L79" s="1983"/>
      <c r="M79" s="1983"/>
      <c r="N79" s="1983"/>
      <c r="O79" s="1983"/>
      <c r="P79" s="1984"/>
      <c r="T79" s="969"/>
      <c r="U79" s="969"/>
      <c r="V79" s="13"/>
      <c r="W79" s="25"/>
      <c r="X79" s="19"/>
      <c r="Y79" s="19"/>
      <c r="Z79" s="13"/>
      <c r="AA79" s="19"/>
      <c r="AB79" s="19"/>
      <c r="AC79" s="19"/>
      <c r="AD79" s="19"/>
      <c r="AE79" s="19"/>
      <c r="AF79" s="19"/>
    </row>
    <row r="80" spans="2:32" ht="21.75" customHeight="1" x14ac:dyDescent="0.3">
      <c r="B80" s="1988" t="s">
        <v>383</v>
      </c>
      <c r="C80" s="1989"/>
      <c r="D80" s="1989"/>
      <c r="E80" s="1990"/>
      <c r="F80" s="1938" t="s">
        <v>338</v>
      </c>
      <c r="G80" s="1939"/>
      <c r="H80" s="1939"/>
      <c r="I80" s="1940"/>
      <c r="J80" s="1001" t="s">
        <v>199</v>
      </c>
      <c r="K80" s="1002" t="s">
        <v>157</v>
      </c>
      <c r="L80" s="1002" t="s">
        <v>158</v>
      </c>
      <c r="M80" s="1002" t="s">
        <v>159</v>
      </c>
      <c r="N80" s="1002" t="s">
        <v>160</v>
      </c>
      <c r="O80" s="1002" t="s">
        <v>101</v>
      </c>
      <c r="P80" s="1003" t="s">
        <v>102</v>
      </c>
      <c r="T80" s="969"/>
      <c r="U80" s="969"/>
      <c r="V80" s="86"/>
      <c r="W80" s="971"/>
      <c r="AD80" s="19"/>
      <c r="AE80" s="19"/>
      <c r="AF80" s="19"/>
    </row>
    <row r="81" spans="2:32" ht="20.25" customHeight="1" thickBot="1" x14ac:dyDescent="0.35">
      <c r="B81" s="1991"/>
      <c r="C81" s="1992"/>
      <c r="D81" s="1992"/>
      <c r="E81" s="1993"/>
      <c r="F81" s="1944" t="s">
        <v>339</v>
      </c>
      <c r="G81" s="1945"/>
      <c r="H81" s="1945"/>
      <c r="I81" s="1946"/>
      <c r="J81" s="983" t="s">
        <v>72</v>
      </c>
      <c r="K81" s="479">
        <v>-1.375</v>
      </c>
      <c r="L81" s="479">
        <v>-0.875</v>
      </c>
      <c r="M81" s="479">
        <v>-0.25</v>
      </c>
      <c r="N81" s="479" t="s">
        <v>56</v>
      </c>
      <c r="O81" s="479" t="s">
        <v>56</v>
      </c>
      <c r="P81" s="480" t="s">
        <v>56</v>
      </c>
      <c r="T81" s="19"/>
      <c r="U81" s="19"/>
      <c r="V81" s="19"/>
      <c r="W81" s="19"/>
      <c r="AD81" s="19"/>
      <c r="AE81" s="19"/>
      <c r="AF81" s="19"/>
    </row>
    <row r="82" spans="2:32" ht="21.75" customHeight="1" x14ac:dyDescent="0.25">
      <c r="B82" s="432"/>
      <c r="C82" s="1917" t="s">
        <v>386</v>
      </c>
      <c r="D82" s="1920" t="s">
        <v>388</v>
      </c>
      <c r="E82" s="1985" t="s">
        <v>387</v>
      </c>
      <c r="F82" s="1944" t="s">
        <v>340</v>
      </c>
      <c r="G82" s="1945"/>
      <c r="H82" s="1945"/>
      <c r="I82" s="1946"/>
      <c r="J82" s="983" t="s">
        <v>53</v>
      </c>
      <c r="K82" s="479">
        <v>-1.125</v>
      </c>
      <c r="L82" s="479">
        <v>-0.75</v>
      </c>
      <c r="M82" s="479">
        <v>-0.125</v>
      </c>
      <c r="N82" s="479" t="s">
        <v>56</v>
      </c>
      <c r="O82" s="479" t="s">
        <v>56</v>
      </c>
      <c r="P82" s="480" t="s">
        <v>56</v>
      </c>
    </row>
    <row r="83" spans="2:32" ht="22.5" customHeight="1" thickBot="1" x14ac:dyDescent="0.3">
      <c r="B83" s="95"/>
      <c r="C83" s="1918"/>
      <c r="D83" s="1921"/>
      <c r="E83" s="1986"/>
      <c r="F83" s="1941" t="s">
        <v>341</v>
      </c>
      <c r="G83" s="1942"/>
      <c r="H83" s="1942"/>
      <c r="I83" s="1943"/>
      <c r="J83" s="563" t="s">
        <v>54</v>
      </c>
      <c r="K83" s="479">
        <v>-0.875</v>
      </c>
      <c r="L83" s="479">
        <v>-0.625</v>
      </c>
      <c r="M83" s="479">
        <v>0</v>
      </c>
      <c r="N83" s="479" t="s">
        <v>56</v>
      </c>
      <c r="O83" s="479" t="s">
        <v>56</v>
      </c>
      <c r="P83" s="480" t="s">
        <v>56</v>
      </c>
    </row>
    <row r="84" spans="2:32" ht="24.75" customHeight="1" thickBot="1" x14ac:dyDescent="0.4">
      <c r="B84" s="139"/>
      <c r="C84" s="1919"/>
      <c r="D84" s="1922"/>
      <c r="E84" s="1987"/>
      <c r="F84" s="1947" t="s">
        <v>29</v>
      </c>
      <c r="G84" s="1948"/>
      <c r="H84" s="1948"/>
      <c r="I84" s="1949"/>
      <c r="J84" s="563" t="s">
        <v>55</v>
      </c>
      <c r="K84" s="479">
        <v>-0.625</v>
      </c>
      <c r="L84" s="479">
        <v>-0.375</v>
      </c>
      <c r="M84" s="479">
        <v>0.375</v>
      </c>
      <c r="N84" s="479" t="s">
        <v>56</v>
      </c>
      <c r="O84" s="479" t="s">
        <v>56</v>
      </c>
      <c r="P84" s="480" t="s">
        <v>56</v>
      </c>
    </row>
    <row r="85" spans="2:32" ht="20.25" customHeight="1" x14ac:dyDescent="0.3">
      <c r="B85" s="189" t="s">
        <v>14</v>
      </c>
      <c r="C85" s="433" t="s">
        <v>15</v>
      </c>
      <c r="D85" s="433" t="s">
        <v>15</v>
      </c>
      <c r="E85" s="434" t="s">
        <v>15</v>
      </c>
      <c r="F85" s="1909" t="s">
        <v>31</v>
      </c>
      <c r="G85" s="1910"/>
      <c r="H85" s="487">
        <v>0.04</v>
      </c>
      <c r="I85" s="108"/>
      <c r="J85" s="563" t="s">
        <v>57</v>
      </c>
      <c r="K85" s="479">
        <v>-0.25</v>
      </c>
      <c r="L85" s="479">
        <v>0</v>
      </c>
      <c r="M85" s="479">
        <v>0.875</v>
      </c>
      <c r="N85" s="479" t="s">
        <v>56</v>
      </c>
      <c r="O85" s="479" t="s">
        <v>56</v>
      </c>
      <c r="P85" s="480" t="s">
        <v>56</v>
      </c>
    </row>
    <row r="86" spans="2:32" ht="22.5" customHeight="1" x14ac:dyDescent="0.25">
      <c r="B86" s="95"/>
      <c r="E86" s="38"/>
      <c r="F86" s="1909" t="s">
        <v>254</v>
      </c>
      <c r="G86" s="1910"/>
      <c r="H86" s="488">
        <f>AAA_AAI_AAQ_AAO!D52</f>
        <v>3.6719000000000002E-2</v>
      </c>
      <c r="I86" s="453"/>
      <c r="J86" s="563" t="s">
        <v>58</v>
      </c>
      <c r="K86" s="479">
        <v>0</v>
      </c>
      <c r="L86" s="479">
        <v>0.75</v>
      </c>
      <c r="M86" s="479">
        <v>1.75</v>
      </c>
      <c r="N86" s="479" t="s">
        <v>56</v>
      </c>
      <c r="O86" s="479" t="s">
        <v>56</v>
      </c>
      <c r="P86" s="480" t="s">
        <v>56</v>
      </c>
    </row>
    <row r="87" spans="2:32" ht="20.25" customHeight="1" x14ac:dyDescent="0.25">
      <c r="B87" s="104">
        <f>MIN('[1]Pricing '!$A$2919:$A$2939)</f>
        <v>7.125</v>
      </c>
      <c r="C87" s="181">
        <f>-VLOOKUP($B87,[1]!AIP_71,11,FALSE)+100</f>
        <v>2.7150000000000034</v>
      </c>
      <c r="D87" s="131">
        <f>-VLOOKUP($B87,[1]!AIP_15,11,FALSE)+100</f>
        <v>2.7150000000000034</v>
      </c>
      <c r="E87" s="137">
        <f>-VLOOKUP($B87,[1]!AIP_30,11,FALSE)+100</f>
        <v>2.7150000000000034</v>
      </c>
      <c r="F87" s="1909" t="s">
        <v>455</v>
      </c>
      <c r="G87" s="1910"/>
      <c r="H87" s="489" t="s">
        <v>458</v>
      </c>
      <c r="I87" s="108"/>
      <c r="J87" s="563" t="s">
        <v>73</v>
      </c>
      <c r="K87" s="479">
        <v>1</v>
      </c>
      <c r="L87" s="479">
        <v>1.75</v>
      </c>
      <c r="M87" s="479">
        <v>2.75</v>
      </c>
      <c r="N87" s="479" t="s">
        <v>56</v>
      </c>
      <c r="O87" s="479" t="s">
        <v>56</v>
      </c>
      <c r="P87" s="480" t="s">
        <v>56</v>
      </c>
    </row>
    <row r="88" spans="2:32" ht="19.5" customHeight="1" thickBot="1" x14ac:dyDescent="0.3">
      <c r="B88" s="104">
        <f t="shared" ref="B88:B96" si="3">B87+0.125</f>
        <v>7.25</v>
      </c>
      <c r="C88" s="181">
        <f>-VLOOKUP($B88,[1]!AIP_71,11,FALSE)+100</f>
        <v>2.0900000000000034</v>
      </c>
      <c r="D88" s="131">
        <f>-VLOOKUP($B88,[1]!AIP_15,11,FALSE)+100</f>
        <v>2.0900000000000034</v>
      </c>
      <c r="E88" s="137">
        <f>-VLOOKUP($B88,[1]!AIP_30,11,FALSE)+100</f>
        <v>2.0900000000000034</v>
      </c>
      <c r="F88" s="1980" t="s">
        <v>456</v>
      </c>
      <c r="G88" s="1981"/>
      <c r="H88" s="490" t="s">
        <v>457</v>
      </c>
      <c r="I88" s="454"/>
      <c r="J88" s="1004" t="s">
        <v>113</v>
      </c>
      <c r="K88" s="115">
        <v>1.5</v>
      </c>
      <c r="L88" s="115">
        <v>2.5</v>
      </c>
      <c r="M88" s="115" t="s">
        <v>56</v>
      </c>
      <c r="N88" s="115" t="s">
        <v>56</v>
      </c>
      <c r="O88" s="115" t="s">
        <v>56</v>
      </c>
      <c r="P88" s="225" t="s">
        <v>56</v>
      </c>
    </row>
    <row r="89" spans="2:32" ht="26.25" customHeight="1" x14ac:dyDescent="0.2">
      <c r="B89" s="104">
        <f t="shared" si="3"/>
        <v>7.375</v>
      </c>
      <c r="C89" s="181">
        <f>-VLOOKUP($B89,[1]!AIP_71,11,FALSE)+100</f>
        <v>1.5900000000000034</v>
      </c>
      <c r="D89" s="131">
        <f>-VLOOKUP($B89,[1]!AIP_15,11,FALSE)+100</f>
        <v>1.5900000000000034</v>
      </c>
      <c r="E89" s="137">
        <f>-VLOOKUP($B89,[1]!AIP_30,11,FALSE)+100</f>
        <v>1.5900000000000034</v>
      </c>
      <c r="F89" s="1906" t="s">
        <v>187</v>
      </c>
      <c r="G89" s="1907"/>
      <c r="H89" s="1907"/>
      <c r="I89" s="1907"/>
      <c r="J89" s="1005" t="s">
        <v>666</v>
      </c>
      <c r="K89" s="923">
        <v>0.25</v>
      </c>
      <c r="L89" s="923">
        <v>0.25</v>
      </c>
      <c r="M89" s="923">
        <v>0.25</v>
      </c>
      <c r="N89" s="923" t="s">
        <v>56</v>
      </c>
      <c r="O89" s="923" t="s">
        <v>56</v>
      </c>
      <c r="P89" s="924" t="s">
        <v>56</v>
      </c>
    </row>
    <row r="90" spans="2:32" ht="22.5" customHeight="1" x14ac:dyDescent="0.25">
      <c r="B90" s="104">
        <f t="shared" si="3"/>
        <v>7.5</v>
      </c>
      <c r="C90" s="181">
        <f>-VLOOKUP($B90,[1]!AIP_71,11,FALSE)+100</f>
        <v>1.2150000000000034</v>
      </c>
      <c r="D90" s="131">
        <f>-VLOOKUP($B90,[1]!AIP_15,11,FALSE)+100</f>
        <v>1.2150000000000034</v>
      </c>
      <c r="E90" s="137">
        <f>-VLOOKUP($B90,[1]!AIP_30,11,FALSE)+100</f>
        <v>1.2150000000000034</v>
      </c>
      <c r="F90" s="1925" t="s">
        <v>652</v>
      </c>
      <c r="G90" s="1926"/>
      <c r="H90" s="1926"/>
      <c r="I90" s="1926"/>
      <c r="J90" s="562" t="s">
        <v>165</v>
      </c>
      <c r="K90" s="479">
        <v>0.25</v>
      </c>
      <c r="L90" s="479">
        <v>0.75</v>
      </c>
      <c r="M90" s="479">
        <v>1.5</v>
      </c>
      <c r="N90" s="479" t="s">
        <v>56</v>
      </c>
      <c r="O90" s="479" t="s">
        <v>56</v>
      </c>
      <c r="P90" s="480" t="s">
        <v>56</v>
      </c>
    </row>
    <row r="91" spans="2:32" ht="20.25" customHeight="1" x14ac:dyDescent="0.25">
      <c r="B91" s="104">
        <f t="shared" si="3"/>
        <v>7.625</v>
      </c>
      <c r="C91" s="181">
        <f>-VLOOKUP($B91,[1]!AIP_71,11,FALSE)+100</f>
        <v>0.84000000000000341</v>
      </c>
      <c r="D91" s="131">
        <f>-VLOOKUP($B91,[1]!AIP_15,11,FALSE)+100</f>
        <v>0.84000000000000341</v>
      </c>
      <c r="E91" s="137">
        <f>-VLOOKUP($B91,[1]!AIP_30,11,FALSE)+100</f>
        <v>0.84000000000000341</v>
      </c>
      <c r="F91" s="1309" t="s">
        <v>467</v>
      </c>
      <c r="G91" s="1315"/>
      <c r="H91" s="1315"/>
      <c r="I91" s="1315"/>
      <c r="J91" s="562" t="s">
        <v>201</v>
      </c>
      <c r="K91" s="479">
        <v>0.125</v>
      </c>
      <c r="L91" s="479">
        <v>0.25</v>
      </c>
      <c r="M91" s="479">
        <v>0.5</v>
      </c>
      <c r="N91" s="479" t="s">
        <v>56</v>
      </c>
      <c r="O91" s="479" t="s">
        <v>56</v>
      </c>
      <c r="P91" s="480" t="s">
        <v>56</v>
      </c>
    </row>
    <row r="92" spans="2:32" ht="20.25" customHeight="1" x14ac:dyDescent="0.25">
      <c r="B92" s="104">
        <f t="shared" si="3"/>
        <v>7.75</v>
      </c>
      <c r="C92" s="181">
        <f>-VLOOKUP($B92,[1]!AIP_71,11,FALSE)+100</f>
        <v>0.46500000000000341</v>
      </c>
      <c r="D92" s="131">
        <f>-VLOOKUP($B92,[1]!AIP_15,11,FALSE)+100</f>
        <v>0.46500000000000341</v>
      </c>
      <c r="E92" s="137">
        <f>-VLOOKUP($B92,[1]!AIP_30,11,FALSE)+100</f>
        <v>0.46500000000000341</v>
      </c>
      <c r="F92" s="1925" t="s">
        <v>653</v>
      </c>
      <c r="G92" s="1926"/>
      <c r="H92" s="1926"/>
      <c r="I92" s="1926"/>
      <c r="J92" s="563" t="s">
        <v>169</v>
      </c>
      <c r="K92" s="479">
        <v>0.25</v>
      </c>
      <c r="L92" s="479">
        <v>0.375</v>
      </c>
      <c r="M92" s="479">
        <v>0.5</v>
      </c>
      <c r="N92" s="479" t="s">
        <v>56</v>
      </c>
      <c r="O92" s="479" t="s">
        <v>56</v>
      </c>
      <c r="P92" s="480" t="s">
        <v>56</v>
      </c>
    </row>
    <row r="93" spans="2:32" ht="20.25" customHeight="1" x14ac:dyDescent="0.25">
      <c r="B93" s="104">
        <f t="shared" si="3"/>
        <v>7.875</v>
      </c>
      <c r="C93" s="181">
        <f>-VLOOKUP($B93,[1]!AIP_71,11,FALSE)+100</f>
        <v>0.21500000000000341</v>
      </c>
      <c r="D93" s="131">
        <f>-VLOOKUP($B93,[1]!AIP_15,11,FALSE)+100</f>
        <v>0.21500000000000341</v>
      </c>
      <c r="E93" s="137">
        <f>-VLOOKUP($B93,[1]!AIP_30,11,FALSE)+100</f>
        <v>0.21500000000000341</v>
      </c>
      <c r="F93" s="1309" t="s">
        <v>468</v>
      </c>
      <c r="G93" s="1315"/>
      <c r="H93" s="1315"/>
      <c r="I93" s="1315"/>
      <c r="J93" s="563" t="s">
        <v>79</v>
      </c>
      <c r="K93" s="479">
        <v>0.5</v>
      </c>
      <c r="L93" s="479">
        <v>0.625</v>
      </c>
      <c r="M93" s="479">
        <v>0.75</v>
      </c>
      <c r="N93" s="479" t="s">
        <v>56</v>
      </c>
      <c r="O93" s="479" t="s">
        <v>56</v>
      </c>
      <c r="P93" s="480" t="s">
        <v>56</v>
      </c>
    </row>
    <row r="94" spans="2:32" ht="20.25" customHeight="1" x14ac:dyDescent="0.25">
      <c r="B94" s="104">
        <f t="shared" si="3"/>
        <v>8</v>
      </c>
      <c r="C94" s="181">
        <f>-VLOOKUP($B94,[1]!AIP_71,11,FALSE)+100</f>
        <v>-3.4999999999996589E-2</v>
      </c>
      <c r="D94" s="131">
        <f>-VLOOKUP($B94,[1]!AIP_15,11,FALSE)+100</f>
        <v>-3.4999999999996589E-2</v>
      </c>
      <c r="E94" s="137">
        <f>-VLOOKUP($B94,[1]!AIP_30,11,FALSE)+100</f>
        <v>-3.4999999999996589E-2</v>
      </c>
      <c r="F94" s="1925" t="s">
        <v>654</v>
      </c>
      <c r="G94" s="1926"/>
      <c r="H94" s="1926"/>
      <c r="I94" s="1926"/>
      <c r="J94" s="563" t="s">
        <v>92</v>
      </c>
      <c r="K94" s="479">
        <v>0.25</v>
      </c>
      <c r="L94" s="479">
        <v>0.5</v>
      </c>
      <c r="M94" s="479">
        <v>1</v>
      </c>
      <c r="N94" s="479" t="s">
        <v>56</v>
      </c>
      <c r="O94" s="479" t="s">
        <v>56</v>
      </c>
      <c r="P94" s="480" t="s">
        <v>56</v>
      </c>
    </row>
    <row r="95" spans="2:32" ht="20.25" customHeight="1" x14ac:dyDescent="0.25">
      <c r="B95" s="104">
        <f t="shared" si="3"/>
        <v>8.125</v>
      </c>
      <c r="C95" s="181">
        <f>-VLOOKUP($B95,[1]!AIP_71,11,FALSE)+100</f>
        <v>-0.28499999999999659</v>
      </c>
      <c r="D95" s="131">
        <f>-VLOOKUP($B95,[1]!AIP_15,11,FALSE)+100</f>
        <v>-0.28499999999999659</v>
      </c>
      <c r="E95" s="137">
        <f>-VLOOKUP($B95,[1]!AIP_30,11,FALSE)+100</f>
        <v>-0.28499999999999659</v>
      </c>
      <c r="F95" s="1309" t="s">
        <v>190</v>
      </c>
      <c r="G95" s="1315"/>
      <c r="H95" s="1315"/>
      <c r="I95" s="1315"/>
      <c r="J95" s="564" t="s">
        <v>539</v>
      </c>
      <c r="K95" s="479">
        <v>0.125</v>
      </c>
      <c r="L95" s="479">
        <v>0.125</v>
      </c>
      <c r="M95" s="479">
        <v>0.25</v>
      </c>
      <c r="N95" s="479" t="s">
        <v>56</v>
      </c>
      <c r="O95" s="479" t="s">
        <v>56</v>
      </c>
      <c r="P95" s="480" t="s">
        <v>56</v>
      </c>
    </row>
    <row r="96" spans="2:32" ht="20.25" customHeight="1" thickBot="1" x14ac:dyDescent="0.3">
      <c r="B96" s="104">
        <f t="shared" si="3"/>
        <v>8.25</v>
      </c>
      <c r="C96" s="181">
        <f>-VLOOKUP($B96,[1]!AIP_71,11,FALSE)+100</f>
        <v>-0.53499999999999659</v>
      </c>
      <c r="D96" s="131">
        <f>-VLOOKUP($B96,[1]!AIP_15,11,FALSE)+100</f>
        <v>-0.53499999999999659</v>
      </c>
      <c r="E96" s="137">
        <f>-VLOOKUP($B96,[1]!AIP_30,11,FALSE)+100</f>
        <v>-0.53499999999999659</v>
      </c>
      <c r="F96" s="1925" t="s">
        <v>655</v>
      </c>
      <c r="G96" s="1926"/>
      <c r="H96" s="1926"/>
      <c r="I96" s="1926"/>
      <c r="J96" s="467" t="s">
        <v>563</v>
      </c>
      <c r="K96" s="115">
        <v>0.75</v>
      </c>
      <c r="L96" s="115">
        <v>0.75</v>
      </c>
      <c r="M96" s="115">
        <v>0.875</v>
      </c>
      <c r="N96" s="115" t="s">
        <v>56</v>
      </c>
      <c r="O96" s="115" t="s">
        <v>56</v>
      </c>
      <c r="P96" s="225" t="s">
        <v>56</v>
      </c>
    </row>
    <row r="97" spans="2:29" ht="20.25" customHeight="1" x14ac:dyDescent="0.25">
      <c r="B97" s="104"/>
      <c r="C97" s="181"/>
      <c r="D97" s="131"/>
      <c r="E97" s="137"/>
      <c r="F97" s="1309" t="s">
        <v>192</v>
      </c>
      <c r="G97" s="1315"/>
      <c r="H97" s="1315"/>
      <c r="I97" s="1315"/>
      <c r="J97" s="97" t="s">
        <v>469</v>
      </c>
      <c r="K97" s="27"/>
      <c r="L97" s="27"/>
      <c r="M97" s="27"/>
      <c r="N97" s="27"/>
      <c r="O97" s="27"/>
      <c r="P97" s="305">
        <v>-1.5</v>
      </c>
    </row>
    <row r="98" spans="2:29" ht="20.25" customHeight="1" x14ac:dyDescent="0.25">
      <c r="B98" s="104"/>
      <c r="C98" s="181"/>
      <c r="D98" s="131"/>
      <c r="E98" s="137"/>
      <c r="F98" s="1925" t="s">
        <v>656</v>
      </c>
      <c r="G98" s="1926"/>
      <c r="H98" s="1926"/>
      <c r="I98" s="1994"/>
      <c r="J98" s="97" t="s">
        <v>470</v>
      </c>
      <c r="P98" s="94">
        <v>-1</v>
      </c>
      <c r="X98" s="18"/>
      <c r="Y98" s="18"/>
      <c r="Z98" s="18"/>
      <c r="AA98" s="18"/>
      <c r="AB98" s="18"/>
      <c r="AC98" s="18"/>
    </row>
    <row r="99" spans="2:29" ht="18.75" customHeight="1" x14ac:dyDescent="0.25">
      <c r="B99" s="104"/>
      <c r="C99" s="181"/>
      <c r="D99" s="131"/>
      <c r="E99" s="137"/>
      <c r="F99" s="1309" t="s">
        <v>194</v>
      </c>
      <c r="G99" s="1315"/>
      <c r="H99" s="1315"/>
      <c r="I99" s="1315"/>
      <c r="J99" s="97" t="s">
        <v>471</v>
      </c>
      <c r="K99" s="491"/>
      <c r="L99" s="168"/>
      <c r="M99" s="27"/>
      <c r="N99" s="27"/>
      <c r="O99" s="27"/>
      <c r="P99" s="305">
        <v>-0.5</v>
      </c>
      <c r="X99" s="18"/>
      <c r="Y99" s="18"/>
      <c r="Z99" s="18"/>
      <c r="AA99" s="18"/>
      <c r="AB99" s="18"/>
      <c r="AC99" s="18"/>
    </row>
    <row r="100" spans="2:29" s="18" customFormat="1" ht="20.25" customHeight="1" thickBot="1" x14ac:dyDescent="0.3">
      <c r="B100" s="388"/>
      <c r="C100" s="532"/>
      <c r="D100" s="485"/>
      <c r="E100" s="540"/>
      <c r="F100" s="1925" t="s">
        <v>657</v>
      </c>
      <c r="G100" s="1926"/>
      <c r="H100" s="1926"/>
      <c r="I100" s="1926"/>
      <c r="J100" s="97" t="s">
        <v>202</v>
      </c>
      <c r="K100" s="491"/>
      <c r="L100" s="168"/>
      <c r="M100" s="27"/>
      <c r="N100" s="27"/>
      <c r="O100" s="27"/>
      <c r="P100" s="305">
        <v>0.75</v>
      </c>
    </row>
    <row r="101" spans="2:29" s="18" customFormat="1" ht="20.25" customHeight="1" thickBot="1" x14ac:dyDescent="0.3">
      <c r="B101" s="536"/>
      <c r="C101" s="537"/>
      <c r="D101" s="537"/>
      <c r="E101" s="538"/>
      <c r="F101" s="1323" t="s">
        <v>197</v>
      </c>
      <c r="G101" s="1324"/>
      <c r="H101" s="1324"/>
      <c r="I101" s="1324"/>
      <c r="J101" s="97" t="s">
        <v>85</v>
      </c>
      <c r="K101" s="491"/>
      <c r="L101" s="27"/>
      <c r="M101" s="27"/>
      <c r="N101" s="27"/>
      <c r="O101" s="27"/>
      <c r="P101" s="305">
        <v>3</v>
      </c>
    </row>
    <row r="102" spans="2:29" s="18" customFormat="1" ht="20.25" customHeight="1" x14ac:dyDescent="0.25">
      <c r="B102" s="1971" t="s">
        <v>186</v>
      </c>
      <c r="C102" s="1972"/>
      <c r="D102" s="1972"/>
      <c r="E102" s="1973"/>
      <c r="F102" s="1250" t="s">
        <v>335</v>
      </c>
      <c r="G102" s="1251"/>
      <c r="H102" s="1251"/>
      <c r="I102" s="1251"/>
      <c r="J102" s="97" t="s">
        <v>91</v>
      </c>
      <c r="K102" s="27"/>
      <c r="L102" s="27"/>
      <c r="M102" s="27"/>
      <c r="N102" s="27"/>
      <c r="O102" s="27"/>
      <c r="P102" s="305">
        <v>0.25</v>
      </c>
    </row>
    <row r="103" spans="2:29" s="18" customFormat="1" ht="18.75" thickBot="1" x14ac:dyDescent="0.3">
      <c r="B103" s="1903" t="s">
        <v>651</v>
      </c>
      <c r="C103" s="1904"/>
      <c r="D103" s="1904"/>
      <c r="E103" s="1905"/>
      <c r="F103" s="1812" t="s">
        <v>334</v>
      </c>
      <c r="G103" s="1253"/>
      <c r="H103" s="1253"/>
      <c r="I103" s="1813"/>
      <c r="J103" s="97" t="s">
        <v>170</v>
      </c>
      <c r="K103" s="27"/>
      <c r="L103" s="27"/>
      <c r="M103" s="27"/>
      <c r="N103" s="27"/>
      <c r="O103" s="27"/>
      <c r="P103" s="305">
        <v>0.75</v>
      </c>
    </row>
    <row r="104" spans="2:29" s="18" customFormat="1" ht="27" thickBot="1" x14ac:dyDescent="0.3">
      <c r="B104" s="476"/>
      <c r="C104" s="442"/>
      <c r="D104" s="477"/>
      <c r="E104" s="477"/>
      <c r="F104" s="470"/>
      <c r="G104" s="470"/>
      <c r="H104" s="470"/>
      <c r="I104" s="575"/>
      <c r="J104" s="97" t="s">
        <v>203</v>
      </c>
      <c r="K104" s="27"/>
      <c r="L104" s="27"/>
      <c r="M104" s="27"/>
      <c r="N104" s="27"/>
      <c r="O104" s="27"/>
      <c r="P104" s="305">
        <v>0.375</v>
      </c>
    </row>
    <row r="105" spans="2:29" s="18" customFormat="1" ht="20.25" customHeight="1" thickBot="1" x14ac:dyDescent="0.3">
      <c r="B105" s="1339" t="s">
        <v>573</v>
      </c>
      <c r="C105" s="1340"/>
      <c r="D105" s="1341"/>
      <c r="E105" s="626" t="s">
        <v>570</v>
      </c>
      <c r="F105" s="626"/>
      <c r="G105" s="626"/>
      <c r="H105" s="626"/>
      <c r="I105" s="627"/>
      <c r="J105" s="97" t="s">
        <v>205</v>
      </c>
      <c r="P105" s="305">
        <v>0.5</v>
      </c>
    </row>
    <row r="106" spans="2:29" s="18" customFormat="1" ht="20.25" customHeight="1" x14ac:dyDescent="0.25">
      <c r="B106" s="337" t="s">
        <v>207</v>
      </c>
      <c r="C106" s="114"/>
      <c r="D106" s="464">
        <v>0.25</v>
      </c>
      <c r="E106" s="18" t="s">
        <v>88</v>
      </c>
      <c r="F106" s="625">
        <v>0.75</v>
      </c>
      <c r="H106" s="18" t="s">
        <v>89</v>
      </c>
      <c r="I106" s="632">
        <v>1</v>
      </c>
      <c r="J106" s="27" t="s">
        <v>174</v>
      </c>
      <c r="K106" s="27"/>
      <c r="L106" s="27"/>
      <c r="M106" s="27"/>
      <c r="N106" s="27"/>
      <c r="O106" s="27"/>
      <c r="P106" s="305">
        <v>0.125</v>
      </c>
    </row>
    <row r="107" spans="2:29" s="18" customFormat="1" ht="20.25" customHeight="1" thickBot="1" x14ac:dyDescent="0.3">
      <c r="B107" s="337"/>
      <c r="C107" s="114"/>
      <c r="D107" s="130"/>
      <c r="E107" s="18" t="s">
        <v>188</v>
      </c>
      <c r="F107" s="625">
        <v>1.5</v>
      </c>
      <c r="I107" s="632"/>
      <c r="J107" s="27" t="s">
        <v>752</v>
      </c>
      <c r="K107" s="27"/>
      <c r="L107" s="27"/>
      <c r="M107" s="27"/>
      <c r="N107" s="27"/>
      <c r="O107" s="27"/>
      <c r="P107" s="94">
        <v>0</v>
      </c>
    </row>
    <row r="108" spans="2:29" s="18" customFormat="1" ht="20.25" customHeight="1" thickTop="1" thickBot="1" x14ac:dyDescent="0.3">
      <c r="B108" s="337"/>
      <c r="C108" s="114"/>
      <c r="D108" s="130"/>
      <c r="I108" s="35"/>
      <c r="J108" s="1950" t="s">
        <v>644</v>
      </c>
      <c r="K108" s="1951"/>
      <c r="L108" s="1951"/>
      <c r="M108" s="1951"/>
      <c r="N108" s="1951"/>
      <c r="O108" s="1951"/>
      <c r="P108" s="1952"/>
      <c r="X108" s="5"/>
      <c r="Y108" s="5"/>
      <c r="Z108" s="5"/>
      <c r="AA108" s="5"/>
      <c r="AB108" s="5"/>
      <c r="AC108" s="5"/>
    </row>
    <row r="109" spans="2:29" s="18" customFormat="1" ht="20.25" customHeight="1" thickBot="1" x14ac:dyDescent="0.3">
      <c r="B109" s="337"/>
      <c r="C109" s="114"/>
      <c r="D109" s="405"/>
      <c r="F109" s="625"/>
      <c r="I109" s="478"/>
      <c r="J109" s="803" t="s">
        <v>645</v>
      </c>
      <c r="K109" s="804"/>
      <c r="L109" s="804"/>
      <c r="M109" s="805"/>
      <c r="N109" s="805"/>
      <c r="O109" s="805"/>
      <c r="P109" s="806">
        <v>0</v>
      </c>
      <c r="X109" s="5"/>
      <c r="Y109" s="5"/>
      <c r="Z109" s="5"/>
      <c r="AA109" s="5"/>
      <c r="AB109" s="5"/>
      <c r="AC109" s="5"/>
    </row>
    <row r="110" spans="2:29" ht="19.5" customHeight="1" x14ac:dyDescent="0.25">
      <c r="B110" s="1250" t="s">
        <v>679</v>
      </c>
      <c r="C110" s="1251"/>
      <c r="D110" s="1251"/>
      <c r="E110" s="1251"/>
      <c r="F110" s="1251"/>
      <c r="G110" s="1251"/>
      <c r="H110" s="1251"/>
      <c r="I110" s="1251"/>
      <c r="J110" s="1253"/>
      <c r="K110" s="1253"/>
      <c r="L110" s="1253"/>
      <c r="M110" s="1253"/>
      <c r="N110" s="1253"/>
      <c r="O110" s="1253"/>
      <c r="P110" s="1813"/>
    </row>
    <row r="111" spans="2:29" ht="18" customHeight="1" x14ac:dyDescent="0.25">
      <c r="B111" s="1812" t="s">
        <v>10</v>
      </c>
      <c r="C111" s="1253"/>
      <c r="D111" s="1253"/>
      <c r="E111" s="1253"/>
      <c r="F111" s="1253"/>
      <c r="G111" s="1253"/>
      <c r="H111" s="1253"/>
      <c r="I111" s="1253"/>
      <c r="J111" s="1253"/>
      <c r="K111" s="1253"/>
      <c r="L111" s="1253"/>
      <c r="M111" s="1253"/>
      <c r="N111" s="1253"/>
      <c r="O111" s="1253"/>
      <c r="P111" s="1813"/>
    </row>
    <row r="112" spans="2:29" ht="19.5" customHeight="1" thickBot="1" x14ac:dyDescent="0.3">
      <c r="B112" s="1275" t="s">
        <v>23</v>
      </c>
      <c r="C112" s="1276"/>
      <c r="D112" s="1276"/>
      <c r="E112" s="1276"/>
      <c r="F112" s="1276"/>
      <c r="G112" s="1276"/>
      <c r="H112" s="1276"/>
      <c r="I112" s="1276"/>
      <c r="J112" s="1276"/>
      <c r="K112" s="1276"/>
      <c r="L112" s="1276"/>
      <c r="M112" s="1276"/>
      <c r="N112" s="1276"/>
      <c r="O112" s="1276"/>
      <c r="P112" s="1277"/>
    </row>
    <row r="113" spans="6:21" x14ac:dyDescent="0.2">
      <c r="F113" s="37"/>
      <c r="G113" s="37"/>
      <c r="H113" s="37"/>
    </row>
    <row r="115" spans="6:21" ht="15" x14ac:dyDescent="0.25"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</sheetData>
  <mergeCells count="85">
    <mergeCell ref="U28:Y28"/>
    <mergeCell ref="B46:P47"/>
    <mergeCell ref="B20:P20"/>
    <mergeCell ref="K21:P22"/>
    <mergeCell ref="H30:J31"/>
    <mergeCell ref="K30:P31"/>
    <mergeCell ref="G40:J40"/>
    <mergeCell ref="G44:J44"/>
    <mergeCell ref="G39:J39"/>
    <mergeCell ref="K32:M32"/>
    <mergeCell ref="K34:P34"/>
    <mergeCell ref="N32:P32"/>
    <mergeCell ref="B21:C21"/>
    <mergeCell ref="B22:C22"/>
    <mergeCell ref="H21:J22"/>
    <mergeCell ref="N33:P33"/>
    <mergeCell ref="F102:I102"/>
    <mergeCell ref="F103:I103"/>
    <mergeCell ref="B102:E102"/>
    <mergeCell ref="B76:P77"/>
    <mergeCell ref="F90:I90"/>
    <mergeCell ref="F88:G88"/>
    <mergeCell ref="F87:G87"/>
    <mergeCell ref="J79:P79"/>
    <mergeCell ref="F86:G86"/>
    <mergeCell ref="F85:G85"/>
    <mergeCell ref="E82:E84"/>
    <mergeCell ref="B80:E81"/>
    <mergeCell ref="F91:I91"/>
    <mergeCell ref="F93:I93"/>
    <mergeCell ref="F97:I97"/>
    <mergeCell ref="F98:I98"/>
    <mergeCell ref="E21:F21"/>
    <mergeCell ref="C70:I70"/>
    <mergeCell ref="E22:F22"/>
    <mergeCell ref="B60:E60"/>
    <mergeCell ref="F60:I60"/>
    <mergeCell ref="F101:I101"/>
    <mergeCell ref="B2:D2"/>
    <mergeCell ref="B8:P9"/>
    <mergeCell ref="B16:P16"/>
    <mergeCell ref="B12:P12"/>
    <mergeCell ref="B10:C10"/>
    <mergeCell ref="B13:P14"/>
    <mergeCell ref="N2:P2"/>
    <mergeCell ref="B3:D3"/>
    <mergeCell ref="B4:D4"/>
    <mergeCell ref="B5:D5"/>
    <mergeCell ref="B6:D6"/>
    <mergeCell ref="L10:P10"/>
    <mergeCell ref="F95:I95"/>
    <mergeCell ref="F96:I96"/>
    <mergeCell ref="F94:I94"/>
    <mergeCell ref="F92:I92"/>
    <mergeCell ref="B19:P19"/>
    <mergeCell ref="K37:P37"/>
    <mergeCell ref="B112:P112"/>
    <mergeCell ref="B110:P110"/>
    <mergeCell ref="B111:P111"/>
    <mergeCell ref="B79:E79"/>
    <mergeCell ref="F79:I79"/>
    <mergeCell ref="F80:I80"/>
    <mergeCell ref="F83:I83"/>
    <mergeCell ref="F82:I82"/>
    <mergeCell ref="F81:I81"/>
    <mergeCell ref="F84:I84"/>
    <mergeCell ref="J108:P108"/>
    <mergeCell ref="B105:D105"/>
    <mergeCell ref="F100:I100"/>
    <mergeCell ref="J60:P60"/>
    <mergeCell ref="B103:E103"/>
    <mergeCell ref="F89:I89"/>
    <mergeCell ref="U35:U36"/>
    <mergeCell ref="K33:M33"/>
    <mergeCell ref="J49:P49"/>
    <mergeCell ref="F49:I49"/>
    <mergeCell ref="B49:E49"/>
    <mergeCell ref="G41:J41"/>
    <mergeCell ref="G42:J42"/>
    <mergeCell ref="K35:P35"/>
    <mergeCell ref="C82:C84"/>
    <mergeCell ref="D82:D84"/>
    <mergeCell ref="C65:I65"/>
    <mergeCell ref="C68:I68"/>
    <mergeCell ref="F99:I99"/>
  </mergeCells>
  <hyperlinks>
    <hyperlink ref="B19:D19" r:id="rId1" display="INVESTOR ADVANTAGE- MATRIX (CLICK)" xr:uid="{DD9B1425-118B-4637-B5E6-99615E24EBC8}"/>
    <hyperlink ref="D10" r:id="rId2" display="Lockdesk@amwestfunding.com" xr:uid="{D3609258-82F5-41AB-8C76-4DCA1686B81B}"/>
    <hyperlink ref="B6" r:id="rId3" xr:uid="{014EFB54-DE64-476A-A0C0-F32B12CE28C9}"/>
    <hyperlink ref="B79:E79" r:id="rId4" display="Click For Guideline" xr:uid="{FB56C31F-EDD3-449A-9028-06A7AA4DDCCD}"/>
    <hyperlink ref="K41" r:id="rId5" display="STATES with &quot;RESTRICTED&quot; PREPAYMENT   (Please reference Prepay guidelines)" xr:uid="{9C813823-95AA-4E9A-905B-AD619A05EE3F}"/>
    <hyperlink ref="I70" r:id="rId6" xr:uid="{D86EF6C7-A61F-4354-9F9B-4541C1B77DE8}"/>
  </hyperlinks>
  <printOptions horizontalCentered="1" verticalCentered="1"/>
  <pageMargins left="0.1" right="0.1" top="0.1" bottom="0.1" header="0.1" footer="0.1"/>
  <pageSetup paperSize="5" scale="46" orientation="portrait" r:id="rId7"/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8409B-1801-4725-B15C-704DDB4400FB}">
  <sheetPr codeName="Sheet9">
    <pageSetUpPr fitToPage="1"/>
  </sheetPr>
  <dimension ref="B1:V107"/>
  <sheetViews>
    <sheetView topLeftCell="A51" workbookViewId="0">
      <selection activeCell="G72" sqref="G72"/>
    </sheetView>
  </sheetViews>
  <sheetFormatPr defaultColWidth="8.85546875" defaultRowHeight="14.25" x14ac:dyDescent="0.2"/>
  <cols>
    <col min="1" max="1" width="7.5703125" style="5" customWidth="1"/>
    <col min="2" max="2" width="12.5703125" style="5" customWidth="1"/>
    <col min="3" max="3" width="12" style="5" customWidth="1"/>
    <col min="4" max="4" width="12.5703125" style="5" customWidth="1"/>
    <col min="5" max="5" width="12" style="5" customWidth="1"/>
    <col min="6" max="7" width="12.5703125" style="5" customWidth="1"/>
    <col min="8" max="8" width="11.140625" style="5" customWidth="1"/>
    <col min="9" max="9" width="11.5703125" style="5" customWidth="1"/>
    <col min="10" max="10" width="11.140625" style="5" customWidth="1"/>
    <col min="11" max="11" width="11.5703125" style="5" customWidth="1"/>
    <col min="12" max="12" width="11.28515625" style="5" customWidth="1"/>
    <col min="13" max="13" width="11.42578125" style="5" customWidth="1"/>
    <col min="14" max="15" width="11.140625" style="5" customWidth="1"/>
    <col min="16" max="16" width="12.5703125" style="5" customWidth="1"/>
    <col min="17" max="17" width="7.5703125" style="5" customWidth="1"/>
    <col min="18" max="20" width="8.85546875" style="5"/>
    <col min="21" max="21" width="8.85546875" style="172"/>
    <col min="22" max="22" width="23.42578125" style="5" customWidth="1"/>
    <col min="23" max="16384" width="8.85546875" style="5"/>
  </cols>
  <sheetData>
    <row r="1" spans="2:21" ht="15.75" customHeight="1" x14ac:dyDescent="0.25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327" t="s">
        <v>724</v>
      </c>
    </row>
    <row r="2" spans="2:21" ht="9.75" customHeight="1" x14ac:dyDescent="0.2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2:21" ht="16.5" customHeight="1" x14ac:dyDescent="0.25">
      <c r="B3" s="2092" t="s">
        <v>0</v>
      </c>
      <c r="C3" s="2093"/>
      <c r="D3" s="2094"/>
      <c r="E3" s="17"/>
      <c r="F3" s="17"/>
      <c r="G3" s="33"/>
      <c r="H3" s="17"/>
      <c r="I3" s="17"/>
      <c r="J3" s="17"/>
      <c r="K3" s="17"/>
      <c r="L3" s="17"/>
      <c r="M3" s="17"/>
      <c r="N3" s="2092"/>
      <c r="O3" s="2093"/>
      <c r="P3" s="2094"/>
    </row>
    <row r="4" spans="2:21" ht="16.5" customHeight="1" x14ac:dyDescent="0.2">
      <c r="B4" s="2095" t="s">
        <v>1</v>
      </c>
      <c r="C4" s="2096"/>
      <c r="D4" s="2097"/>
      <c r="E4" s="17"/>
      <c r="F4" s="17"/>
      <c r="G4" s="17"/>
      <c r="H4" s="17"/>
      <c r="I4" s="17"/>
      <c r="J4" s="17"/>
      <c r="K4" s="17"/>
      <c r="L4" s="17"/>
      <c r="M4" s="17"/>
      <c r="N4" s="648"/>
      <c r="O4" s="28"/>
      <c r="P4" s="649"/>
    </row>
    <row r="5" spans="2:21" ht="16.5" customHeight="1" x14ac:dyDescent="0.2">
      <c r="B5" s="2095" t="s">
        <v>2</v>
      </c>
      <c r="C5" s="2096"/>
      <c r="D5" s="2097"/>
      <c r="E5" s="17"/>
      <c r="F5" s="17"/>
      <c r="G5" s="17"/>
      <c r="H5" s="17"/>
      <c r="I5" s="17"/>
      <c r="J5" s="17"/>
      <c r="K5" s="17"/>
      <c r="L5" s="17"/>
      <c r="M5" s="17"/>
      <c r="N5" s="648"/>
      <c r="O5" s="28"/>
      <c r="P5" s="649"/>
    </row>
    <row r="6" spans="2:21" ht="16.5" customHeight="1" x14ac:dyDescent="0.2">
      <c r="B6" s="2095" t="s">
        <v>3</v>
      </c>
      <c r="C6" s="2096"/>
      <c r="D6" s="2097"/>
      <c r="E6" s="650"/>
      <c r="F6" s="17"/>
      <c r="G6" s="17"/>
      <c r="H6" s="17"/>
      <c r="I6" s="17"/>
      <c r="J6" s="17"/>
      <c r="K6" s="17"/>
      <c r="L6" s="17"/>
      <c r="M6" s="17"/>
      <c r="N6" s="648"/>
      <c r="O6" s="28"/>
      <c r="P6" s="649"/>
    </row>
    <row r="7" spans="2:21" ht="16.5" customHeight="1" x14ac:dyDescent="0.2">
      <c r="B7" s="2089" t="s">
        <v>4</v>
      </c>
      <c r="C7" s="2090"/>
      <c r="D7" s="2091"/>
      <c r="E7" s="650"/>
      <c r="N7" s="651"/>
      <c r="O7" s="652"/>
      <c r="P7" s="653"/>
      <c r="U7" s="5"/>
    </row>
    <row r="8" spans="2:21" ht="22.5" customHeight="1" x14ac:dyDescent="0.25">
      <c r="D8" s="654"/>
      <c r="F8" s="33" t="s">
        <v>5</v>
      </c>
      <c r="G8" s="33"/>
      <c r="H8" s="33"/>
      <c r="I8" s="33"/>
      <c r="J8" s="33"/>
      <c r="K8" s="655" t="s">
        <v>6</v>
      </c>
      <c r="L8" s="656">
        <f ca="1">+TODAY()</f>
        <v>46101</v>
      </c>
      <c r="M8" s="657" t="str">
        <f>AIA_AIP!L7</f>
        <v>8:00 AM PST</v>
      </c>
      <c r="U8" s="5"/>
    </row>
    <row r="9" spans="2:21" ht="6.75" customHeight="1" thickBot="1" x14ac:dyDescent="0.25">
      <c r="B9" s="658"/>
      <c r="U9" s="5"/>
    </row>
    <row r="10" spans="2:21" ht="9.75" customHeight="1" x14ac:dyDescent="0.2">
      <c r="B10" s="1579" t="s">
        <v>38</v>
      </c>
      <c r="C10" s="1580"/>
      <c r="D10" s="1580"/>
      <c r="E10" s="1580"/>
      <c r="F10" s="1580"/>
      <c r="G10" s="1580"/>
      <c r="H10" s="1580"/>
      <c r="I10" s="1580"/>
      <c r="J10" s="1580"/>
      <c r="K10" s="1580"/>
      <c r="L10" s="1580"/>
      <c r="M10" s="1580"/>
      <c r="N10" s="1580"/>
      <c r="O10" s="1580"/>
      <c r="P10" s="1581"/>
      <c r="U10" s="5"/>
    </row>
    <row r="11" spans="2:21" ht="18" customHeight="1" thickBot="1" x14ac:dyDescent="0.25">
      <c r="B11" s="1582"/>
      <c r="C11" s="1583"/>
      <c r="D11" s="1583"/>
      <c r="E11" s="1583"/>
      <c r="F11" s="1583"/>
      <c r="G11" s="1583"/>
      <c r="H11" s="1583"/>
      <c r="I11" s="1583"/>
      <c r="J11" s="1583"/>
      <c r="K11" s="1583"/>
      <c r="L11" s="1583"/>
      <c r="M11" s="1583"/>
      <c r="N11" s="1583"/>
      <c r="O11" s="1583"/>
      <c r="P11" s="1584"/>
      <c r="U11" s="5"/>
    </row>
    <row r="12" spans="2:21" ht="23.25" customHeight="1" thickBot="1" x14ac:dyDescent="0.3">
      <c r="B12" s="659" t="s">
        <v>8</v>
      </c>
      <c r="C12" s="660"/>
      <c r="D12" s="661" t="s">
        <v>578</v>
      </c>
      <c r="E12" s="662"/>
      <c r="F12" s="663"/>
      <c r="G12" s="663"/>
      <c r="H12" s="664" t="s">
        <v>39</v>
      </c>
      <c r="I12" s="665"/>
      <c r="J12" s="665"/>
      <c r="K12" s="664" t="s">
        <v>579</v>
      </c>
      <c r="L12" s="666"/>
      <c r="M12" s="2078" t="s">
        <v>626</v>
      </c>
      <c r="N12" s="2078"/>
      <c r="O12" s="2078"/>
      <c r="P12" s="2079"/>
      <c r="U12" s="5"/>
    </row>
    <row r="13" spans="2:21" ht="6" customHeight="1" x14ac:dyDescent="0.2">
      <c r="B13" s="667"/>
      <c r="C13" s="668"/>
      <c r="D13" s="668"/>
      <c r="E13" s="668"/>
      <c r="F13" s="668"/>
      <c r="G13" s="668"/>
      <c r="H13" s="668"/>
      <c r="I13" s="668"/>
      <c r="J13" s="668"/>
      <c r="K13" s="668"/>
      <c r="L13" s="668"/>
      <c r="M13" s="668"/>
      <c r="N13" s="668"/>
      <c r="O13" s="668"/>
      <c r="P13" s="669"/>
      <c r="U13" s="5"/>
    </row>
    <row r="14" spans="2:21" ht="15" customHeight="1" x14ac:dyDescent="0.2">
      <c r="B14" s="2080" t="s">
        <v>11</v>
      </c>
      <c r="C14" s="2081"/>
      <c r="D14" s="2081"/>
      <c r="E14" s="2081"/>
      <c r="F14" s="2081"/>
      <c r="G14" s="2081"/>
      <c r="H14" s="2081"/>
      <c r="I14" s="2081"/>
      <c r="J14" s="2081"/>
      <c r="K14" s="2081"/>
      <c r="L14" s="2081"/>
      <c r="M14" s="2081"/>
      <c r="N14" s="2081"/>
      <c r="O14" s="2081"/>
      <c r="P14" s="2082"/>
      <c r="Q14" s="31"/>
      <c r="U14" s="5"/>
    </row>
    <row r="15" spans="2:21" ht="13.5" customHeight="1" x14ac:dyDescent="0.2">
      <c r="B15" s="2080"/>
      <c r="C15" s="2081"/>
      <c r="D15" s="2081"/>
      <c r="E15" s="2081"/>
      <c r="F15" s="2081"/>
      <c r="G15" s="2081"/>
      <c r="H15" s="2081"/>
      <c r="I15" s="2081"/>
      <c r="J15" s="2081"/>
      <c r="K15" s="2081"/>
      <c r="L15" s="2081"/>
      <c r="M15" s="2081"/>
      <c r="N15" s="2081"/>
      <c r="O15" s="2081"/>
      <c r="P15" s="2082"/>
      <c r="Q15" s="31"/>
      <c r="T15" s="670" t="s">
        <v>40</v>
      </c>
      <c r="U15" s="5"/>
    </row>
    <row r="16" spans="2:21" ht="2.25" customHeight="1" x14ac:dyDescent="0.2">
      <c r="B16" s="671"/>
      <c r="C16" s="672"/>
      <c r="D16" s="672"/>
      <c r="E16" s="672"/>
      <c r="F16" s="672"/>
      <c r="G16" s="672"/>
      <c r="H16" s="672"/>
      <c r="I16" s="672"/>
      <c r="J16" s="672"/>
      <c r="K16" s="672"/>
      <c r="L16" s="672"/>
      <c r="M16" s="672"/>
      <c r="N16" s="672"/>
      <c r="O16" s="672"/>
      <c r="P16" s="673"/>
      <c r="Q16" s="32"/>
      <c r="T16" s="670">
        <v>-0.25</v>
      </c>
      <c r="U16" s="5"/>
    </row>
    <row r="17" spans="2:22" ht="36.75" customHeight="1" x14ac:dyDescent="0.2">
      <c r="B17" s="2083"/>
      <c r="C17" s="2084"/>
      <c r="D17" s="2084"/>
      <c r="E17" s="2084"/>
      <c r="F17" s="2084"/>
      <c r="G17" s="2084"/>
      <c r="H17" s="2084"/>
      <c r="I17" s="2084"/>
      <c r="J17" s="2084"/>
      <c r="K17" s="2084"/>
      <c r="L17" s="2084"/>
      <c r="M17" s="2084"/>
      <c r="N17" s="2084"/>
      <c r="O17" s="2084"/>
      <c r="P17" s="2085"/>
      <c r="Q17" s="5" t="s">
        <v>580</v>
      </c>
      <c r="U17" s="5"/>
      <c r="V17" s="12"/>
    </row>
    <row r="18" spans="2:22" ht="0.75" customHeight="1" x14ac:dyDescent="0.2">
      <c r="B18" s="674"/>
      <c r="C18" s="675"/>
      <c r="D18" s="675"/>
      <c r="E18" s="675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676"/>
      <c r="U18" s="5"/>
      <c r="V18" s="12"/>
    </row>
    <row r="19" spans="2:22" ht="12" hidden="1" customHeight="1" x14ac:dyDescent="0.2">
      <c r="B19" s="674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6"/>
      <c r="U19" s="5"/>
      <c r="V19" s="12"/>
    </row>
    <row r="20" spans="2:22" ht="9" customHeight="1" thickBot="1" x14ac:dyDescent="0.25">
      <c r="B20" s="95"/>
      <c r="P20" s="38"/>
      <c r="U20" s="5"/>
      <c r="V20" s="12"/>
    </row>
    <row r="21" spans="2:22" ht="36.75" customHeight="1" thickBot="1" x14ac:dyDescent="0.25">
      <c r="B21" s="2086" t="s">
        <v>250</v>
      </c>
      <c r="C21" s="2087"/>
      <c r="D21" s="2087"/>
      <c r="E21" s="2087"/>
      <c r="F21" s="2087"/>
      <c r="G21" s="2087"/>
      <c r="H21" s="2087"/>
      <c r="I21" s="2087"/>
      <c r="J21" s="2087"/>
      <c r="K21" s="2087"/>
      <c r="L21" s="2087"/>
      <c r="M21" s="2087"/>
      <c r="N21" s="2087"/>
      <c r="O21" s="2087"/>
      <c r="P21" s="2088"/>
      <c r="U21" s="5"/>
      <c r="V21" s="12"/>
    </row>
    <row r="22" spans="2:22" ht="28.5" customHeight="1" x14ac:dyDescent="0.4">
      <c r="B22" s="2068" t="s">
        <v>581</v>
      </c>
      <c r="C22" s="2069"/>
      <c r="D22" s="2069"/>
      <c r="E22" s="2069"/>
      <c r="F22" s="2069"/>
      <c r="G22" s="2069"/>
      <c r="H22" s="2069"/>
      <c r="I22" s="2069"/>
      <c r="J22" s="2069"/>
      <c r="K22" s="2069"/>
      <c r="L22" s="2069"/>
      <c r="M22" s="2069"/>
      <c r="N22" s="2069"/>
      <c r="O22" s="2069"/>
      <c r="P22" s="2070"/>
      <c r="U22" s="5"/>
    </row>
    <row r="23" spans="2:22" ht="1.5" customHeight="1" thickBot="1" x14ac:dyDescent="0.3">
      <c r="B23" s="677"/>
      <c r="C23" s="678"/>
      <c r="D23" s="678"/>
      <c r="E23" s="678"/>
      <c r="F23" s="678"/>
      <c r="G23" s="679"/>
      <c r="H23" s="680"/>
      <c r="I23" s="678"/>
      <c r="J23" s="678"/>
      <c r="K23" s="678"/>
      <c r="L23" s="678"/>
      <c r="M23" s="678"/>
      <c r="N23" s="678"/>
      <c r="O23" s="678"/>
      <c r="P23" s="681"/>
      <c r="U23" s="5"/>
    </row>
    <row r="24" spans="2:22" ht="6.75" customHeight="1" thickBot="1" x14ac:dyDescent="0.3">
      <c r="B24" s="682"/>
      <c r="C24" s="683"/>
      <c r="D24" s="683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684"/>
      <c r="U24" s="5"/>
    </row>
    <row r="25" spans="2:22" ht="24" customHeight="1" thickBot="1" x14ac:dyDescent="0.3">
      <c r="B25" s="2071" t="s">
        <v>582</v>
      </c>
      <c r="C25" s="2072"/>
      <c r="D25" s="2072"/>
      <c r="E25" s="2073" t="s">
        <v>583</v>
      </c>
      <c r="F25" s="2072"/>
      <c r="G25" s="2074"/>
      <c r="H25" s="685"/>
      <c r="I25" s="2075" t="s">
        <v>300</v>
      </c>
      <c r="J25" s="2076"/>
      <c r="K25" s="2076"/>
      <c r="L25" s="2076"/>
      <c r="M25" s="2076"/>
      <c r="N25" s="2076"/>
      <c r="O25" s="2076"/>
      <c r="P25" s="2077"/>
      <c r="R25" s="5" t="s">
        <v>255</v>
      </c>
      <c r="U25" s="5"/>
    </row>
    <row r="26" spans="2:22" ht="20.25" customHeight="1" x14ac:dyDescent="0.25">
      <c r="B26" s="622" t="s">
        <v>14</v>
      </c>
      <c r="C26" s="686" t="s">
        <v>15</v>
      </c>
      <c r="D26" s="687" t="s">
        <v>44</v>
      </c>
      <c r="E26" s="688" t="s">
        <v>14</v>
      </c>
      <c r="F26" s="646" t="s">
        <v>15</v>
      </c>
      <c r="G26" s="687" t="s">
        <v>44</v>
      </c>
      <c r="H26" s="689"/>
      <c r="I26" s="27" t="s">
        <v>584</v>
      </c>
      <c r="J26" s="224"/>
      <c r="K26" s="224"/>
      <c r="L26" s="224"/>
      <c r="M26" s="224"/>
      <c r="N26" s="224"/>
      <c r="O26" s="224"/>
      <c r="P26" s="119"/>
      <c r="U26" s="5"/>
    </row>
    <row r="27" spans="2:22" ht="21.75" customHeight="1" x14ac:dyDescent="0.25">
      <c r="B27" s="104">
        <v>5.875</v>
      </c>
      <c r="C27" s="93">
        <f>100-VLOOKUP(B27,'[1]Pricing '!$A$4726:$K$4752,11,FALSE)</f>
        <v>2.1452000000000027</v>
      </c>
      <c r="D27" s="100">
        <f t="shared" ref="D27:D38" si="0">C27-$T$16</f>
        <v>2.3952000000000027</v>
      </c>
      <c r="E27" s="690">
        <v>6.125</v>
      </c>
      <c r="F27" s="93">
        <f>100-VLOOKUP(E27,'[1]Pricing '!$A$4755:$K$4781,11,FALSE)</f>
        <v>1.9757000000000033</v>
      </c>
      <c r="G27" s="100">
        <f t="shared" ref="G27:G33" si="1">F27-$T$16</f>
        <v>2.2257000000000033</v>
      </c>
      <c r="H27" s="691"/>
      <c r="I27" s="692" t="s">
        <v>585</v>
      </c>
      <c r="J27" s="93"/>
      <c r="K27" s="223"/>
      <c r="L27" s="93"/>
      <c r="M27" s="93"/>
      <c r="N27" s="223"/>
      <c r="O27" s="93"/>
      <c r="P27" s="94"/>
      <c r="U27" s="5"/>
    </row>
    <row r="28" spans="2:22" ht="21.75" customHeight="1" x14ac:dyDescent="0.25">
      <c r="B28" s="104">
        <f t="shared" ref="B28:B40" si="2">B27+0.125</f>
        <v>6</v>
      </c>
      <c r="C28" s="93">
        <f>100-VLOOKUP(B28,'[1]Pricing '!$A$4726:$K$4752,11,FALSE)</f>
        <v>1.6422000000000025</v>
      </c>
      <c r="D28" s="100">
        <f t="shared" si="0"/>
        <v>1.8922000000000025</v>
      </c>
      <c r="E28" s="690">
        <f>+E27+0.125</f>
        <v>6.25</v>
      </c>
      <c r="F28" s="93">
        <f>100-VLOOKUP(E28,'[1]Pricing '!$A$4755:$K$4781,11,FALSE)</f>
        <v>1.672300000000007</v>
      </c>
      <c r="G28" s="100">
        <f t="shared" si="1"/>
        <v>1.922300000000007</v>
      </c>
      <c r="H28" s="691"/>
      <c r="I28" s="692" t="s">
        <v>621</v>
      </c>
      <c r="J28" s="93"/>
      <c r="K28" s="223"/>
      <c r="L28" s="93"/>
      <c r="M28" s="93"/>
      <c r="N28" s="223"/>
      <c r="O28" s="93"/>
      <c r="P28" s="94"/>
      <c r="U28" s="5"/>
    </row>
    <row r="29" spans="2:22" ht="21.75" customHeight="1" x14ac:dyDescent="0.25">
      <c r="B29" s="104">
        <f t="shared" si="2"/>
        <v>6.125</v>
      </c>
      <c r="C29" s="93">
        <f>100-VLOOKUP(B29,'[1]Pricing '!$A$4726:$K$4752,11,FALSE)</f>
        <v>1.1822999999999979</v>
      </c>
      <c r="D29" s="100">
        <f t="shared" si="0"/>
        <v>1.4322999999999979</v>
      </c>
      <c r="E29" s="690">
        <f t="shared" ref="E29:E38" si="3">E28+0.125</f>
        <v>6.375</v>
      </c>
      <c r="F29" s="93">
        <f>100-VLOOKUP(E29,'[1]Pricing '!$A$4755:$K$4781,11,FALSE)</f>
        <v>1.3914000000000044</v>
      </c>
      <c r="G29" s="100">
        <f t="shared" si="1"/>
        <v>1.6414000000000044</v>
      </c>
      <c r="H29" s="691"/>
      <c r="I29" s="692" t="s">
        <v>586</v>
      </c>
      <c r="J29" s="93"/>
      <c r="K29" s="223"/>
      <c r="L29" s="93"/>
      <c r="M29" s="93"/>
      <c r="N29" s="223"/>
      <c r="O29" s="93"/>
      <c r="P29" s="94"/>
      <c r="U29" s="5"/>
    </row>
    <row r="30" spans="2:22" ht="21.75" customHeight="1" x14ac:dyDescent="0.25">
      <c r="B30" s="104">
        <f t="shared" si="2"/>
        <v>6.25</v>
      </c>
      <c r="C30" s="93">
        <f>100-VLOOKUP(B30,'[1]Pricing '!$A$4726:$K$4752,11,FALSE)</f>
        <v>0.76879999999999882</v>
      </c>
      <c r="D30" s="100">
        <f t="shared" si="0"/>
        <v>1.0187999999999988</v>
      </c>
      <c r="E30" s="690">
        <f t="shared" si="3"/>
        <v>6.5</v>
      </c>
      <c r="F30" s="93">
        <f>100-VLOOKUP(E30,'[1]Pricing '!$A$4755:$K$4781,11,FALSE)</f>
        <v>1.1384000000000043</v>
      </c>
      <c r="G30" s="100">
        <f t="shared" si="1"/>
        <v>1.3884000000000043</v>
      </c>
      <c r="H30" s="691"/>
      <c r="I30" s="692" t="s">
        <v>587</v>
      </c>
      <c r="J30" s="93"/>
      <c r="K30" s="223"/>
      <c r="L30" s="93"/>
      <c r="M30" s="93"/>
      <c r="N30" s="223"/>
      <c r="O30" s="93"/>
      <c r="P30" s="94"/>
      <c r="U30" s="5"/>
    </row>
    <row r="31" spans="2:22" ht="21.75" customHeight="1" x14ac:dyDescent="0.25">
      <c r="B31" s="104">
        <f t="shared" si="2"/>
        <v>6.375</v>
      </c>
      <c r="C31" s="93">
        <f>100-VLOOKUP(B31,'[1]Pricing '!$A$4726:$K$4752,11,FALSE)</f>
        <v>0.40550000000000352</v>
      </c>
      <c r="D31" s="100">
        <f t="shared" si="0"/>
        <v>0.65550000000000352</v>
      </c>
      <c r="E31" s="690">
        <f t="shared" si="3"/>
        <v>6.625</v>
      </c>
      <c r="F31" s="93">
        <f>100-VLOOKUP(E31,'[1]Pricing '!$A$4755:$K$4781,11,FALSE)</f>
        <v>0.92829999999999302</v>
      </c>
      <c r="G31" s="100">
        <f t="shared" si="1"/>
        <v>1.178299999999993</v>
      </c>
      <c r="H31" s="691"/>
      <c r="I31" s="692" t="s">
        <v>588</v>
      </c>
      <c r="J31" s="93"/>
      <c r="K31" s="223"/>
      <c r="L31" s="93"/>
      <c r="M31" s="93"/>
      <c r="N31" s="223"/>
      <c r="O31" s="93"/>
      <c r="P31" s="94"/>
      <c r="U31" s="5"/>
    </row>
    <row r="32" spans="2:22" ht="21.75" customHeight="1" x14ac:dyDescent="0.25">
      <c r="B32" s="104">
        <f t="shared" si="2"/>
        <v>6.5</v>
      </c>
      <c r="C32" s="93">
        <f>100-VLOOKUP(B32,'[1]Pricing '!$A$4726:$K$4752,11,FALSE)</f>
        <v>9.4899999999995543E-2</v>
      </c>
      <c r="D32" s="100">
        <f t="shared" si="0"/>
        <v>0.34489999999999554</v>
      </c>
      <c r="E32" s="690">
        <f t="shared" si="3"/>
        <v>6.75</v>
      </c>
      <c r="F32" s="93">
        <f>100-VLOOKUP(E32,'[1]Pricing '!$A$4755:$K$4781,11,FALSE)</f>
        <v>0.68479999999999563</v>
      </c>
      <c r="G32" s="100">
        <f t="shared" si="1"/>
        <v>0.93479999999999563</v>
      </c>
      <c r="H32" s="691"/>
      <c r="I32" s="692" t="s">
        <v>622</v>
      </c>
      <c r="J32" s="93"/>
      <c r="K32" s="223"/>
      <c r="L32" s="93"/>
      <c r="M32" s="93"/>
      <c r="N32" s="223"/>
      <c r="O32" s="93"/>
      <c r="P32" s="94"/>
      <c r="U32" s="5"/>
    </row>
    <row r="33" spans="2:21" ht="21.75" customHeight="1" x14ac:dyDescent="0.25">
      <c r="B33" s="104">
        <f t="shared" si="2"/>
        <v>6.625</v>
      </c>
      <c r="C33" s="93">
        <f>100-VLOOKUP(B33,'[1]Pricing '!$A$4726:$K$4752,11,FALSE)</f>
        <v>-0.18959999999999866</v>
      </c>
      <c r="D33" s="100">
        <f t="shared" si="0"/>
        <v>6.0400000000001342E-2</v>
      </c>
      <c r="E33" s="690">
        <f t="shared" si="3"/>
        <v>6.875</v>
      </c>
      <c r="F33" s="93">
        <f>100-VLOOKUP(E33,'[1]Pricing '!$A$4755:$K$4781,11,FALSE)</f>
        <v>0.72849999999999682</v>
      </c>
      <c r="G33" s="100">
        <f t="shared" si="1"/>
        <v>0.97849999999999682</v>
      </c>
      <c r="H33" s="691"/>
      <c r="I33" s="692" t="s">
        <v>589</v>
      </c>
      <c r="J33" s="93"/>
      <c r="K33" s="223"/>
      <c r="L33" s="93"/>
      <c r="M33" s="93"/>
      <c r="N33" s="223"/>
      <c r="O33" s="93"/>
      <c r="P33" s="94"/>
      <c r="U33" s="5"/>
    </row>
    <row r="34" spans="2:21" ht="21.75" customHeight="1" x14ac:dyDescent="0.25">
      <c r="B34" s="104">
        <f t="shared" si="2"/>
        <v>6.75</v>
      </c>
      <c r="C34" s="93">
        <f>100-VLOOKUP(B34,'[1]Pricing '!$A$4726:$K$4752,11,FALSE)</f>
        <v>-0.45879999999999654</v>
      </c>
      <c r="D34" s="100">
        <f t="shared" si="0"/>
        <v>-0.20879999999999654</v>
      </c>
      <c r="E34" s="690">
        <f t="shared" si="3"/>
        <v>7</v>
      </c>
      <c r="F34" s="93">
        <f>100-VLOOKUP(E34,'[1]Pricing '!$A$4755:$K$4781,11,FALSE)</f>
        <v>0.52150000000000318</v>
      </c>
      <c r="G34" s="100">
        <f t="shared" ref="G34" si="4">F34-$T$16</f>
        <v>0.77150000000000318</v>
      </c>
      <c r="H34" s="691"/>
      <c r="I34" s="692" t="s">
        <v>590</v>
      </c>
      <c r="J34" s="93"/>
      <c r="K34" s="223"/>
      <c r="L34" s="93"/>
      <c r="M34" s="93"/>
      <c r="N34" s="223"/>
      <c r="O34" s="93"/>
      <c r="P34" s="94"/>
      <c r="U34" s="5"/>
    </row>
    <row r="35" spans="2:21" ht="21.75" customHeight="1" x14ac:dyDescent="0.25">
      <c r="B35" s="104">
        <f t="shared" si="2"/>
        <v>6.875</v>
      </c>
      <c r="C35" s="93">
        <f>100-VLOOKUP(B35,'[1]Pricing '!$A$4726:$K$4752,11,FALSE)</f>
        <v>-0.44299999999999784</v>
      </c>
      <c r="D35" s="100">
        <f t="shared" si="0"/>
        <v>-0.19299999999999784</v>
      </c>
      <c r="E35" s="690">
        <f t="shared" si="3"/>
        <v>7.125</v>
      </c>
      <c r="F35" s="93">
        <f>100-VLOOKUP(E35,'[1]Pricing '!$A$4755:$K$4781,11,FALSE)</f>
        <v>0.33110000000000639</v>
      </c>
      <c r="G35" s="100">
        <f t="shared" ref="G35:G37" si="5">F35-$T$16</f>
        <v>0.58110000000000639</v>
      </c>
      <c r="H35" s="691"/>
      <c r="I35" s="692" t="s">
        <v>620</v>
      </c>
      <c r="J35" s="93"/>
      <c r="K35" s="223"/>
      <c r="L35" s="93"/>
      <c r="M35" s="93"/>
      <c r="N35" s="223"/>
      <c r="O35" s="93"/>
      <c r="P35" s="94"/>
      <c r="U35" s="5"/>
    </row>
    <row r="36" spans="2:21" ht="21.75" customHeight="1" thickBot="1" x14ac:dyDescent="0.3">
      <c r="B36" s="104">
        <f t="shared" si="2"/>
        <v>7</v>
      </c>
      <c r="C36" s="93">
        <f>100-VLOOKUP(B36,'[1]Pricing '!$A$4726:$K$4752,11,FALSE)</f>
        <v>-0.70229999999999393</v>
      </c>
      <c r="D36" s="100">
        <f t="shared" si="0"/>
        <v>-0.45229999999999393</v>
      </c>
      <c r="E36" s="690">
        <f t="shared" si="3"/>
        <v>7.25</v>
      </c>
      <c r="F36" s="93">
        <f>100-VLOOKUP(E36,'[1]Pricing '!$A$4755:$K$4781,11,FALSE)</f>
        <v>0.16870000000000118</v>
      </c>
      <c r="G36" s="100">
        <f t="shared" si="5"/>
        <v>0.41870000000000118</v>
      </c>
      <c r="H36" s="691"/>
      <c r="I36" s="692" t="s">
        <v>623</v>
      </c>
      <c r="J36" s="93"/>
      <c r="K36" s="223"/>
      <c r="L36" s="93"/>
      <c r="M36" s="93"/>
      <c r="N36" s="223"/>
      <c r="O36" s="93"/>
      <c r="P36" s="94"/>
      <c r="U36" s="5"/>
    </row>
    <row r="37" spans="2:21" ht="21.75" customHeight="1" x14ac:dyDescent="0.25">
      <c r="B37" s="104">
        <f t="shared" si="2"/>
        <v>7.125</v>
      </c>
      <c r="C37" s="93">
        <f>100-VLOOKUP(B37,'[1]Pricing '!$A$4726:$K$4752,11,FALSE)</f>
        <v>-0.95189999999999486</v>
      </c>
      <c r="D37" s="100">
        <f t="shared" si="0"/>
        <v>-0.70189999999999486</v>
      </c>
      <c r="E37" s="690">
        <f t="shared" si="3"/>
        <v>7.375</v>
      </c>
      <c r="F37" s="93">
        <f>100-VLOOKUP(E37,'[1]Pricing '!$A$4755:$K$4781,11,FALSE)</f>
        <v>4.9099999999995703E-2</v>
      </c>
      <c r="G37" s="100">
        <f t="shared" si="5"/>
        <v>0.2990999999999957</v>
      </c>
      <c r="H37" s="691"/>
      <c r="I37" s="693" t="s">
        <v>591</v>
      </c>
      <c r="J37" s="694"/>
      <c r="K37" s="695"/>
      <c r="L37" s="694"/>
      <c r="M37" s="694"/>
      <c r="N37" s="695"/>
      <c r="O37" s="694"/>
      <c r="P37" s="696"/>
      <c r="U37" s="5"/>
    </row>
    <row r="38" spans="2:21" ht="21.75" customHeight="1" x14ac:dyDescent="0.25">
      <c r="B38" s="104">
        <f t="shared" si="2"/>
        <v>7.25</v>
      </c>
      <c r="C38" s="93">
        <f>100-VLOOKUP(B38,'[1]Pricing '!$A$4726:$K$4752,11,FALSE)</f>
        <v>-1.1895999999999987</v>
      </c>
      <c r="D38" s="100">
        <f t="shared" si="0"/>
        <v>-0.93959999999999866</v>
      </c>
      <c r="E38" s="690">
        <f t="shared" si="3"/>
        <v>7.5</v>
      </c>
      <c r="F38" s="93">
        <f>100-VLOOKUP(E38,'[1]Pricing '!$A$4755:$K$4781,11,FALSE)</f>
        <v>-8.2200000000000273E-2</v>
      </c>
      <c r="G38" s="100">
        <f t="shared" ref="G38" si="6">F38-$T$16</f>
        <v>0.16779999999999973</v>
      </c>
      <c r="H38" s="691"/>
      <c r="I38" s="697" t="s">
        <v>592</v>
      </c>
      <c r="J38" s="93"/>
      <c r="K38" s="223"/>
      <c r="L38" s="93"/>
      <c r="M38" s="93"/>
      <c r="N38" s="223"/>
      <c r="O38" s="93"/>
      <c r="P38" s="94"/>
      <c r="U38" s="5"/>
    </row>
    <row r="39" spans="2:21" ht="21.75" customHeight="1" x14ac:dyDescent="0.25">
      <c r="B39" s="104">
        <f t="shared" si="2"/>
        <v>7.375</v>
      </c>
      <c r="C39" s="93">
        <f>100-VLOOKUP(B39,'[1]Pricing '!$A$4726:$K$4752,11,FALSE)</f>
        <v>-1.4154000000000053</v>
      </c>
      <c r="D39" s="100">
        <f t="shared" ref="D39" si="7">C39-$T$16</f>
        <v>-1.1654000000000053</v>
      </c>
      <c r="E39" s="690"/>
      <c r="F39" s="93"/>
      <c r="G39" s="100"/>
      <c r="H39" s="691"/>
      <c r="I39" s="97" t="s">
        <v>593</v>
      </c>
      <c r="J39" s="645" t="s">
        <v>594</v>
      </c>
      <c r="L39" s="93"/>
      <c r="M39" s="93"/>
      <c r="N39" s="223"/>
      <c r="O39" s="93"/>
      <c r="P39" s="94"/>
      <c r="U39" s="5"/>
    </row>
    <row r="40" spans="2:21" ht="21.75" customHeight="1" thickBot="1" x14ac:dyDescent="0.3">
      <c r="B40" s="104">
        <f t="shared" si="2"/>
        <v>7.5</v>
      </c>
      <c r="C40" s="93">
        <f>100-VLOOKUP(B40,'[1]Pricing '!$A$4726:$K$4752,11,FALSE)</f>
        <v>-1.629800000000003</v>
      </c>
      <c r="D40" s="100">
        <f t="shared" ref="D40" si="8">C40-$T$16</f>
        <v>-1.379800000000003</v>
      </c>
      <c r="E40" s="690"/>
      <c r="F40" s="93"/>
      <c r="G40" s="100"/>
      <c r="H40" s="691"/>
      <c r="I40" s="96" t="s">
        <v>595</v>
      </c>
      <c r="J40" s="698" t="s">
        <v>596</v>
      </c>
      <c r="L40" s="539"/>
      <c r="M40" s="539"/>
      <c r="N40" s="223"/>
      <c r="O40" s="93"/>
      <c r="P40" s="94"/>
      <c r="U40" s="5"/>
    </row>
    <row r="41" spans="2:21" ht="31.5" customHeight="1" thickBot="1" x14ac:dyDescent="0.25">
      <c r="B41" s="1089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0"/>
      <c r="P41" s="1091"/>
      <c r="U41" s="5"/>
    </row>
    <row r="42" spans="2:21" ht="18.75" customHeight="1" thickBot="1" x14ac:dyDescent="0.3">
      <c r="B42" s="95"/>
      <c r="D42" s="2051" t="s">
        <v>199</v>
      </c>
      <c r="E42" s="2052"/>
      <c r="F42" s="2052"/>
      <c r="G42" s="2052"/>
      <c r="H42" s="2052"/>
      <c r="I42" s="2052"/>
      <c r="J42" s="2052"/>
      <c r="K42" s="2052"/>
      <c r="L42" s="2052"/>
      <c r="M42" s="2052"/>
      <c r="N42" s="2052"/>
      <c r="O42" s="2058"/>
      <c r="P42" s="121"/>
      <c r="U42" s="5"/>
    </row>
    <row r="43" spans="2:21" ht="21.75" customHeight="1" thickBot="1" x14ac:dyDescent="0.3">
      <c r="B43" s="95"/>
      <c r="D43" s="2037" t="s">
        <v>736</v>
      </c>
      <c r="E43" s="2059"/>
      <c r="F43" s="2037" t="s">
        <v>597</v>
      </c>
      <c r="G43" s="2060"/>
      <c r="H43" s="1092" t="s">
        <v>598</v>
      </c>
      <c r="I43" s="1093" t="s">
        <v>158</v>
      </c>
      <c r="J43" s="1093" t="s">
        <v>159</v>
      </c>
      <c r="K43" s="1093" t="s">
        <v>160</v>
      </c>
      <c r="L43" s="1093" t="s">
        <v>101</v>
      </c>
      <c r="M43" s="1093" t="s">
        <v>102</v>
      </c>
      <c r="N43" s="1093" t="s">
        <v>103</v>
      </c>
      <c r="O43" s="1094" t="s">
        <v>104</v>
      </c>
      <c r="P43" s="121"/>
      <c r="U43" s="5"/>
    </row>
    <row r="44" spans="2:21" ht="18.75" customHeight="1" x14ac:dyDescent="0.25">
      <c r="B44" s="95"/>
      <c r="D44" s="2027" t="s">
        <v>737</v>
      </c>
      <c r="E44" s="2045"/>
      <c r="F44" s="2047" t="s">
        <v>599</v>
      </c>
      <c r="G44" s="2048"/>
      <c r="H44" s="444">
        <v>-1.115</v>
      </c>
      <c r="I44" s="401">
        <v>-0.995</v>
      </c>
      <c r="J44" s="401">
        <v>-0.98499999999999999</v>
      </c>
      <c r="K44" s="401">
        <v>-0.86</v>
      </c>
      <c r="L44" s="401">
        <v>-0.48499999999999999</v>
      </c>
      <c r="M44" s="401">
        <v>-0.23499999999999999</v>
      </c>
      <c r="N44" s="401">
        <v>0.52</v>
      </c>
      <c r="O44" s="445">
        <v>0.90500000000000003</v>
      </c>
      <c r="P44" s="121"/>
      <c r="U44" s="5"/>
    </row>
    <row r="45" spans="2:21" ht="26.25" customHeight="1" x14ac:dyDescent="0.25">
      <c r="B45" s="95"/>
      <c r="D45" s="2061"/>
      <c r="E45" s="2062"/>
      <c r="F45" s="2065" t="s">
        <v>110</v>
      </c>
      <c r="G45" s="2066"/>
      <c r="H45" s="1191">
        <v>-1.115</v>
      </c>
      <c r="I45" s="1095">
        <v>-0.995</v>
      </c>
      <c r="J45" s="1095">
        <v>-0.98499999999999999</v>
      </c>
      <c r="K45" s="1095">
        <v>-0.86</v>
      </c>
      <c r="L45" s="1095">
        <v>-0.48499999999999999</v>
      </c>
      <c r="M45" s="1095">
        <v>-0.23499999999999999</v>
      </c>
      <c r="N45" s="1095">
        <v>0.52</v>
      </c>
      <c r="O45" s="1096">
        <v>0.90500000000000003</v>
      </c>
      <c r="P45" s="121"/>
      <c r="U45" s="5"/>
    </row>
    <row r="46" spans="2:21" ht="24" customHeight="1" x14ac:dyDescent="0.25">
      <c r="B46" s="95"/>
      <c r="D46" s="2061"/>
      <c r="E46" s="2062"/>
      <c r="F46" s="2067" t="s">
        <v>53</v>
      </c>
      <c r="G46" s="1486"/>
      <c r="H46" s="1191">
        <v>-0.995</v>
      </c>
      <c r="I46" s="1095">
        <v>-0.995</v>
      </c>
      <c r="J46" s="1095">
        <v>-0.86499999999999999</v>
      </c>
      <c r="K46" s="1095">
        <v>-0.74</v>
      </c>
      <c r="L46" s="1095">
        <v>-0.35499999999999998</v>
      </c>
      <c r="M46" s="1095">
        <v>-0.10500000000000001</v>
      </c>
      <c r="N46" s="1095">
        <v>0.52</v>
      </c>
      <c r="O46" s="1096">
        <v>1.405</v>
      </c>
      <c r="P46" s="121"/>
      <c r="U46" s="5"/>
    </row>
    <row r="47" spans="2:21" ht="24" customHeight="1" x14ac:dyDescent="0.25">
      <c r="B47" s="95"/>
      <c r="D47" s="2061"/>
      <c r="E47" s="2062"/>
      <c r="F47" s="2065" t="s">
        <v>54</v>
      </c>
      <c r="G47" s="2066"/>
      <c r="H47" s="1191">
        <v>-0.86499999999999999</v>
      </c>
      <c r="I47" s="1095">
        <v>-0.86499999999999999</v>
      </c>
      <c r="J47" s="1095">
        <v>-0.73499999999999999</v>
      </c>
      <c r="K47" s="1095">
        <v>-0.61</v>
      </c>
      <c r="L47" s="1095">
        <v>-0.10500000000000001</v>
      </c>
      <c r="M47" s="1095">
        <v>1.9999999999999997E-2</v>
      </c>
      <c r="N47" s="1095">
        <v>0.77</v>
      </c>
      <c r="O47" s="1096">
        <v>1.655</v>
      </c>
      <c r="P47" s="121"/>
      <c r="U47" s="5"/>
    </row>
    <row r="48" spans="2:21" ht="24" customHeight="1" x14ac:dyDescent="0.25">
      <c r="B48" s="95"/>
      <c r="D48" s="2061"/>
      <c r="E48" s="2062"/>
      <c r="F48" s="2067" t="s">
        <v>55</v>
      </c>
      <c r="G48" s="1486"/>
      <c r="H48" s="1191">
        <v>-0.73499999999999999</v>
      </c>
      <c r="I48" s="1095">
        <v>-0.61499999999999999</v>
      </c>
      <c r="J48" s="1095">
        <v>-0.48499999999999999</v>
      </c>
      <c r="K48" s="1095">
        <v>-0.22999999999999998</v>
      </c>
      <c r="L48" s="1095">
        <v>0.02</v>
      </c>
      <c r="M48" s="1095">
        <v>0.02</v>
      </c>
      <c r="N48" s="1095">
        <v>1.1599999999999999</v>
      </c>
      <c r="O48" s="1096">
        <v>2.0449999999999999</v>
      </c>
      <c r="P48" s="121"/>
      <c r="U48" s="5"/>
    </row>
    <row r="49" spans="2:16" s="5" customFormat="1" ht="24" customHeight="1" thickBot="1" x14ac:dyDescent="0.3">
      <c r="B49" s="95"/>
      <c r="D49" s="2029"/>
      <c r="E49" s="2046"/>
      <c r="F49" s="2063" t="s">
        <v>57</v>
      </c>
      <c r="G49" s="2064"/>
      <c r="H49" s="482">
        <v>-0.48499999999999999</v>
      </c>
      <c r="I49" s="115">
        <v>-0.36499999999999999</v>
      </c>
      <c r="J49" s="115">
        <v>-0.105</v>
      </c>
      <c r="K49" s="115">
        <v>-0.105</v>
      </c>
      <c r="L49" s="115">
        <v>0.02</v>
      </c>
      <c r="M49" s="115">
        <v>0.53</v>
      </c>
      <c r="N49" s="115">
        <v>2.0350000000000001</v>
      </c>
      <c r="O49" s="225">
        <v>2.68</v>
      </c>
      <c r="P49" s="121"/>
    </row>
    <row r="50" spans="2:16" s="5" customFormat="1" ht="24" customHeight="1" thickBot="1" x14ac:dyDescent="0.3">
      <c r="B50" s="1097"/>
      <c r="C50" s="699"/>
      <c r="P50" s="121"/>
    </row>
    <row r="51" spans="2:16" s="5" customFormat="1" ht="24" customHeight="1" thickBot="1" x14ac:dyDescent="0.3">
      <c r="B51" s="97"/>
      <c r="C51" s="27"/>
      <c r="D51" s="2051" t="s">
        <v>60</v>
      </c>
      <c r="E51" s="2052"/>
      <c r="F51" s="2052"/>
      <c r="G51" s="2052"/>
      <c r="H51" s="2052"/>
      <c r="I51" s="2052"/>
      <c r="J51" s="2052"/>
      <c r="K51" s="2052"/>
      <c r="L51" s="2052"/>
      <c r="M51" s="2052"/>
      <c r="N51" s="2052"/>
      <c r="O51" s="2058"/>
      <c r="P51" s="121"/>
    </row>
    <row r="52" spans="2:16" s="5" customFormat="1" ht="21" customHeight="1" thickBot="1" x14ac:dyDescent="0.3">
      <c r="B52" s="95"/>
      <c r="D52" s="2035" t="s">
        <v>736</v>
      </c>
      <c r="E52" s="2036"/>
      <c r="F52" s="2037" t="s">
        <v>597</v>
      </c>
      <c r="G52" s="2038"/>
      <c r="H52" s="1093" t="s">
        <v>598</v>
      </c>
      <c r="I52" s="1093" t="s">
        <v>158</v>
      </c>
      <c r="J52" s="1093" t="s">
        <v>159</v>
      </c>
      <c r="K52" s="1093" t="s">
        <v>160</v>
      </c>
      <c r="L52" s="1093" t="s">
        <v>101</v>
      </c>
      <c r="M52" s="1093" t="s">
        <v>102</v>
      </c>
      <c r="N52" s="1093" t="s">
        <v>103</v>
      </c>
      <c r="O52" s="1098" t="s">
        <v>104</v>
      </c>
      <c r="P52" s="121"/>
    </row>
    <row r="53" spans="2:16" s="5" customFormat="1" ht="26.25" customHeight="1" x14ac:dyDescent="0.25">
      <c r="B53" s="95"/>
      <c r="D53" s="2027" t="s">
        <v>737</v>
      </c>
      <c r="E53" s="2045"/>
      <c r="F53" s="2047" t="s">
        <v>61</v>
      </c>
      <c r="G53" s="2048"/>
      <c r="H53" s="1099">
        <v>0.2</v>
      </c>
      <c r="I53" s="1100">
        <v>0.25</v>
      </c>
      <c r="J53" s="1100">
        <v>0.3</v>
      </c>
      <c r="K53" s="1100">
        <v>0.45</v>
      </c>
      <c r="L53" s="1100">
        <v>0.75</v>
      </c>
      <c r="M53" s="1100">
        <v>1.05</v>
      </c>
      <c r="N53" s="401" t="s">
        <v>56</v>
      </c>
      <c r="O53" s="445" t="s">
        <v>56</v>
      </c>
      <c r="P53" s="121"/>
    </row>
    <row r="54" spans="2:16" s="5" customFormat="1" ht="24" customHeight="1" thickBot="1" x14ac:dyDescent="0.3">
      <c r="B54" s="95"/>
      <c r="D54" s="2029"/>
      <c r="E54" s="2046"/>
      <c r="F54" s="2049" t="s">
        <v>600</v>
      </c>
      <c r="G54" s="2050"/>
      <c r="H54" s="643">
        <v>0</v>
      </c>
      <c r="I54" s="700">
        <v>0</v>
      </c>
      <c r="J54" s="700">
        <v>0.25</v>
      </c>
      <c r="K54" s="700">
        <v>0.25</v>
      </c>
      <c r="L54" s="700">
        <v>0.5</v>
      </c>
      <c r="M54" s="700">
        <v>0.75</v>
      </c>
      <c r="N54" s="115" t="s">
        <v>56</v>
      </c>
      <c r="O54" s="225" t="s">
        <v>56</v>
      </c>
      <c r="P54" s="121"/>
    </row>
    <row r="55" spans="2:16" s="5" customFormat="1" ht="21" customHeight="1" thickBot="1" x14ac:dyDescent="0.3">
      <c r="B55" s="95"/>
      <c r="P55" s="121"/>
    </row>
    <row r="56" spans="2:16" s="5" customFormat="1" ht="21" customHeight="1" thickBot="1" x14ac:dyDescent="0.3">
      <c r="B56" s="95"/>
      <c r="D56" s="2051" t="s">
        <v>601</v>
      </c>
      <c r="E56" s="2052"/>
      <c r="F56" s="2053"/>
      <c r="G56" s="2053"/>
      <c r="H56" s="2053"/>
      <c r="I56" s="2053"/>
      <c r="J56" s="2053"/>
      <c r="K56" s="2053"/>
      <c r="L56" s="2053"/>
      <c r="M56" s="2053"/>
      <c r="N56" s="2053"/>
      <c r="O56" s="2054"/>
      <c r="P56" s="121"/>
    </row>
    <row r="57" spans="2:16" s="5" customFormat="1" ht="21" customHeight="1" thickBot="1" x14ac:dyDescent="0.3">
      <c r="B57" s="95"/>
      <c r="D57" s="2035" t="s">
        <v>736</v>
      </c>
      <c r="E57" s="2055"/>
      <c r="F57" s="2056" t="s">
        <v>597</v>
      </c>
      <c r="G57" s="2057"/>
      <c r="H57" s="1093" t="s">
        <v>598</v>
      </c>
      <c r="I57" s="1093" t="s">
        <v>158</v>
      </c>
      <c r="J57" s="1093" t="s">
        <v>159</v>
      </c>
      <c r="K57" s="1093" t="s">
        <v>160</v>
      </c>
      <c r="L57" s="1093" t="s">
        <v>101</v>
      </c>
      <c r="M57" s="1093" t="s">
        <v>102</v>
      </c>
      <c r="N57" s="1093" t="s">
        <v>103</v>
      </c>
      <c r="O57" s="1094" t="s">
        <v>104</v>
      </c>
      <c r="P57" s="38"/>
    </row>
    <row r="58" spans="2:16" s="5" customFormat="1" ht="21" customHeight="1" x14ac:dyDescent="0.25">
      <c r="B58" s="95"/>
      <c r="D58" s="2027" t="s">
        <v>737</v>
      </c>
      <c r="E58" s="2028"/>
      <c r="F58" s="2031" t="s">
        <v>602</v>
      </c>
      <c r="G58" s="2032"/>
      <c r="H58" s="1101">
        <v>-0.25</v>
      </c>
      <c r="I58" s="1102">
        <v>-0.25</v>
      </c>
      <c r="J58" s="1102">
        <v>-0.25</v>
      </c>
      <c r="K58" s="1102">
        <v>-0.25</v>
      </c>
      <c r="L58" s="1102">
        <v>-0.25</v>
      </c>
      <c r="M58" s="1102">
        <v>-0.25</v>
      </c>
      <c r="N58" s="1102">
        <v>0</v>
      </c>
      <c r="O58" s="1103">
        <v>0</v>
      </c>
      <c r="P58" s="38"/>
    </row>
    <row r="59" spans="2:16" s="5" customFormat="1" ht="21" customHeight="1" thickBot="1" x14ac:dyDescent="0.3">
      <c r="B59" s="95"/>
      <c r="D59" s="2029"/>
      <c r="E59" s="2030"/>
      <c r="F59" s="2033" t="s">
        <v>603</v>
      </c>
      <c r="G59" s="2034"/>
      <c r="H59" s="80">
        <v>0.125</v>
      </c>
      <c r="I59" s="554">
        <v>0.125</v>
      </c>
      <c r="J59" s="554">
        <v>0.125</v>
      </c>
      <c r="K59" s="554">
        <v>0.25</v>
      </c>
      <c r="L59" s="554">
        <v>0.375</v>
      </c>
      <c r="M59" s="554">
        <v>1</v>
      </c>
      <c r="N59" s="554" t="s">
        <v>56</v>
      </c>
      <c r="O59" s="631" t="s">
        <v>56</v>
      </c>
      <c r="P59" s="701"/>
    </row>
    <row r="60" spans="2:16" s="5" customFormat="1" ht="21" customHeight="1" thickBot="1" x14ac:dyDescent="0.3">
      <c r="B60" s="95"/>
      <c r="P60" s="121"/>
    </row>
    <row r="61" spans="2:16" s="5" customFormat="1" ht="21" customHeight="1" thickBot="1" x14ac:dyDescent="0.25">
      <c r="B61" s="95"/>
      <c r="D61" s="2098" t="s">
        <v>738</v>
      </c>
      <c r="E61" s="2099"/>
      <c r="F61" s="2099"/>
      <c r="G61" s="2099"/>
      <c r="H61" s="2099"/>
      <c r="I61" s="2099"/>
      <c r="J61" s="2099"/>
      <c r="K61" s="2099"/>
      <c r="L61" s="2099"/>
      <c r="M61" s="2099"/>
      <c r="N61" s="2099"/>
      <c r="O61" s="2100"/>
      <c r="P61" s="701"/>
    </row>
    <row r="62" spans="2:16" s="5" customFormat="1" ht="21" customHeight="1" thickBot="1" x14ac:dyDescent="0.3">
      <c r="B62" s="95"/>
      <c r="D62" s="2037" t="s">
        <v>736</v>
      </c>
      <c r="E62" s="2060"/>
      <c r="F62" s="2037" t="s">
        <v>597</v>
      </c>
      <c r="G62" s="2059"/>
      <c r="H62" s="1104" t="s">
        <v>598</v>
      </c>
      <c r="I62" s="1093" t="s">
        <v>158</v>
      </c>
      <c r="J62" s="1093" t="s">
        <v>159</v>
      </c>
      <c r="K62" s="1093" t="s">
        <v>160</v>
      </c>
      <c r="L62" s="1093" t="s">
        <v>101</v>
      </c>
      <c r="M62" s="1093" t="s">
        <v>102</v>
      </c>
      <c r="N62" s="1094" t="s">
        <v>103</v>
      </c>
      <c r="O62" s="1105" t="s">
        <v>104</v>
      </c>
      <c r="P62" s="38"/>
    </row>
    <row r="63" spans="2:16" s="5" customFormat="1" ht="21" customHeight="1" x14ac:dyDescent="0.25">
      <c r="B63" s="709"/>
      <c r="C63" s="17"/>
      <c r="D63" s="2027" t="s">
        <v>737</v>
      </c>
      <c r="E63" s="2028"/>
      <c r="F63" s="1539" t="s">
        <v>681</v>
      </c>
      <c r="G63" s="1641"/>
      <c r="H63" s="553">
        <v>0</v>
      </c>
      <c r="I63" s="401">
        <v>0</v>
      </c>
      <c r="J63" s="401">
        <v>0</v>
      </c>
      <c r="K63" s="401">
        <v>-0.125</v>
      </c>
      <c r="L63" s="401">
        <v>-0.125</v>
      </c>
      <c r="M63" s="401">
        <v>-0.25</v>
      </c>
      <c r="N63" s="401">
        <v>-0.25</v>
      </c>
      <c r="O63" s="445">
        <v>-0.25</v>
      </c>
      <c r="P63" s="708"/>
    </row>
    <row r="64" spans="2:16" s="5" customFormat="1" ht="21" customHeight="1" thickBot="1" x14ac:dyDescent="0.3">
      <c r="B64" s="95"/>
      <c r="D64" s="2029"/>
      <c r="E64" s="2030"/>
      <c r="F64" s="2101" t="s">
        <v>682</v>
      </c>
      <c r="G64" s="2102"/>
      <c r="H64" s="403">
        <v>0.125</v>
      </c>
      <c r="I64" s="115">
        <v>0.125</v>
      </c>
      <c r="J64" s="115">
        <v>0.125</v>
      </c>
      <c r="K64" s="115">
        <v>0.25</v>
      </c>
      <c r="L64" s="115">
        <v>0.25</v>
      </c>
      <c r="M64" s="115">
        <v>0.5</v>
      </c>
      <c r="N64" s="115" t="s">
        <v>56</v>
      </c>
      <c r="O64" s="225" t="s">
        <v>56</v>
      </c>
      <c r="P64" s="644"/>
    </row>
    <row r="65" spans="2:21" ht="26.25" customHeight="1" x14ac:dyDescent="0.2">
      <c r="B65" s="95"/>
      <c r="P65" s="644"/>
      <c r="U65" s="5"/>
    </row>
    <row r="66" spans="2:21" ht="21" customHeight="1" thickBot="1" x14ac:dyDescent="0.25">
      <c r="B66" s="709"/>
      <c r="C66" s="17"/>
      <c r="P66" s="644"/>
      <c r="U66" s="5"/>
    </row>
    <row r="67" spans="2:21" ht="21" customHeight="1" thickBot="1" x14ac:dyDescent="0.3">
      <c r="B67" s="709"/>
      <c r="C67" s="17"/>
      <c r="D67" s="1106" t="s">
        <v>604</v>
      </c>
      <c r="E67" s="1107"/>
      <c r="F67" s="1107"/>
      <c r="G67" s="1108"/>
      <c r="M67" s="2051" t="s">
        <v>41</v>
      </c>
      <c r="N67" s="2052"/>
      <c r="O67" s="2058"/>
      <c r="P67" s="644"/>
      <c r="U67" s="5"/>
    </row>
    <row r="68" spans="2:21" ht="21" customHeight="1" x14ac:dyDescent="0.25">
      <c r="B68" s="95"/>
      <c r="D68" s="702" t="s">
        <v>605</v>
      </c>
      <c r="E68" s="703"/>
      <c r="F68" s="703"/>
      <c r="G68" s="704">
        <v>0</v>
      </c>
      <c r="M68" s="705" t="s">
        <v>606</v>
      </c>
      <c r="N68" s="706"/>
      <c r="O68" s="707">
        <v>-2</v>
      </c>
      <c r="P68" s="644"/>
      <c r="U68" s="5"/>
    </row>
    <row r="69" spans="2:21" ht="21" customHeight="1" thickBot="1" x14ac:dyDescent="0.3">
      <c r="B69" s="95"/>
      <c r="D69" s="1192" t="s">
        <v>607</v>
      </c>
      <c r="E69" s="1109"/>
      <c r="F69" s="1109"/>
      <c r="G69" s="1110">
        <v>-0.04</v>
      </c>
      <c r="M69" s="710" t="s">
        <v>608</v>
      </c>
      <c r="N69" s="14"/>
      <c r="O69" s="346">
        <v>-2</v>
      </c>
      <c r="P69" s="647"/>
      <c r="U69" s="5"/>
    </row>
    <row r="70" spans="2:21" ht="18.75" customHeight="1" x14ac:dyDescent="0.25">
      <c r="B70" s="95"/>
      <c r="D70" s="1193" t="s">
        <v>609</v>
      </c>
      <c r="E70" s="1111"/>
      <c r="F70" s="1111"/>
      <c r="G70" s="1112">
        <v>-0.06</v>
      </c>
      <c r="P70" s="647"/>
      <c r="U70" s="5"/>
    </row>
    <row r="71" spans="2:21" ht="19.5" customHeight="1" x14ac:dyDescent="0.25">
      <c r="B71" s="95"/>
      <c r="D71" s="1192" t="s">
        <v>610</v>
      </c>
      <c r="E71" s="1109"/>
      <c r="F71" s="1109"/>
      <c r="G71" s="1110">
        <v>-0.09</v>
      </c>
      <c r="P71" s="711"/>
      <c r="U71" s="5"/>
    </row>
    <row r="72" spans="2:21" ht="19.5" customHeight="1" x14ac:dyDescent="0.25">
      <c r="B72" s="95"/>
      <c r="D72" s="1193" t="s">
        <v>611</v>
      </c>
      <c r="E72" s="1111"/>
      <c r="F72" s="1111"/>
      <c r="G72" s="1112">
        <v>-0.09</v>
      </c>
      <c r="P72" s="715"/>
      <c r="U72" s="5"/>
    </row>
    <row r="73" spans="2:21" ht="19.5" customHeight="1" x14ac:dyDescent="0.25">
      <c r="B73" s="95"/>
      <c r="D73" s="1192" t="s">
        <v>612</v>
      </c>
      <c r="E73" s="1113"/>
      <c r="F73" s="1113"/>
      <c r="G73" s="1110">
        <v>-0.11</v>
      </c>
      <c r="H73" s="114"/>
      <c r="I73" s="114"/>
      <c r="J73" s="114"/>
      <c r="K73" s="114"/>
      <c r="L73" s="114"/>
      <c r="M73" s="114"/>
      <c r="N73" s="114"/>
      <c r="O73" s="114"/>
      <c r="P73" s="715"/>
      <c r="U73" s="5"/>
    </row>
    <row r="74" spans="2:21" ht="19.5" customHeight="1" x14ac:dyDescent="0.25">
      <c r="B74" s="95"/>
      <c r="D74" s="1193" t="s">
        <v>613</v>
      </c>
      <c r="E74" s="1114"/>
      <c r="F74" s="1114"/>
      <c r="G74" s="1112">
        <v>-0.13</v>
      </c>
      <c r="P74" s="715"/>
      <c r="U74" s="5"/>
    </row>
    <row r="75" spans="2:21" ht="19.5" customHeight="1" x14ac:dyDescent="0.25">
      <c r="B75" s="95"/>
      <c r="D75" s="723" t="s">
        <v>614</v>
      </c>
      <c r="E75" s="17"/>
      <c r="F75" s="17"/>
      <c r="G75" s="94">
        <v>-0.13</v>
      </c>
      <c r="P75" s="121"/>
      <c r="U75" s="5"/>
    </row>
    <row r="76" spans="2:21" ht="19.5" customHeight="1" x14ac:dyDescent="0.25">
      <c r="B76" s="95"/>
      <c r="D76" s="1194" t="s">
        <v>615</v>
      </c>
      <c r="E76" s="1115"/>
      <c r="F76" s="1116"/>
      <c r="G76" s="1117">
        <v>-0.15</v>
      </c>
      <c r="P76" s="121"/>
      <c r="U76" s="5"/>
    </row>
    <row r="77" spans="2:21" ht="19.5" customHeight="1" x14ac:dyDescent="0.25">
      <c r="B77" s="95"/>
      <c r="D77" s="1195" t="s">
        <v>616</v>
      </c>
      <c r="E77" s="1118"/>
      <c r="F77" s="1119"/>
      <c r="G77" s="1120">
        <v>-0.13</v>
      </c>
      <c r="P77" s="121"/>
      <c r="U77" s="5"/>
    </row>
    <row r="78" spans="2:21" ht="19.5" customHeight="1" x14ac:dyDescent="0.25">
      <c r="B78" s="95"/>
      <c r="D78" s="1194" t="s">
        <v>617</v>
      </c>
      <c r="E78" s="1115"/>
      <c r="F78" s="1116"/>
      <c r="G78" s="1117">
        <v>-0.13</v>
      </c>
      <c r="P78" s="121"/>
      <c r="U78" s="5"/>
    </row>
    <row r="79" spans="2:21" ht="19.5" customHeight="1" thickBot="1" x14ac:dyDescent="0.3">
      <c r="B79" s="95"/>
      <c r="D79" s="712" t="s">
        <v>680</v>
      </c>
      <c r="E79" s="713"/>
      <c r="F79" s="713"/>
      <c r="G79" s="714">
        <v>-0.13</v>
      </c>
      <c r="P79" s="121"/>
      <c r="U79" s="5"/>
    </row>
    <row r="80" spans="2:21" ht="19.5" customHeight="1" x14ac:dyDescent="0.3">
      <c r="B80" s="716"/>
      <c r="C80" s="717"/>
      <c r="N80" s="186"/>
      <c r="O80" s="186"/>
      <c r="P80" s="1086"/>
      <c r="U80" s="5"/>
    </row>
    <row r="81" spans="2:21" ht="19.5" customHeight="1" x14ac:dyDescent="0.3">
      <c r="B81" s="716"/>
      <c r="C81" s="717"/>
      <c r="N81" s="117"/>
      <c r="O81" s="117"/>
      <c r="P81" s="121"/>
      <c r="U81" s="5"/>
    </row>
    <row r="82" spans="2:21" ht="18.75" customHeight="1" x14ac:dyDescent="0.3">
      <c r="B82" s="716"/>
      <c r="C82" s="717"/>
      <c r="D82" s="717"/>
      <c r="E82" s="717"/>
      <c r="F82" s="717"/>
      <c r="G82" s="717"/>
      <c r="H82" s="717"/>
      <c r="I82" s="717"/>
      <c r="J82" s="717"/>
      <c r="K82" s="717"/>
      <c r="L82" s="117"/>
      <c r="M82" s="117"/>
      <c r="N82" s="117"/>
      <c r="O82" s="117"/>
      <c r="P82" s="121"/>
      <c r="U82" s="5"/>
    </row>
    <row r="83" spans="2:21" ht="19.5" customHeight="1" x14ac:dyDescent="0.3">
      <c r="B83" s="716"/>
      <c r="C83" s="717"/>
      <c r="D83" s="717"/>
      <c r="E83" s="717"/>
      <c r="F83" s="717"/>
      <c r="G83" s="717"/>
      <c r="H83" s="717"/>
      <c r="I83" s="717"/>
      <c r="J83" s="717"/>
      <c r="K83" s="717"/>
      <c r="L83" s="117"/>
      <c r="M83" s="117"/>
      <c r="N83" s="117"/>
      <c r="O83" s="117"/>
      <c r="P83" s="121"/>
      <c r="U83" s="5"/>
    </row>
    <row r="84" spans="2:21" ht="19.5" customHeight="1" x14ac:dyDescent="0.3">
      <c r="B84" s="716"/>
      <c r="C84" s="717"/>
      <c r="D84" s="717"/>
      <c r="E84" s="717"/>
      <c r="F84" s="717"/>
      <c r="G84" s="717"/>
      <c r="H84" s="717"/>
      <c r="I84" s="717"/>
      <c r="J84" s="717"/>
      <c r="K84" s="717"/>
      <c r="L84" s="117"/>
      <c r="M84" s="117"/>
      <c r="N84" s="117"/>
      <c r="O84" s="117"/>
      <c r="P84" s="121"/>
      <c r="U84" s="5"/>
    </row>
    <row r="85" spans="2:21" ht="19.5" customHeight="1" x14ac:dyDescent="0.3">
      <c r="B85" s="716"/>
      <c r="C85" s="717"/>
      <c r="D85" s="717"/>
      <c r="E85" s="717"/>
      <c r="F85" s="717"/>
      <c r="G85" s="717"/>
      <c r="H85" s="717"/>
      <c r="I85" s="717"/>
      <c r="J85" s="717"/>
      <c r="K85" s="717"/>
      <c r="L85" s="1087"/>
      <c r="M85" s="1087"/>
      <c r="N85" s="1087"/>
      <c r="O85" s="1087"/>
      <c r="P85" s="1088"/>
      <c r="U85" s="5"/>
    </row>
    <row r="86" spans="2:21" ht="19.5" customHeight="1" thickBot="1" x14ac:dyDescent="0.35">
      <c r="B86" s="716"/>
      <c r="C86" s="717"/>
      <c r="D86" s="717"/>
      <c r="E86" s="717"/>
      <c r="F86" s="717"/>
      <c r="G86" s="717"/>
      <c r="H86" s="717"/>
      <c r="I86" s="717"/>
      <c r="J86" s="717"/>
      <c r="K86" s="717"/>
      <c r="L86" s="117"/>
      <c r="M86" s="117"/>
      <c r="N86" s="117"/>
      <c r="O86" s="117"/>
      <c r="P86" s="121"/>
      <c r="U86" s="5"/>
    </row>
    <row r="87" spans="2:21" ht="19.5" customHeight="1" x14ac:dyDescent="0.2">
      <c r="B87" s="2039" t="s">
        <v>618</v>
      </c>
      <c r="C87" s="2040"/>
      <c r="D87" s="2040"/>
      <c r="E87" s="2040"/>
      <c r="F87" s="2040"/>
      <c r="G87" s="2040"/>
      <c r="H87" s="2040"/>
      <c r="I87" s="2040"/>
      <c r="J87" s="2040"/>
      <c r="K87" s="2040"/>
      <c r="L87" s="2040"/>
      <c r="M87" s="2040"/>
      <c r="N87" s="2040"/>
      <c r="O87" s="2040"/>
      <c r="P87" s="2041"/>
      <c r="U87" s="5"/>
    </row>
    <row r="88" spans="2:21" ht="19.5" customHeight="1" thickBot="1" x14ac:dyDescent="0.25">
      <c r="B88" s="2042"/>
      <c r="C88" s="2043"/>
      <c r="D88" s="2043"/>
      <c r="E88" s="2043"/>
      <c r="F88" s="2043"/>
      <c r="G88" s="2043"/>
      <c r="H88" s="2043"/>
      <c r="I88" s="2043"/>
      <c r="J88" s="2043"/>
      <c r="K88" s="2043"/>
      <c r="L88" s="2043"/>
      <c r="M88" s="2043"/>
      <c r="N88" s="2043"/>
      <c r="O88" s="2043"/>
      <c r="P88" s="2044"/>
      <c r="U88" s="5"/>
    </row>
    <row r="89" spans="2:21" ht="19.5" customHeight="1" thickBot="1" x14ac:dyDescent="0.35">
      <c r="B89" s="716"/>
      <c r="C89" s="717"/>
      <c r="D89" s="717"/>
      <c r="E89" s="717"/>
      <c r="F89" s="717"/>
      <c r="G89" s="717"/>
      <c r="H89" s="717"/>
      <c r="I89" s="717"/>
      <c r="J89" s="717"/>
      <c r="K89" s="717"/>
      <c r="L89" s="117"/>
      <c r="M89" s="117"/>
      <c r="N89" s="117"/>
      <c r="O89" s="117"/>
      <c r="P89" s="121"/>
      <c r="U89" s="5"/>
    </row>
    <row r="90" spans="2:21" ht="16.5" x14ac:dyDescent="0.25">
      <c r="B90" s="1250" t="s">
        <v>619</v>
      </c>
      <c r="C90" s="1251"/>
      <c r="D90" s="1251"/>
      <c r="E90" s="1251"/>
      <c r="F90" s="1251"/>
      <c r="G90" s="1251"/>
      <c r="H90" s="1251"/>
      <c r="I90" s="1251"/>
      <c r="J90" s="1251"/>
      <c r="K90" s="1251"/>
      <c r="L90" s="1251"/>
      <c r="M90" s="1251"/>
      <c r="N90" s="1251"/>
      <c r="O90" s="1251"/>
      <c r="P90" s="1252"/>
      <c r="Q90" s="16"/>
      <c r="U90" s="5"/>
    </row>
    <row r="91" spans="2:21" ht="16.5" x14ac:dyDescent="0.25">
      <c r="B91" s="1387" t="s">
        <v>10</v>
      </c>
      <c r="C91" s="1388"/>
      <c r="D91" s="1388"/>
      <c r="E91" s="1388"/>
      <c r="F91" s="1388"/>
      <c r="G91" s="1388"/>
      <c r="H91" s="1388"/>
      <c r="I91" s="1388"/>
      <c r="J91" s="1388"/>
      <c r="K91" s="1388"/>
      <c r="L91" s="1388"/>
      <c r="M91" s="1388"/>
      <c r="N91" s="1388"/>
      <c r="O91" s="1388"/>
      <c r="P91" s="1389"/>
      <c r="Q91" s="16"/>
      <c r="U91" s="5"/>
    </row>
    <row r="92" spans="2:21" ht="17.25" thickBot="1" x14ac:dyDescent="0.3">
      <c r="B92" s="1275" t="s">
        <v>23</v>
      </c>
      <c r="C92" s="1276"/>
      <c r="D92" s="1276"/>
      <c r="E92" s="1276"/>
      <c r="F92" s="1276"/>
      <c r="G92" s="1276"/>
      <c r="H92" s="1276"/>
      <c r="I92" s="1276"/>
      <c r="J92" s="1276"/>
      <c r="K92" s="1276"/>
      <c r="L92" s="1276"/>
      <c r="M92" s="1276"/>
      <c r="N92" s="1276"/>
      <c r="O92" s="1276"/>
      <c r="P92" s="1277"/>
      <c r="Q92" s="16"/>
      <c r="U92" s="5"/>
    </row>
    <row r="93" spans="2:21" x14ac:dyDescent="0.2">
      <c r="C93" s="37"/>
      <c r="D93" s="37"/>
      <c r="H93" s="37"/>
      <c r="Q93" s="2"/>
      <c r="U93" s="5"/>
    </row>
    <row r="94" spans="2:21" x14ac:dyDescent="0.2">
      <c r="U94" s="5"/>
    </row>
    <row r="95" spans="2:21" x14ac:dyDescent="0.2">
      <c r="U95" s="5"/>
    </row>
    <row r="96" spans="2:21" x14ac:dyDescent="0.2">
      <c r="U96" s="5"/>
    </row>
    <row r="97" spans="21:21" x14ac:dyDescent="0.2">
      <c r="U97" s="5"/>
    </row>
    <row r="98" spans="21:21" x14ac:dyDescent="0.2">
      <c r="U98" s="5"/>
    </row>
    <row r="99" spans="21:21" x14ac:dyDescent="0.2">
      <c r="U99" s="5"/>
    </row>
    <row r="100" spans="21:21" x14ac:dyDescent="0.2">
      <c r="U100" s="5"/>
    </row>
    <row r="101" spans="21:21" x14ac:dyDescent="0.2">
      <c r="U101" s="5"/>
    </row>
    <row r="102" spans="21:21" x14ac:dyDescent="0.2">
      <c r="U102" s="5"/>
    </row>
    <row r="103" spans="21:21" x14ac:dyDescent="0.2">
      <c r="U103" s="5"/>
    </row>
    <row r="104" spans="21:21" x14ac:dyDescent="0.2">
      <c r="U104" s="5"/>
    </row>
    <row r="105" spans="21:21" x14ac:dyDescent="0.2">
      <c r="U105" s="5"/>
    </row>
    <row r="106" spans="21:21" x14ac:dyDescent="0.2">
      <c r="U106" s="5"/>
    </row>
    <row r="107" spans="21:21" x14ac:dyDescent="0.2">
      <c r="U107" s="5"/>
    </row>
  </sheetData>
  <mergeCells count="48">
    <mergeCell ref="D61:O61"/>
    <mergeCell ref="D62:E62"/>
    <mergeCell ref="F62:G62"/>
    <mergeCell ref="D63:E64"/>
    <mergeCell ref="F63:G63"/>
    <mergeCell ref="F64:G64"/>
    <mergeCell ref="B7:D7"/>
    <mergeCell ref="B3:D3"/>
    <mergeCell ref="N3:P3"/>
    <mergeCell ref="B4:D4"/>
    <mergeCell ref="B5:D5"/>
    <mergeCell ref="B6:D6"/>
    <mergeCell ref="B10:P11"/>
    <mergeCell ref="M12:P12"/>
    <mergeCell ref="B14:P15"/>
    <mergeCell ref="B17:P17"/>
    <mergeCell ref="B21:P21"/>
    <mergeCell ref="B22:P22"/>
    <mergeCell ref="B25:D25"/>
    <mergeCell ref="E25:G25"/>
    <mergeCell ref="I25:P25"/>
    <mergeCell ref="D42:O42"/>
    <mergeCell ref="D43:E43"/>
    <mergeCell ref="F43:G43"/>
    <mergeCell ref="D44:E49"/>
    <mergeCell ref="F49:G49"/>
    <mergeCell ref="D51:O51"/>
    <mergeCell ref="F44:G44"/>
    <mergeCell ref="F45:G45"/>
    <mergeCell ref="F46:G46"/>
    <mergeCell ref="F47:G47"/>
    <mergeCell ref="F48:G48"/>
    <mergeCell ref="B92:P92"/>
    <mergeCell ref="D58:E59"/>
    <mergeCell ref="F58:G58"/>
    <mergeCell ref="F59:G59"/>
    <mergeCell ref="D52:E52"/>
    <mergeCell ref="F52:G52"/>
    <mergeCell ref="B87:P88"/>
    <mergeCell ref="B90:P90"/>
    <mergeCell ref="B91:P91"/>
    <mergeCell ref="D53:E54"/>
    <mergeCell ref="F53:G53"/>
    <mergeCell ref="F54:G54"/>
    <mergeCell ref="D56:O56"/>
    <mergeCell ref="D57:E57"/>
    <mergeCell ref="F57:G57"/>
    <mergeCell ref="M67:O67"/>
  </mergeCells>
  <hyperlinks>
    <hyperlink ref="D12" r:id="rId1" display="Lockdesk@amwestfunding.com" xr:uid="{344F52F2-7B11-4821-8CAB-B34EBBDF67E5}"/>
    <hyperlink ref="B7" r:id="rId2" xr:uid="{DF4CAE51-20CF-4A71-A91D-AB364AC19098}"/>
    <hyperlink ref="B21:E21" r:id="rId3" display="JUMBO PREMIER -MATRIX (CLICK)" xr:uid="{CBF2DFB3-F3C5-4A9F-8CFB-167F31BAC197}"/>
    <hyperlink ref="B21:P21" r:id="rId4" display="Click For Guideline" xr:uid="{B1E64E74-F668-407A-BD4E-69AC2677D5A6}"/>
  </hyperlinks>
  <printOptions horizontalCentered="1" verticalCentered="1"/>
  <pageMargins left="0.1" right="0.1" top="0.1" bottom="0.1" header="0.1" footer="0.1"/>
  <pageSetup paperSize="5" scale="57" orientation="portrait" r:id="rId5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pageSetUpPr fitToPage="1"/>
  </sheetPr>
  <dimension ref="A1:AE148"/>
  <sheetViews>
    <sheetView topLeftCell="A14" zoomScale="70" zoomScaleNormal="70" workbookViewId="0">
      <selection activeCell="E90" sqref="E90"/>
    </sheetView>
  </sheetViews>
  <sheetFormatPr defaultColWidth="8.85546875" defaultRowHeight="14.25" x14ac:dyDescent="0.2"/>
  <cols>
    <col min="1" max="1" width="5.140625" style="5" customWidth="1"/>
    <col min="2" max="2" width="9.85546875" style="5" customWidth="1"/>
    <col min="3" max="3" width="10.7109375" style="5" customWidth="1"/>
    <col min="4" max="4" width="10.85546875" style="5" customWidth="1"/>
    <col min="5" max="5" width="10.140625" style="5" customWidth="1"/>
    <col min="6" max="6" width="11.7109375" style="5" customWidth="1"/>
    <col min="7" max="7" width="11.140625" style="5" customWidth="1"/>
    <col min="8" max="8" width="10.85546875" style="5" customWidth="1"/>
    <col min="9" max="9" width="10.7109375" style="5" customWidth="1"/>
    <col min="10" max="10" width="10.5703125" style="5" customWidth="1"/>
    <col min="11" max="11" width="9.85546875" style="5" customWidth="1"/>
    <col min="12" max="12" width="9" style="5" customWidth="1"/>
    <col min="13" max="13" width="11.7109375" style="5" customWidth="1"/>
    <col min="14" max="14" width="13.85546875" style="5" customWidth="1"/>
    <col min="15" max="15" width="10.7109375" style="5" customWidth="1"/>
    <col min="16" max="16" width="10.140625" style="5" customWidth="1"/>
    <col min="17" max="18" width="9.28515625" style="5" customWidth="1"/>
    <col min="19" max="19" width="11.28515625" style="5" customWidth="1"/>
    <col min="20" max="20" width="7.5703125" style="5" customWidth="1"/>
    <col min="21" max="23" width="8.85546875" style="5"/>
    <col min="24" max="24" width="9.140625" style="172"/>
    <col min="25" max="25" width="23.42578125" style="5" customWidth="1"/>
    <col min="26" max="26" width="16.42578125" style="5" customWidth="1"/>
    <col min="27" max="16384" width="8.85546875" style="5"/>
  </cols>
  <sheetData>
    <row r="1" spans="1:19" ht="16.5" x14ac:dyDescent="0.25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327" t="s">
        <v>725</v>
      </c>
    </row>
    <row r="2" spans="1:19" ht="6" customHeight="1" x14ac:dyDescent="0.2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17.25" customHeight="1" x14ac:dyDescent="0.25">
      <c r="A3" s="149"/>
      <c r="B3" s="1964" t="s">
        <v>0</v>
      </c>
      <c r="C3" s="1965"/>
      <c r="D3" s="1966"/>
      <c r="E3" s="392"/>
      <c r="F3" s="392"/>
      <c r="G3" s="27"/>
      <c r="H3" s="27"/>
      <c r="I3" s="117"/>
      <c r="J3" s="27"/>
      <c r="K3" s="27"/>
      <c r="L3" s="27"/>
      <c r="M3" s="27"/>
      <c r="N3" s="27"/>
      <c r="O3" s="27"/>
      <c r="P3" s="27"/>
      <c r="Q3" s="1964"/>
      <c r="R3" s="1965"/>
      <c r="S3" s="1966"/>
    </row>
    <row r="4" spans="1:19" ht="17.25" customHeight="1" x14ac:dyDescent="0.25">
      <c r="A4" s="149"/>
      <c r="B4" s="1272" t="s">
        <v>1</v>
      </c>
      <c r="C4" s="1273"/>
      <c r="D4" s="1274"/>
      <c r="E4" s="387"/>
      <c r="F4" s="387"/>
      <c r="G4" s="27"/>
      <c r="H4" s="27"/>
      <c r="I4" s="27"/>
      <c r="J4" s="27"/>
      <c r="K4" s="27"/>
      <c r="L4" s="27"/>
      <c r="M4" s="27"/>
      <c r="N4" s="27"/>
      <c r="O4" s="27"/>
      <c r="P4" s="27"/>
      <c r="Q4" s="309"/>
      <c r="R4" s="167"/>
      <c r="S4" s="310"/>
    </row>
    <row r="5" spans="1:19" ht="17.25" customHeight="1" x14ac:dyDescent="0.25">
      <c r="A5" s="149"/>
      <c r="B5" s="1272" t="s">
        <v>2</v>
      </c>
      <c r="C5" s="1273"/>
      <c r="D5" s="1274"/>
      <c r="E5" s="387"/>
      <c r="F5" s="387"/>
      <c r="G5" s="27"/>
      <c r="H5" s="27"/>
      <c r="I5" s="27"/>
      <c r="J5" s="27"/>
      <c r="K5" s="27"/>
      <c r="L5" s="27"/>
      <c r="M5" s="27"/>
      <c r="N5" s="27"/>
      <c r="O5" s="27"/>
      <c r="P5" s="27"/>
      <c r="Q5" s="309"/>
      <c r="R5" s="167"/>
      <c r="S5" s="310"/>
    </row>
    <row r="6" spans="1:19" ht="17.25" customHeight="1" x14ac:dyDescent="0.25">
      <c r="A6" s="149"/>
      <c r="B6" s="1272" t="s">
        <v>3</v>
      </c>
      <c r="C6" s="1273"/>
      <c r="D6" s="1274"/>
      <c r="E6" s="387"/>
      <c r="F6" s="387"/>
      <c r="G6" s="27"/>
      <c r="H6" s="27"/>
      <c r="I6" s="27"/>
      <c r="J6" s="27"/>
      <c r="K6" s="27"/>
      <c r="L6" s="27"/>
      <c r="M6" s="27"/>
      <c r="N6" s="27"/>
      <c r="O6" s="27"/>
      <c r="P6" s="27"/>
      <c r="Q6" s="309"/>
      <c r="R6" s="167"/>
      <c r="S6" s="310"/>
    </row>
    <row r="7" spans="1:19" ht="17.25" customHeight="1" x14ac:dyDescent="0.25">
      <c r="A7" s="149"/>
      <c r="B7" s="1266" t="s">
        <v>4</v>
      </c>
      <c r="C7" s="1267"/>
      <c r="D7" s="1268"/>
      <c r="E7" s="393"/>
      <c r="F7" s="393"/>
      <c r="G7" s="117" t="s">
        <v>5</v>
      </c>
      <c r="H7" s="117"/>
      <c r="I7" s="117"/>
      <c r="J7" s="117"/>
      <c r="K7" s="117"/>
      <c r="L7" s="1255" t="s">
        <v>6</v>
      </c>
      <c r="M7" s="1255"/>
      <c r="N7" s="315">
        <f>AIA_AIP!K7</f>
        <v>45950</v>
      </c>
      <c r="O7" s="576" t="str">
        <f>JUMBO!M8</f>
        <v>8:00 AM PST</v>
      </c>
      <c r="P7" s="27"/>
      <c r="Q7" s="311"/>
      <c r="R7" s="135"/>
      <c r="S7" s="310"/>
    </row>
    <row r="8" spans="1:19" ht="6" customHeight="1" x14ac:dyDescent="0.25">
      <c r="B8" s="27"/>
      <c r="C8" s="27"/>
      <c r="D8" s="158"/>
      <c r="E8" s="27"/>
      <c r="F8" s="27"/>
      <c r="G8" s="27"/>
      <c r="H8" s="345"/>
      <c r="I8" s="27"/>
      <c r="J8" s="27"/>
      <c r="K8" s="27"/>
      <c r="L8" s="345"/>
      <c r="M8" s="345"/>
      <c r="N8" s="27"/>
      <c r="O8" s="27"/>
      <c r="P8" s="27"/>
      <c r="Q8" s="27"/>
      <c r="R8" s="27"/>
      <c r="S8" s="158"/>
    </row>
    <row r="9" spans="1:19" ht="6" customHeight="1" thickBot="1" x14ac:dyDescent="0.3">
      <c r="B9" s="345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</row>
    <row r="10" spans="1:19" ht="12.75" customHeight="1" x14ac:dyDescent="0.2">
      <c r="B10" s="2005" t="s">
        <v>38</v>
      </c>
      <c r="C10" s="2006"/>
      <c r="D10" s="2006"/>
      <c r="E10" s="2006"/>
      <c r="F10" s="2006"/>
      <c r="G10" s="2006"/>
      <c r="H10" s="2006"/>
      <c r="I10" s="2006"/>
      <c r="J10" s="2006"/>
      <c r="K10" s="2006"/>
      <c r="L10" s="2006"/>
      <c r="M10" s="2006"/>
      <c r="N10" s="2006"/>
      <c r="O10" s="2006"/>
      <c r="P10" s="2006"/>
      <c r="Q10" s="2006"/>
      <c r="R10" s="2006"/>
      <c r="S10" s="2007"/>
    </row>
    <row r="11" spans="1:19" ht="6.75" customHeight="1" thickBot="1" x14ac:dyDescent="0.25">
      <c r="B11" s="2022"/>
      <c r="C11" s="2023"/>
      <c r="D11" s="2023"/>
      <c r="E11" s="2023"/>
      <c r="F11" s="2023"/>
      <c r="G11" s="2023"/>
      <c r="H11" s="2023"/>
      <c r="I11" s="2023"/>
      <c r="J11" s="2023"/>
      <c r="K11" s="2023"/>
      <c r="L11" s="2023"/>
      <c r="M11" s="2023"/>
      <c r="N11" s="2023"/>
      <c r="O11" s="2023"/>
      <c r="P11" s="2023"/>
      <c r="Q11" s="2023"/>
      <c r="R11" s="2023"/>
      <c r="S11" s="2024"/>
    </row>
    <row r="12" spans="1:19" ht="19.5" customHeight="1" thickBot="1" x14ac:dyDescent="0.25">
      <c r="B12" s="2170" t="s">
        <v>8</v>
      </c>
      <c r="C12" s="2171"/>
      <c r="D12" s="891" t="s">
        <v>94</v>
      </c>
      <c r="E12" s="892"/>
      <c r="F12" s="892"/>
      <c r="G12" s="621"/>
      <c r="H12" s="2172" t="s">
        <v>9</v>
      </c>
      <c r="I12" s="2172"/>
      <c r="J12" s="2172"/>
      <c r="K12" s="2172" t="s">
        <v>180</v>
      </c>
      <c r="L12" s="2172"/>
      <c r="M12" s="2172"/>
      <c r="N12" s="2173" t="s">
        <v>627</v>
      </c>
      <c r="O12" s="2173"/>
      <c r="P12" s="2173"/>
      <c r="Q12" s="2173"/>
      <c r="R12" s="2173"/>
      <c r="S12" s="2174"/>
    </row>
    <row r="13" spans="1:19" ht="30" customHeight="1" x14ac:dyDescent="0.2">
      <c r="B13" s="2167" t="s">
        <v>11</v>
      </c>
      <c r="C13" s="2168"/>
      <c r="D13" s="2168"/>
      <c r="E13" s="2168"/>
      <c r="F13" s="2168"/>
      <c r="G13" s="2168"/>
      <c r="H13" s="2168"/>
      <c r="I13" s="2168"/>
      <c r="J13" s="2168"/>
      <c r="K13" s="2168"/>
      <c r="L13" s="2168"/>
      <c r="M13" s="2168"/>
      <c r="N13" s="2168"/>
      <c r="O13" s="2168"/>
      <c r="P13" s="2168"/>
      <c r="Q13" s="2168"/>
      <c r="R13" s="2168"/>
      <c r="S13" s="2169"/>
    </row>
    <row r="14" spans="1:19" ht="20.25" customHeight="1" x14ac:dyDescent="0.2">
      <c r="B14" s="1802"/>
      <c r="C14" s="1803"/>
      <c r="D14" s="1803"/>
      <c r="E14" s="1803"/>
      <c r="F14" s="1803"/>
      <c r="G14" s="1803"/>
      <c r="H14" s="1803"/>
      <c r="I14" s="1803"/>
      <c r="J14" s="1803"/>
      <c r="K14" s="1803"/>
      <c r="L14" s="1803"/>
      <c r="M14" s="1803"/>
      <c r="N14" s="1803"/>
      <c r="O14" s="1803"/>
      <c r="P14" s="1803"/>
      <c r="Q14" s="1803"/>
      <c r="R14" s="1803"/>
      <c r="S14" s="1804"/>
    </row>
    <row r="15" spans="1:19" ht="9" customHeight="1" x14ac:dyDescent="0.2">
      <c r="B15" s="1802"/>
      <c r="C15" s="1803"/>
      <c r="D15" s="1803"/>
      <c r="E15" s="1803"/>
      <c r="F15" s="1803"/>
      <c r="G15" s="1803"/>
      <c r="H15" s="1803"/>
      <c r="I15" s="1803"/>
      <c r="J15" s="1803"/>
      <c r="K15" s="1803"/>
      <c r="L15" s="1803"/>
      <c r="M15" s="1803"/>
      <c r="N15" s="1803"/>
      <c r="O15" s="1803"/>
      <c r="P15" s="1803"/>
      <c r="Q15" s="1803"/>
      <c r="R15" s="1803"/>
      <c r="S15" s="1804"/>
    </row>
    <row r="16" spans="1:19" ht="26.25" customHeight="1" x14ac:dyDescent="0.2">
      <c r="B16" s="1802"/>
      <c r="C16" s="1803"/>
      <c r="D16" s="1803"/>
      <c r="E16" s="1803"/>
      <c r="F16" s="1803"/>
      <c r="G16" s="1803"/>
      <c r="H16" s="1803"/>
      <c r="I16" s="1803"/>
      <c r="J16" s="1803"/>
      <c r="K16" s="1803"/>
      <c r="L16" s="1803"/>
      <c r="M16" s="1803"/>
      <c r="N16" s="1803"/>
      <c r="O16" s="1803"/>
      <c r="P16" s="1803"/>
      <c r="Q16" s="1803"/>
      <c r="R16" s="1803"/>
      <c r="S16" s="1804"/>
    </row>
    <row r="17" spans="2:25" ht="12" customHeight="1" x14ac:dyDescent="0.2">
      <c r="B17" s="1805"/>
      <c r="C17" s="1806"/>
      <c r="D17" s="1806"/>
      <c r="E17" s="1806"/>
      <c r="F17" s="1806"/>
      <c r="G17" s="1806"/>
      <c r="H17" s="1806"/>
      <c r="I17" s="1806"/>
      <c r="J17" s="1806"/>
      <c r="K17" s="1806"/>
      <c r="L17" s="1806"/>
      <c r="M17" s="1806"/>
      <c r="N17" s="1806"/>
      <c r="O17" s="1806"/>
      <c r="P17" s="1806"/>
      <c r="Q17" s="1806"/>
      <c r="R17" s="1806"/>
      <c r="S17" s="1807"/>
    </row>
    <row r="18" spans="2:25" ht="33" customHeight="1" x14ac:dyDescent="0.2">
      <c r="B18" s="2164" t="s">
        <v>216</v>
      </c>
      <c r="C18" s="2165"/>
      <c r="D18" s="2165"/>
      <c r="E18" s="2165"/>
      <c r="F18" s="2165"/>
      <c r="G18" s="2165"/>
      <c r="H18" s="2165"/>
      <c r="I18" s="2165"/>
      <c r="J18" s="2165"/>
      <c r="K18" s="2165"/>
      <c r="L18" s="2165"/>
      <c r="M18" s="2165"/>
      <c r="N18" s="2165"/>
      <c r="O18" s="2165"/>
      <c r="P18" s="2165"/>
      <c r="Q18" s="2165"/>
      <c r="R18" s="2165"/>
      <c r="S18" s="2166"/>
      <c r="Y18" s="12" t="s">
        <v>217</v>
      </c>
    </row>
    <row r="19" spans="2:25" ht="14.25" customHeight="1" thickBot="1" x14ac:dyDescent="0.25">
      <c r="B19" s="95"/>
      <c r="S19" s="38"/>
    </row>
    <row r="20" spans="2:25" ht="22.5" customHeight="1" thickBot="1" x14ac:dyDescent="0.25">
      <c r="B20" s="2175" t="s">
        <v>218</v>
      </c>
      <c r="C20" s="2176"/>
      <c r="D20" s="2176"/>
      <c r="E20" s="2176"/>
      <c r="F20" s="2176"/>
      <c r="G20" s="2176"/>
      <c r="H20" s="2176"/>
      <c r="I20" s="2176"/>
      <c r="J20" s="2177"/>
      <c r="K20" s="2175" t="s">
        <v>219</v>
      </c>
      <c r="L20" s="2176"/>
      <c r="M20" s="2176"/>
      <c r="N20" s="2176"/>
      <c r="O20" s="2176"/>
      <c r="P20" s="2176"/>
      <c r="Q20" s="2176"/>
      <c r="R20" s="2176"/>
      <c r="S20" s="2177"/>
      <c r="Y20" s="12">
        <v>0.125</v>
      </c>
    </row>
    <row r="21" spans="2:25" ht="31.5" customHeight="1" x14ac:dyDescent="0.2">
      <c r="B21" s="2181" t="s">
        <v>397</v>
      </c>
      <c r="C21" s="1795"/>
      <c r="D21" s="2182"/>
      <c r="E21" s="2116" t="s">
        <v>398</v>
      </c>
      <c r="F21" s="2116"/>
      <c r="G21" s="2136"/>
      <c r="H21" s="1416" t="s">
        <v>399</v>
      </c>
      <c r="I21" s="1416"/>
      <c r="J21" s="1417"/>
      <c r="K21" s="2181" t="s">
        <v>400</v>
      </c>
      <c r="L21" s="1795"/>
      <c r="M21" s="2182"/>
      <c r="N21" s="1416" t="s">
        <v>401</v>
      </c>
      <c r="O21" s="1416"/>
      <c r="P21" s="2132"/>
      <c r="Q21" s="2178" t="s">
        <v>402</v>
      </c>
      <c r="R21" s="2179"/>
      <c r="S21" s="2180"/>
    </row>
    <row r="22" spans="2:25" ht="17.25" customHeight="1" x14ac:dyDescent="0.25">
      <c r="B22" s="106" t="s">
        <v>14</v>
      </c>
      <c r="C22" s="893" t="s">
        <v>15</v>
      </c>
      <c r="D22" s="894" t="s">
        <v>44</v>
      </c>
      <c r="E22" s="895" t="s">
        <v>14</v>
      </c>
      <c r="F22" s="893" t="s">
        <v>15</v>
      </c>
      <c r="G22" s="894" t="s">
        <v>44</v>
      </c>
      <c r="H22" s="895" t="s">
        <v>14</v>
      </c>
      <c r="I22" s="893" t="s">
        <v>15</v>
      </c>
      <c r="J22" s="896" t="s">
        <v>44</v>
      </c>
      <c r="K22" s="893" t="s">
        <v>14</v>
      </c>
      <c r="L22" s="893" t="s">
        <v>15</v>
      </c>
      <c r="M22" s="894" t="s">
        <v>44</v>
      </c>
      <c r="N22" s="895" t="s">
        <v>14</v>
      </c>
      <c r="O22" s="893" t="s">
        <v>15</v>
      </c>
      <c r="P22" s="894" t="s">
        <v>44</v>
      </c>
      <c r="Q22" s="895" t="s">
        <v>14</v>
      </c>
      <c r="R22" s="893" t="s">
        <v>15</v>
      </c>
      <c r="S22" s="896" t="s">
        <v>44</v>
      </c>
    </row>
    <row r="23" spans="2:25" ht="21.75" customHeight="1" x14ac:dyDescent="0.25">
      <c r="B23" s="104">
        <v>4.875</v>
      </c>
      <c r="C23" s="93">
        <f>-VLOOKUP(B23,'[1]Pricing '!$A$856:$K$880,11,FALSE)+100</f>
        <v>2.9719978419469157</v>
      </c>
      <c r="D23" s="100">
        <f>C23-$Y$36</f>
        <v>3.0969978419469157</v>
      </c>
      <c r="E23" s="99">
        <v>5</v>
      </c>
      <c r="F23" s="93">
        <f>100-VLOOKUP(E23,'[1]Pricing '!$A$954:$K$978,11,FALSE)</f>
        <v>3.8189087298066795</v>
      </c>
      <c r="G23" s="93">
        <f>F23-$Y$36</f>
        <v>3.9439087298066795</v>
      </c>
      <c r="H23" s="99">
        <v>4.625</v>
      </c>
      <c r="I23" s="93">
        <f>-VLOOKUP(H23,'[1]Pricing '!$A$910:$K$929,11,FALSE)+100</f>
        <v>3.2920000000000016</v>
      </c>
      <c r="J23" s="94">
        <f>I23-$Y$36</f>
        <v>3.4170000000000016</v>
      </c>
      <c r="K23" s="223">
        <v>4.875</v>
      </c>
      <c r="L23" s="93">
        <f>100-VLOOKUP(K23,'[1]Pricing '!$A$883:$K$907,11,FALSE)</f>
        <v>2.5719978419469101</v>
      </c>
      <c r="M23" s="100">
        <f>L23-$Y$36</f>
        <v>2.6969978419469101</v>
      </c>
      <c r="N23" s="99">
        <v>4.625</v>
      </c>
      <c r="O23" s="93">
        <f>100-VLOOKUP(N23,'[1]Pricing '!$A$932:$K$951,11,FALSE)</f>
        <v>3.2920000000000016</v>
      </c>
      <c r="P23" s="100">
        <f>O23-$Y$36</f>
        <v>3.4170000000000016</v>
      </c>
      <c r="Q23" s="99">
        <v>5</v>
      </c>
      <c r="R23" s="93">
        <f>100-VLOOKUP(Q23,'[1]Pricing '!$A$2450:$K$2474,11,FALSE)</f>
        <v>3.793908729806688</v>
      </c>
      <c r="S23" s="94">
        <f>R23-$Y$36</f>
        <v>3.918908729806688</v>
      </c>
    </row>
    <row r="24" spans="2:25" ht="21.75" customHeight="1" x14ac:dyDescent="0.25">
      <c r="B24" s="104">
        <f t="shared" ref="B24:B46" si="0">B23+0.125</f>
        <v>5</v>
      </c>
      <c r="C24" s="93">
        <f>-VLOOKUP(B24,'[1]Pricing '!$A$856:$K$880,11,FALSE)+100</f>
        <v>2.5807566133632349</v>
      </c>
      <c r="D24" s="100">
        <f>C24-$Y$36</f>
        <v>2.7057566133632349</v>
      </c>
      <c r="E24" s="99">
        <f t="shared" ref="E24:E45" si="1">E23+0.125</f>
        <v>5.125</v>
      </c>
      <c r="F24" s="93">
        <f>100-VLOOKUP(E24,'[1]Pricing '!$A$954:$K$978,11,FALSE)</f>
        <v>3.5113969238278884</v>
      </c>
      <c r="G24" s="93">
        <f>F24-$Y$36</f>
        <v>3.6363969238278884</v>
      </c>
      <c r="H24" s="99">
        <f t="shared" ref="H24:H38" si="2">H23+0.125</f>
        <v>4.75</v>
      </c>
      <c r="I24" s="93">
        <f>-VLOOKUP(H24,'[1]Pricing '!$A$910:$K$929,11,FALSE)+100</f>
        <v>3.414999999999992</v>
      </c>
      <c r="J24" s="94">
        <f>I24-$Y$36</f>
        <v>3.539999999999992</v>
      </c>
      <c r="K24" s="223">
        <f t="shared" ref="K24:K46" si="3">K23+0.125</f>
        <v>5</v>
      </c>
      <c r="L24" s="93">
        <f>100-VLOOKUP(K24,'[1]Pricing '!$A$883:$K$907,11,FALSE)</f>
        <v>2.1807566133632292</v>
      </c>
      <c r="M24" s="100">
        <f>L24-$Y$36</f>
        <v>2.3057566133632292</v>
      </c>
      <c r="N24" s="99">
        <f t="shared" ref="N24:N38" si="4">N23+0.125</f>
        <v>4.75</v>
      </c>
      <c r="O24" s="93">
        <f>100-VLOOKUP(N24,'[1]Pricing '!$A$932:$K$951,11,FALSE)</f>
        <v>3.414999999999992</v>
      </c>
      <c r="P24" s="100">
        <f>O24-$Y$36</f>
        <v>3.539999999999992</v>
      </c>
      <c r="Q24" s="99">
        <f t="shared" ref="Q24:Q45" si="5">Q23+0.125</f>
        <v>5.125</v>
      </c>
      <c r="R24" s="93">
        <f>100-VLOOKUP(Q24,'[1]Pricing '!$A$2450:$K$2474,11,FALSE)</f>
        <v>3.4863969238278969</v>
      </c>
      <c r="S24" s="94">
        <f>R24-$Y$36</f>
        <v>3.6113969238278969</v>
      </c>
    </row>
    <row r="25" spans="2:25" ht="21.75" customHeight="1" x14ac:dyDescent="0.25">
      <c r="B25" s="104">
        <f t="shared" si="0"/>
        <v>5.125</v>
      </c>
      <c r="C25" s="93">
        <f>-VLOOKUP(B25,'[1]Pricing '!$A$856:$K$880,11,FALSE)+100</f>
        <v>2.2109357471113071</v>
      </c>
      <c r="D25" s="100">
        <f t="shared" ref="D25:D31" si="6">C25-$Y$36</f>
        <v>2.3359357471113071</v>
      </c>
      <c r="E25" s="99">
        <f t="shared" si="1"/>
        <v>5.25</v>
      </c>
      <c r="F25" s="93">
        <f>100-VLOOKUP(E25,'[1]Pricing '!$A$954:$K$978,11,FALSE)</f>
        <v>1.3614332853028941</v>
      </c>
      <c r="G25" s="93">
        <f t="shared" ref="G25:G31" si="7">F25-$Y$36</f>
        <v>1.4864332853028941</v>
      </c>
      <c r="H25" s="99">
        <f t="shared" si="2"/>
        <v>4.875</v>
      </c>
      <c r="I25" s="93">
        <f>-VLOOKUP(H25,'[1]Pricing '!$A$910:$K$929,11,FALSE)+100</f>
        <v>2.9489999999999981</v>
      </c>
      <c r="J25" s="94">
        <f t="shared" ref="J25:J31" si="8">I25-$Y$36</f>
        <v>3.0739999999999981</v>
      </c>
      <c r="K25" s="223">
        <f t="shared" si="3"/>
        <v>5.125</v>
      </c>
      <c r="L25" s="93">
        <f>100-VLOOKUP(K25,'[1]Pricing '!$A$883:$K$907,11,FALSE)</f>
        <v>1.8109357471113015</v>
      </c>
      <c r="M25" s="100">
        <f t="shared" ref="M25:M31" si="9">L25-$Y$36</f>
        <v>1.9359357471113015</v>
      </c>
      <c r="N25" s="99">
        <f t="shared" si="4"/>
        <v>4.875</v>
      </c>
      <c r="O25" s="93">
        <f>100-VLOOKUP(N25,'[1]Pricing '!$A$932:$K$951,11,FALSE)</f>
        <v>2.9489999999999981</v>
      </c>
      <c r="P25" s="100">
        <f t="shared" ref="P25:P31" si="10">O25-$Y$36</f>
        <v>3.0739999999999981</v>
      </c>
      <c r="Q25" s="99">
        <f t="shared" si="5"/>
        <v>5.25</v>
      </c>
      <c r="R25" s="93">
        <f>100-VLOOKUP(Q25,'[1]Pricing '!$A$2450:$K$2474,11,FALSE)</f>
        <v>1.3364332853029026</v>
      </c>
      <c r="S25" s="94">
        <f t="shared" ref="S25:S31" si="11">R25-$Y$36</f>
        <v>1.4614332853029026</v>
      </c>
    </row>
    <row r="26" spans="2:25" ht="21.75" customHeight="1" x14ac:dyDescent="0.25">
      <c r="B26" s="104">
        <f t="shared" si="0"/>
        <v>5.25</v>
      </c>
      <c r="C26" s="93">
        <f>-VLOOKUP(B26,'[1]Pricing '!$A$856:$K$880,11,FALSE)+100</f>
        <v>0.89308382373792483</v>
      </c>
      <c r="D26" s="100">
        <f t="shared" si="6"/>
        <v>1.0180838237379248</v>
      </c>
      <c r="E26" s="99">
        <f t="shared" si="1"/>
        <v>5.375</v>
      </c>
      <c r="F26" s="93">
        <f>100-VLOOKUP(E26,'[1]Pricing '!$A$954:$K$978,11,FALSE)</f>
        <v>1.0615323290456615</v>
      </c>
      <c r="G26" s="93">
        <f t="shared" si="7"/>
        <v>1.1865323290456615</v>
      </c>
      <c r="H26" s="99">
        <f t="shared" si="2"/>
        <v>5</v>
      </c>
      <c r="I26" s="93">
        <f>-VLOOKUP(H26,'[1]Pricing '!$A$910:$K$929,11,FALSE)+100</f>
        <v>2.4879999999999995</v>
      </c>
      <c r="J26" s="94">
        <f t="shared" si="8"/>
        <v>2.6129999999999995</v>
      </c>
      <c r="K26" s="223">
        <f t="shared" si="3"/>
        <v>5.25</v>
      </c>
      <c r="L26" s="93">
        <f>100-VLOOKUP(K26,'[1]Pricing '!$A$883:$K$907,11,FALSE)</f>
        <v>0.49308382373791915</v>
      </c>
      <c r="M26" s="100">
        <f t="shared" si="9"/>
        <v>0.61808382373791915</v>
      </c>
      <c r="N26" s="99">
        <f t="shared" si="4"/>
        <v>5</v>
      </c>
      <c r="O26" s="93">
        <f>100-VLOOKUP(N26,'[1]Pricing '!$A$932:$K$951,11,FALSE)</f>
        <v>2.4879999999999995</v>
      </c>
      <c r="P26" s="100">
        <f t="shared" si="10"/>
        <v>2.6129999999999995</v>
      </c>
      <c r="Q26" s="99">
        <f t="shared" si="5"/>
        <v>5.375</v>
      </c>
      <c r="R26" s="93">
        <f>100-VLOOKUP(Q26,'[1]Pricing '!$A$2450:$K$2474,11,FALSE)</f>
        <v>1.0365323290456701</v>
      </c>
      <c r="S26" s="94">
        <f t="shared" si="11"/>
        <v>1.1615323290456701</v>
      </c>
    </row>
    <row r="27" spans="2:25" ht="21.75" customHeight="1" x14ac:dyDescent="0.25">
      <c r="B27" s="104">
        <f t="shared" si="0"/>
        <v>5.375</v>
      </c>
      <c r="C27" s="93">
        <f>-VLOOKUP(B27,'[1]Pricing '!$A$856:$K$880,11,FALSE)+100</f>
        <v>0.53060812541342273</v>
      </c>
      <c r="D27" s="100">
        <f t="shared" si="6"/>
        <v>0.65560812541342273</v>
      </c>
      <c r="E27" s="99">
        <f t="shared" si="1"/>
        <v>5.5</v>
      </c>
      <c r="F27" s="93">
        <f>100-VLOOKUP(E27,'[1]Pricing '!$A$954:$K$978,11,FALSE)</f>
        <v>0.77140635494609455</v>
      </c>
      <c r="G27" s="93">
        <f t="shared" si="7"/>
        <v>0.89640635494609455</v>
      </c>
      <c r="H27" s="99">
        <f t="shared" si="2"/>
        <v>5.125</v>
      </c>
      <c r="I27" s="93">
        <f>-VLOOKUP(H27,'[1]Pricing '!$A$910:$K$929,11,FALSE)+100</f>
        <v>2.0330000000000013</v>
      </c>
      <c r="J27" s="94">
        <f t="shared" si="8"/>
        <v>2.1580000000000013</v>
      </c>
      <c r="K27" s="223">
        <f t="shared" si="3"/>
        <v>5.375</v>
      </c>
      <c r="L27" s="93">
        <f>100-VLOOKUP(K27,'[1]Pricing '!$A$883:$K$907,11,FALSE)</f>
        <v>0.13060812541341704</v>
      </c>
      <c r="M27" s="100">
        <f t="shared" si="9"/>
        <v>0.25560812541341704</v>
      </c>
      <c r="N27" s="99">
        <f t="shared" si="4"/>
        <v>5.125</v>
      </c>
      <c r="O27" s="93">
        <f>100-VLOOKUP(N27,'[1]Pricing '!$A$932:$K$951,11,FALSE)</f>
        <v>2.0330000000000013</v>
      </c>
      <c r="P27" s="100">
        <f t="shared" si="10"/>
        <v>2.1580000000000013</v>
      </c>
      <c r="Q27" s="99">
        <f t="shared" si="5"/>
        <v>5.5</v>
      </c>
      <c r="R27" s="93">
        <f>100-VLOOKUP(Q27,'[1]Pricing '!$A$2450:$K$2474,11,FALSE)</f>
        <v>0.74640635494610308</v>
      </c>
      <c r="S27" s="94">
        <f t="shared" si="11"/>
        <v>0.87140635494610308</v>
      </c>
    </row>
    <row r="28" spans="2:25" ht="21.75" customHeight="1" x14ac:dyDescent="0.25">
      <c r="B28" s="104">
        <f t="shared" si="0"/>
        <v>5.5</v>
      </c>
      <c r="C28" s="93">
        <f>-VLOOKUP(B28,'[1]Pricing '!$A$856:$K$880,11,FALSE)+100</f>
        <v>0.17776794549942565</v>
      </c>
      <c r="D28" s="100">
        <f t="shared" si="6"/>
        <v>0.30276794549942565</v>
      </c>
      <c r="E28" s="99">
        <f t="shared" si="1"/>
        <v>5.625</v>
      </c>
      <c r="F28" s="93">
        <f>100-VLOOKUP(E28,'[1]Pricing '!$A$954:$K$978,11,FALSE)</f>
        <v>0.50965432994981086</v>
      </c>
      <c r="G28" s="93">
        <f t="shared" si="7"/>
        <v>0.63465432994981086</v>
      </c>
      <c r="H28" s="99">
        <f t="shared" si="2"/>
        <v>5.25</v>
      </c>
      <c r="I28" s="93">
        <f>-VLOOKUP(H28,'[1]Pricing '!$A$910:$K$929,11,FALSE)+100</f>
        <v>2.0030000000000001</v>
      </c>
      <c r="J28" s="94">
        <f t="shared" si="8"/>
        <v>2.1280000000000001</v>
      </c>
      <c r="K28" s="223">
        <f t="shared" si="3"/>
        <v>5.5</v>
      </c>
      <c r="L28" s="93">
        <f>100-VLOOKUP(K28,'[1]Pricing '!$A$883:$K$907,11,FALSE)</f>
        <v>-0.22223205450058003</v>
      </c>
      <c r="M28" s="100">
        <f t="shared" si="9"/>
        <v>-9.7232054500580034E-2</v>
      </c>
      <c r="N28" s="99">
        <f t="shared" si="4"/>
        <v>5.25</v>
      </c>
      <c r="O28" s="93">
        <f>100-VLOOKUP(N28,'[1]Pricing '!$A$932:$K$951,11,FALSE)</f>
        <v>2.0030000000000001</v>
      </c>
      <c r="P28" s="100">
        <f t="shared" si="10"/>
        <v>2.1280000000000001</v>
      </c>
      <c r="Q28" s="99">
        <f t="shared" si="5"/>
        <v>5.625</v>
      </c>
      <c r="R28" s="93">
        <f>100-VLOOKUP(Q28,'[1]Pricing '!$A$2450:$K$2474,11,FALSE)</f>
        <v>0.48465432994981938</v>
      </c>
      <c r="S28" s="94">
        <f t="shared" si="11"/>
        <v>0.60965432994981938</v>
      </c>
    </row>
    <row r="29" spans="2:25" ht="21.75" customHeight="1" x14ac:dyDescent="0.25">
      <c r="B29" s="104">
        <f t="shared" si="0"/>
        <v>5.625</v>
      </c>
      <c r="C29" s="93">
        <f>-VLOOKUP(B29,'[1]Pricing '!$A$856:$K$880,11,FALSE)+100</f>
        <v>-0.14803513188124384</v>
      </c>
      <c r="D29" s="100">
        <f t="shared" si="6"/>
        <v>-2.3035131881243842E-2</v>
      </c>
      <c r="E29" s="99">
        <f t="shared" si="1"/>
        <v>5.75</v>
      </c>
      <c r="F29" s="93">
        <f>100-VLOOKUP(E29,'[1]Pricing '!$A$954:$K$978,11,FALSE)</f>
        <v>2.5237042894474371E-2</v>
      </c>
      <c r="G29" s="93">
        <f t="shared" si="7"/>
        <v>0.15023704289447437</v>
      </c>
      <c r="H29" s="99">
        <f t="shared" si="2"/>
        <v>5.375</v>
      </c>
      <c r="I29" s="93">
        <f>-VLOOKUP(H29,'[1]Pricing '!$A$910:$K$929,11,FALSE)+100</f>
        <v>1.546999999999997</v>
      </c>
      <c r="J29" s="94">
        <f t="shared" si="8"/>
        <v>1.671999999999997</v>
      </c>
      <c r="K29" s="223">
        <f t="shared" si="3"/>
        <v>5.625</v>
      </c>
      <c r="L29" s="93">
        <f>100-VLOOKUP(K29,'[1]Pricing '!$A$883:$K$907,11,FALSE)</f>
        <v>-0.54803513188124953</v>
      </c>
      <c r="M29" s="100">
        <f t="shared" si="9"/>
        <v>-0.42303513188124953</v>
      </c>
      <c r="N29" s="99">
        <f t="shared" si="4"/>
        <v>5.375</v>
      </c>
      <c r="O29" s="93">
        <f>100-VLOOKUP(N29,'[1]Pricing '!$A$932:$K$951,11,FALSE)</f>
        <v>1.546999999999997</v>
      </c>
      <c r="P29" s="100">
        <f t="shared" si="10"/>
        <v>1.671999999999997</v>
      </c>
      <c r="Q29" s="99">
        <f t="shared" si="5"/>
        <v>5.75</v>
      </c>
      <c r="R29" s="93">
        <f>100-VLOOKUP(Q29,'[1]Pricing '!$A$2450:$K$2474,11,FALSE)</f>
        <v>2.3704289448289728E-4</v>
      </c>
      <c r="S29" s="94">
        <f t="shared" si="11"/>
        <v>0.1252370428944829</v>
      </c>
    </row>
    <row r="30" spans="2:25" ht="21.75" customHeight="1" x14ac:dyDescent="0.25">
      <c r="B30" s="104">
        <f t="shared" si="0"/>
        <v>5.75</v>
      </c>
      <c r="C30" s="93">
        <f>-VLOOKUP(B30,'[1]Pricing '!$A$856:$K$880,11,FALSE)+100</f>
        <v>-0.7613321532792412</v>
      </c>
      <c r="D30" s="100">
        <f t="shared" si="6"/>
        <v>-0.6363321532792412</v>
      </c>
      <c r="E30" s="99">
        <f t="shared" si="1"/>
        <v>5.875</v>
      </c>
      <c r="F30" s="93">
        <f>100-VLOOKUP(E30,'[1]Pricing '!$A$954:$K$978,11,FALSE)</f>
        <v>-0.23355799998836346</v>
      </c>
      <c r="G30" s="93">
        <f t="shared" si="7"/>
        <v>-0.10855799998836346</v>
      </c>
      <c r="H30" s="99">
        <f t="shared" si="2"/>
        <v>5.5</v>
      </c>
      <c r="I30" s="93">
        <f>-VLOOKUP(H30,'[1]Pricing '!$A$910:$K$929,11,FALSE)+100</f>
        <v>1.0969999999999942</v>
      </c>
      <c r="J30" s="94">
        <f t="shared" si="8"/>
        <v>1.2219999999999942</v>
      </c>
      <c r="K30" s="223">
        <f t="shared" si="3"/>
        <v>5.75</v>
      </c>
      <c r="L30" s="93">
        <f>100-VLOOKUP(K30,'[1]Pricing '!$A$883:$K$907,11,FALSE)</f>
        <v>-1.1613321532792469</v>
      </c>
      <c r="M30" s="100">
        <f t="shared" si="9"/>
        <v>-1.0363321532792469</v>
      </c>
      <c r="N30" s="99">
        <f t="shared" si="4"/>
        <v>5.5</v>
      </c>
      <c r="O30" s="93">
        <f>100-VLOOKUP(N30,'[1]Pricing '!$A$932:$K$951,11,FALSE)</f>
        <v>1.0969999999999942</v>
      </c>
      <c r="P30" s="100">
        <f t="shared" si="10"/>
        <v>1.2219999999999942</v>
      </c>
      <c r="Q30" s="99">
        <f t="shared" si="5"/>
        <v>5.875</v>
      </c>
      <c r="R30" s="93">
        <f>100-VLOOKUP(Q30,'[1]Pricing '!$A$2450:$K$2474,11,FALSE)</f>
        <v>-0.25855799998835494</v>
      </c>
      <c r="S30" s="94">
        <f t="shared" si="11"/>
        <v>-0.13355799998835494</v>
      </c>
    </row>
    <row r="31" spans="2:25" ht="21.75" customHeight="1" x14ac:dyDescent="0.25">
      <c r="B31" s="104">
        <f t="shared" si="0"/>
        <v>5.875</v>
      </c>
      <c r="C31" s="93">
        <f>-VLOOKUP(B31,'[1]Pricing '!$A$856:$K$880,11,FALSE)+100</f>
        <v>-1.0832635401375228</v>
      </c>
      <c r="D31" s="100">
        <f t="shared" si="6"/>
        <v>-0.9582635401375228</v>
      </c>
      <c r="E31" s="99">
        <f t="shared" si="1"/>
        <v>6</v>
      </c>
      <c r="F31" s="93">
        <f>100-VLOOKUP(E31,'[1]Pricing '!$A$954:$K$978,11,FALSE)</f>
        <v>-0.48783553544994618</v>
      </c>
      <c r="G31" s="93">
        <f t="shared" si="7"/>
        <v>-0.36283553544994618</v>
      </c>
      <c r="H31" s="99">
        <f t="shared" si="2"/>
        <v>5.625</v>
      </c>
      <c r="I31" s="93">
        <f>-VLOOKUP(H31,'[1]Pricing '!$A$910:$K$929,11,FALSE)+100</f>
        <v>0.65099999999999625</v>
      </c>
      <c r="J31" s="94">
        <f t="shared" si="8"/>
        <v>0.77599999999999625</v>
      </c>
      <c r="K31" s="223">
        <f t="shared" si="3"/>
        <v>5.875</v>
      </c>
      <c r="L31" s="93">
        <f>100-VLOOKUP(K31,'[1]Pricing '!$A$883:$K$907,11,FALSE)</f>
        <v>-1.4832635401375285</v>
      </c>
      <c r="M31" s="100">
        <f t="shared" si="9"/>
        <v>-1.3582635401375285</v>
      </c>
      <c r="N31" s="99">
        <f t="shared" si="4"/>
        <v>5.625</v>
      </c>
      <c r="O31" s="93">
        <f>100-VLOOKUP(N31,'[1]Pricing '!$A$932:$K$951,11,FALSE)</f>
        <v>0.65099999999999625</v>
      </c>
      <c r="P31" s="100">
        <f t="shared" si="10"/>
        <v>0.77599999999999625</v>
      </c>
      <c r="Q31" s="99">
        <f t="shared" si="5"/>
        <v>6</v>
      </c>
      <c r="R31" s="93">
        <f>100-VLOOKUP(Q31,'[1]Pricing '!$A$2450:$K$2474,11,FALSE)</f>
        <v>-0.51283553544993765</v>
      </c>
      <c r="S31" s="94">
        <f t="shared" si="11"/>
        <v>-0.38783553544993765</v>
      </c>
    </row>
    <row r="32" spans="2:25" ht="21.75" customHeight="1" x14ac:dyDescent="0.25">
      <c r="B32" s="104">
        <f t="shared" si="0"/>
        <v>6</v>
      </c>
      <c r="C32" s="93">
        <f>-VLOOKUP(B32,'[1]Pricing '!$A$856:$K$880,11,FALSE)+100</f>
        <v>-1.3998923900614102</v>
      </c>
      <c r="D32" s="100">
        <f t="shared" ref="D32:D40" si="12">C32-$Y$36</f>
        <v>-1.2748923900614102</v>
      </c>
      <c r="E32" s="99">
        <f t="shared" si="1"/>
        <v>6.125</v>
      </c>
      <c r="F32" s="93">
        <f>100-VLOOKUP(E32,'[1]Pricing '!$A$954:$K$978,11,FALSE)</f>
        <v>-0.71916566053886299</v>
      </c>
      <c r="G32" s="93">
        <f t="shared" ref="G32:G40" si="13">F32-$Y$36</f>
        <v>-0.59416566053886299</v>
      </c>
      <c r="H32" s="99">
        <f t="shared" si="2"/>
        <v>5.75</v>
      </c>
      <c r="I32" s="93">
        <f>-VLOOKUP(H32,'[1]Pricing '!$A$910:$K$929,11,FALSE)+100</f>
        <v>-0.11500000000000909</v>
      </c>
      <c r="J32" s="94">
        <f t="shared" ref="J32:J37" si="14">I32-$Y$36</f>
        <v>9.9999999999909051E-3</v>
      </c>
      <c r="K32" s="223">
        <f t="shared" si="3"/>
        <v>6</v>
      </c>
      <c r="L32" s="93">
        <f>100-VLOOKUP(K32,'[1]Pricing '!$A$883:$K$907,11,FALSE)</f>
        <v>-1.7998923900614159</v>
      </c>
      <c r="M32" s="100">
        <f t="shared" ref="M32:M40" si="15">L32-$Y$36</f>
        <v>-1.6748923900614159</v>
      </c>
      <c r="N32" s="99">
        <f t="shared" si="4"/>
        <v>5.75</v>
      </c>
      <c r="O32" s="93">
        <f>100-VLOOKUP(N32,'[1]Pricing '!$A$932:$K$951,11,FALSE)</f>
        <v>-0.11500000000000909</v>
      </c>
      <c r="P32" s="100">
        <f t="shared" ref="P32:P37" si="16">O32-$Y$36</f>
        <v>9.9999999999909051E-3</v>
      </c>
      <c r="Q32" s="99">
        <f t="shared" si="5"/>
        <v>6.125</v>
      </c>
      <c r="R32" s="93">
        <f>100-VLOOKUP(Q32,'[1]Pricing '!$A$2450:$K$2474,11,FALSE)</f>
        <v>-0.74416566053885447</v>
      </c>
      <c r="S32" s="94">
        <f t="shared" ref="S32:S40" si="17">R32-$Y$36</f>
        <v>-0.61916566053885447</v>
      </c>
    </row>
    <row r="33" spans="2:25" ht="21.75" customHeight="1" x14ac:dyDescent="0.25">
      <c r="B33" s="104">
        <f t="shared" si="0"/>
        <v>6.125</v>
      </c>
      <c r="C33" s="93">
        <f>-VLOOKUP(B33,'[1]Pricing '!$A$856:$K$880,11,FALSE)+100</f>
        <v>-1.6932712692504452</v>
      </c>
      <c r="D33" s="100">
        <f t="shared" si="12"/>
        <v>-1.5682712692504452</v>
      </c>
      <c r="E33" s="99">
        <f t="shared" si="1"/>
        <v>6.25</v>
      </c>
      <c r="F33" s="93">
        <f>100-VLOOKUP(E33,'[1]Pricing '!$A$954:$K$978,11,FALSE)</f>
        <v>-0.92216640408007322</v>
      </c>
      <c r="G33" s="93">
        <f t="shared" si="13"/>
        <v>-0.79716640408007322</v>
      </c>
      <c r="H33" s="99">
        <f t="shared" si="2"/>
        <v>5.875</v>
      </c>
      <c r="I33" s="93">
        <f>-VLOOKUP(H33,'[1]Pricing '!$A$910:$K$929,11,FALSE)+100</f>
        <v>-0.56100000000000705</v>
      </c>
      <c r="J33" s="94">
        <f t="shared" si="14"/>
        <v>-0.43600000000000705</v>
      </c>
      <c r="K33" s="223">
        <f t="shared" si="3"/>
        <v>6.125</v>
      </c>
      <c r="L33" s="93">
        <f>100-VLOOKUP(K33,'[1]Pricing '!$A$883:$K$907,11,FALSE)</f>
        <v>-2.0932712692504509</v>
      </c>
      <c r="M33" s="100">
        <f t="shared" si="15"/>
        <v>-1.9682712692504509</v>
      </c>
      <c r="N33" s="99">
        <f t="shared" si="4"/>
        <v>5.875</v>
      </c>
      <c r="O33" s="93">
        <f>100-VLOOKUP(N33,'[1]Pricing '!$A$932:$K$951,11,FALSE)</f>
        <v>-0.56100000000000705</v>
      </c>
      <c r="P33" s="100">
        <f t="shared" si="16"/>
        <v>-0.43600000000000705</v>
      </c>
      <c r="Q33" s="99">
        <f t="shared" si="5"/>
        <v>6.25</v>
      </c>
      <c r="R33" s="93">
        <f>100-VLOOKUP(Q33,'[1]Pricing '!$A$2450:$K$2474,11,FALSE)</f>
        <v>-0.94716640408006469</v>
      </c>
      <c r="S33" s="94">
        <f t="shared" si="17"/>
        <v>-0.82216640408006469</v>
      </c>
    </row>
    <row r="34" spans="2:25" ht="21.75" customHeight="1" x14ac:dyDescent="0.4">
      <c r="B34" s="104">
        <f t="shared" si="0"/>
        <v>6.25</v>
      </c>
      <c r="C34" s="93">
        <f>-VLOOKUP(B34,'[1]Pricing '!$A$856:$K$880,11,FALSE)+100</f>
        <v>-1.9570935962355378</v>
      </c>
      <c r="D34" s="100">
        <f t="shared" si="12"/>
        <v>-1.8320935962355378</v>
      </c>
      <c r="E34" s="99">
        <f t="shared" si="1"/>
        <v>6.375</v>
      </c>
      <c r="F34" s="93">
        <f>100-VLOOKUP(E34,'[1]Pricing '!$A$954:$K$978,11,FALSE)</f>
        <v>-1.0458442861347947</v>
      </c>
      <c r="G34" s="93">
        <f t="shared" si="13"/>
        <v>-0.92084428613479474</v>
      </c>
      <c r="H34" s="99">
        <f t="shared" si="2"/>
        <v>6</v>
      </c>
      <c r="I34" s="93">
        <f>-VLOOKUP(H34,'[1]Pricing '!$A$910:$K$929,11,FALSE)+100</f>
        <v>-1.0040000000000049</v>
      </c>
      <c r="J34" s="94">
        <f t="shared" si="14"/>
        <v>-0.87900000000000489</v>
      </c>
      <c r="K34" s="223">
        <f t="shared" si="3"/>
        <v>6.25</v>
      </c>
      <c r="L34" s="93">
        <f>100-VLOOKUP(K34,'[1]Pricing '!$A$883:$K$907,11,FALSE)</f>
        <v>-2.3570935962355435</v>
      </c>
      <c r="M34" s="100">
        <f t="shared" si="15"/>
        <v>-2.2320935962355435</v>
      </c>
      <c r="N34" s="99">
        <f t="shared" si="4"/>
        <v>6</v>
      </c>
      <c r="O34" s="93">
        <f>100-VLOOKUP(N34,'[1]Pricing '!$A$932:$K$951,11,FALSE)</f>
        <v>-1.0040000000000049</v>
      </c>
      <c r="P34" s="100">
        <f t="shared" si="16"/>
        <v>-0.87900000000000489</v>
      </c>
      <c r="Q34" s="99">
        <f t="shared" si="5"/>
        <v>6.375</v>
      </c>
      <c r="R34" s="93">
        <f>100-VLOOKUP(Q34,'[1]Pricing '!$A$2450:$K$2474,11,FALSE)</f>
        <v>-1.0708442861347862</v>
      </c>
      <c r="S34" s="94">
        <f t="shared" si="17"/>
        <v>-0.94584428613478622</v>
      </c>
      <c r="Y34" s="195" t="s">
        <v>13</v>
      </c>
    </row>
    <row r="35" spans="2:25" ht="21.75" customHeight="1" x14ac:dyDescent="0.3">
      <c r="B35" s="104">
        <f t="shared" si="0"/>
        <v>6.375</v>
      </c>
      <c r="C35" s="93">
        <f>-VLOOKUP(B35,'[1]Pricing '!$A$856:$K$880,11,FALSE)+100</f>
        <v>-2.2077554241133726</v>
      </c>
      <c r="D35" s="100">
        <f t="shared" si="12"/>
        <v>-2.0827554241133726</v>
      </c>
      <c r="E35" s="99">
        <f t="shared" si="1"/>
        <v>6.5</v>
      </c>
      <c r="F35" s="93">
        <f>100-VLOOKUP(E35,'[1]Pricing '!$A$954:$K$978,11,FALSE)</f>
        <v>-1.2399603924581726</v>
      </c>
      <c r="G35" s="93">
        <f t="shared" si="13"/>
        <v>-1.1149603924581726</v>
      </c>
      <c r="H35" s="99">
        <f t="shared" si="2"/>
        <v>6.125</v>
      </c>
      <c r="I35" s="93">
        <f>-VLOOKUP(H35,'[1]Pricing '!$A$910:$K$929,11,FALSE)+100</f>
        <v>-1.4420000000000073</v>
      </c>
      <c r="J35" s="94">
        <f t="shared" si="14"/>
        <v>-1.3170000000000073</v>
      </c>
      <c r="K35" s="223">
        <f t="shared" si="3"/>
        <v>6.375</v>
      </c>
      <c r="L35" s="93">
        <f>100-VLOOKUP(K35,'[1]Pricing '!$A$883:$K$907,11,FALSE)</f>
        <v>-2.6077554241133782</v>
      </c>
      <c r="M35" s="100">
        <f t="shared" si="15"/>
        <v>-2.4827554241133782</v>
      </c>
      <c r="N35" s="99">
        <f t="shared" si="4"/>
        <v>6.125</v>
      </c>
      <c r="O35" s="93">
        <f>100-VLOOKUP(N35,'[1]Pricing '!$A$932:$K$951,11,FALSE)</f>
        <v>-1.4420000000000073</v>
      </c>
      <c r="P35" s="100">
        <f t="shared" si="16"/>
        <v>-1.3170000000000073</v>
      </c>
      <c r="Q35" s="99">
        <f t="shared" si="5"/>
        <v>6.5</v>
      </c>
      <c r="R35" s="93">
        <f>100-VLOOKUP(Q35,'[1]Pricing '!$A$2450:$K$2474,11,FALSE)</f>
        <v>-1.2649603924581641</v>
      </c>
      <c r="S35" s="94">
        <f t="shared" si="17"/>
        <v>-1.1399603924581641</v>
      </c>
      <c r="Y35" s="173" t="s">
        <v>256</v>
      </c>
    </row>
    <row r="36" spans="2:25" ht="21.75" customHeight="1" x14ac:dyDescent="0.25">
      <c r="B36" s="104">
        <f t="shared" si="0"/>
        <v>6.5</v>
      </c>
      <c r="C36" s="93">
        <f>-VLOOKUP(B36,'[1]Pricing '!$A$856:$K$880,11,FALSE)+100</f>
        <v>-2.4607371752720155</v>
      </c>
      <c r="D36" s="100">
        <f t="shared" si="12"/>
        <v>-2.3357371752720155</v>
      </c>
      <c r="E36" s="99">
        <f t="shared" si="1"/>
        <v>6.625</v>
      </c>
      <c r="F36" s="93">
        <f>100-VLOOKUP(E36,'[1]Pricing '!$A$954:$K$978,11,FALSE)</f>
        <v>-1.4057659824361366</v>
      </c>
      <c r="G36" s="93">
        <f t="shared" si="13"/>
        <v>-1.2807659824361366</v>
      </c>
      <c r="H36" s="99">
        <f t="shared" si="2"/>
        <v>6.25</v>
      </c>
      <c r="I36" s="93">
        <f>-VLOOKUP(H36,'[1]Pricing '!$A$910:$K$929,11,FALSE)+100</f>
        <v>-0.9030000000000058</v>
      </c>
      <c r="J36" s="94">
        <f t="shared" si="14"/>
        <v>-0.7780000000000058</v>
      </c>
      <c r="K36" s="223">
        <f t="shared" si="3"/>
        <v>6.5</v>
      </c>
      <c r="L36" s="93">
        <f>100-VLOOKUP(K36,'[1]Pricing '!$A$883:$K$907,11,FALSE)</f>
        <v>-2.8607371752720212</v>
      </c>
      <c r="M36" s="100">
        <f t="shared" si="15"/>
        <v>-2.7357371752720212</v>
      </c>
      <c r="N36" s="99">
        <f t="shared" si="4"/>
        <v>6.25</v>
      </c>
      <c r="O36" s="93">
        <f>100-VLOOKUP(N36,'[1]Pricing '!$A$932:$K$951,11,FALSE)</f>
        <v>-0.9030000000000058</v>
      </c>
      <c r="P36" s="100">
        <f t="shared" si="16"/>
        <v>-0.7780000000000058</v>
      </c>
      <c r="Q36" s="99">
        <f t="shared" si="5"/>
        <v>6.625</v>
      </c>
      <c r="R36" s="93">
        <f>100-VLOOKUP(Q36,'[1]Pricing '!$A$2450:$K$2474,11,FALSE)</f>
        <v>-1.4307659824361281</v>
      </c>
      <c r="S36" s="94">
        <f t="shared" si="17"/>
        <v>-1.3057659824361281</v>
      </c>
      <c r="Y36" s="196">
        <v>-0.125</v>
      </c>
    </row>
    <row r="37" spans="2:25" ht="21.75" customHeight="1" x14ac:dyDescent="0.25">
      <c r="B37" s="104">
        <f t="shared" si="0"/>
        <v>6.625</v>
      </c>
      <c r="C37" s="93">
        <f>-VLOOKUP(B37,'[1]Pricing '!$A$856:$K$880,11,FALSE)+100</f>
        <v>-2.682177417078222</v>
      </c>
      <c r="D37" s="100">
        <f t="shared" si="12"/>
        <v>-2.557177417078222</v>
      </c>
      <c r="E37" s="99">
        <f t="shared" si="1"/>
        <v>6.75</v>
      </c>
      <c r="F37" s="93">
        <f>100-VLOOKUP(E37,'[1]Pricing '!$A$954:$K$978,11,FALSE)</f>
        <v>-1.7196626765622938</v>
      </c>
      <c r="G37" s="93">
        <f t="shared" si="13"/>
        <v>-1.5946626765622938</v>
      </c>
      <c r="H37" s="99">
        <f t="shared" si="2"/>
        <v>6.375</v>
      </c>
      <c r="I37" s="93">
        <f>-VLOOKUP(H37,'[1]Pricing '!$A$910:$K$929,11,FALSE)+100</f>
        <v>-1.3410000000000082</v>
      </c>
      <c r="J37" s="94">
        <f t="shared" si="14"/>
        <v>-1.2160000000000082</v>
      </c>
      <c r="K37" s="223">
        <f t="shared" si="3"/>
        <v>6.625</v>
      </c>
      <c r="L37" s="93">
        <f>100-VLOOKUP(K37,'[1]Pricing '!$A$883:$K$907,11,FALSE)</f>
        <v>-3.0821774170782277</v>
      </c>
      <c r="M37" s="100">
        <f t="shared" si="15"/>
        <v>-2.9571774170782277</v>
      </c>
      <c r="N37" s="99">
        <f t="shared" si="4"/>
        <v>6.375</v>
      </c>
      <c r="O37" s="93">
        <f>100-VLOOKUP(N37,'[1]Pricing '!$A$932:$K$951,11,FALSE)</f>
        <v>-1.3410000000000082</v>
      </c>
      <c r="P37" s="100">
        <f t="shared" si="16"/>
        <v>-1.2160000000000082</v>
      </c>
      <c r="Q37" s="99">
        <f t="shared" si="5"/>
        <v>6.75</v>
      </c>
      <c r="R37" s="93">
        <f>100-VLOOKUP(Q37,'[1]Pricing '!$A$2450:$K$2474,11,FALSE)</f>
        <v>-1.7446626765622852</v>
      </c>
      <c r="S37" s="94">
        <f t="shared" si="17"/>
        <v>-1.6196626765622852</v>
      </c>
    </row>
    <row r="38" spans="2:25" ht="21.75" customHeight="1" x14ac:dyDescent="0.25">
      <c r="B38" s="104">
        <f t="shared" si="0"/>
        <v>6.75</v>
      </c>
      <c r="C38" s="93">
        <f>-VLOOKUP(B38,'[1]Pricing '!$A$856:$K$880,11,FALSE)+100</f>
        <v>-3.912608718622522</v>
      </c>
      <c r="D38" s="100">
        <f t="shared" si="12"/>
        <v>-3.787608718622522</v>
      </c>
      <c r="E38" s="99">
        <f t="shared" si="1"/>
        <v>6.875</v>
      </c>
      <c r="F38" s="93">
        <f>100-VLOOKUP(E38,'[1]Pricing '!$A$954:$K$978,11,FALSE)</f>
        <v>-1.8867089152779926</v>
      </c>
      <c r="G38" s="93">
        <f t="shared" si="13"/>
        <v>-1.7617089152779926</v>
      </c>
      <c r="H38" s="99">
        <f t="shared" si="2"/>
        <v>6.5</v>
      </c>
      <c r="I38" s="93">
        <f>-VLOOKUP(H38,'[1]Pricing '!$A$910:$K$929,11,FALSE)+100</f>
        <v>-1.7760000000000105</v>
      </c>
      <c r="J38" s="94">
        <f t="shared" ref="J38" si="18">I38-$Y$36</f>
        <v>-1.6510000000000105</v>
      </c>
      <c r="K38" s="223">
        <f t="shared" si="3"/>
        <v>6.75</v>
      </c>
      <c r="L38" s="93">
        <f>100-VLOOKUP(K38,'[1]Pricing '!$A$883:$K$907,11,FALSE)</f>
        <v>-4.3126087186225277</v>
      </c>
      <c r="M38" s="100">
        <f t="shared" si="15"/>
        <v>-4.1876087186225277</v>
      </c>
      <c r="N38" s="99">
        <f t="shared" si="4"/>
        <v>6.5</v>
      </c>
      <c r="O38" s="93">
        <f>100-VLOOKUP(N38,'[1]Pricing '!$A$932:$K$951,11,FALSE)</f>
        <v>-1.7760000000000105</v>
      </c>
      <c r="P38" s="100">
        <f t="shared" ref="P38" si="19">O38-$Y$36</f>
        <v>-1.6510000000000105</v>
      </c>
      <c r="Q38" s="99">
        <f t="shared" si="5"/>
        <v>6.875</v>
      </c>
      <c r="R38" s="93">
        <f>100-VLOOKUP(Q38,'[1]Pricing '!$A$2450:$K$2474,11,FALSE)</f>
        <v>-1.911708915277984</v>
      </c>
      <c r="S38" s="94">
        <f t="shared" si="17"/>
        <v>-1.786708915277984</v>
      </c>
      <c r="Y38" s="159"/>
    </row>
    <row r="39" spans="2:25" ht="21.75" customHeight="1" x14ac:dyDescent="0.25">
      <c r="B39" s="104">
        <f t="shared" si="0"/>
        <v>6.875</v>
      </c>
      <c r="C39" s="93">
        <f>-VLOOKUP(B39,'[1]Pricing '!$A$856:$K$880,11,FALSE)+100</f>
        <v>-4.1338422840346851</v>
      </c>
      <c r="D39" s="100">
        <f t="shared" si="12"/>
        <v>-4.0088422840346851</v>
      </c>
      <c r="E39" s="99">
        <f t="shared" si="1"/>
        <v>7</v>
      </c>
      <c r="F39" s="93">
        <f>100-VLOOKUP(E39,'[1]Pricing '!$A$954:$K$978,11,FALSE)</f>
        <v>-2.0284680585016588</v>
      </c>
      <c r="G39" s="93">
        <f t="shared" si="13"/>
        <v>-1.9034680585016588</v>
      </c>
      <c r="H39" s="99"/>
      <c r="I39" s="93"/>
      <c r="J39" s="94"/>
      <c r="K39" s="223">
        <f t="shared" si="3"/>
        <v>6.875</v>
      </c>
      <c r="L39" s="93">
        <f>100-VLOOKUP(K39,'[1]Pricing '!$A$883:$K$907,11,FALSE)</f>
        <v>-4.5338422840346908</v>
      </c>
      <c r="M39" s="100">
        <f t="shared" si="15"/>
        <v>-4.4088422840346908</v>
      </c>
      <c r="N39" s="99"/>
      <c r="O39" s="93"/>
      <c r="P39" s="100"/>
      <c r="Q39" s="99">
        <f t="shared" si="5"/>
        <v>7</v>
      </c>
      <c r="R39" s="93">
        <f>100-VLOOKUP(Q39,'[1]Pricing '!$A$2450:$K$2474,11,FALSE)</f>
        <v>-2.0534680585016503</v>
      </c>
      <c r="S39" s="94">
        <f t="shared" si="17"/>
        <v>-1.9284680585016503</v>
      </c>
    </row>
    <row r="40" spans="2:25" ht="21.75" customHeight="1" x14ac:dyDescent="0.25">
      <c r="B40" s="104">
        <f t="shared" si="0"/>
        <v>7</v>
      </c>
      <c r="C40" s="93">
        <f>-VLOOKUP(B40,'[1]Pricing '!$A$856:$K$880,11,FALSE)+100</f>
        <v>-4.3256027155203469</v>
      </c>
      <c r="D40" s="100">
        <f t="shared" si="12"/>
        <v>-4.2006027155203469</v>
      </c>
      <c r="E40" s="99">
        <f t="shared" si="1"/>
        <v>7.125</v>
      </c>
      <c r="F40" s="93">
        <f>100-VLOOKUP(E40,'[1]Pricing '!$A$954:$K$978,11,FALSE)</f>
        <v>-2.1468488436994448</v>
      </c>
      <c r="G40" s="93">
        <f t="shared" si="13"/>
        <v>-2.0218488436994448</v>
      </c>
      <c r="H40" s="99"/>
      <c r="I40" s="93"/>
      <c r="J40" s="94"/>
      <c r="K40" s="223">
        <f t="shared" si="3"/>
        <v>7</v>
      </c>
      <c r="L40" s="93">
        <f>100-VLOOKUP(K40,'[1]Pricing '!$A$883:$K$907,11,FALSE)</f>
        <v>-4.7256027155203526</v>
      </c>
      <c r="M40" s="100">
        <f t="shared" si="15"/>
        <v>-4.6006027155203526</v>
      </c>
      <c r="N40" s="99"/>
      <c r="O40" s="93"/>
      <c r="P40" s="100"/>
      <c r="Q40" s="99">
        <f t="shared" si="5"/>
        <v>7.125</v>
      </c>
      <c r="R40" s="93">
        <f>100-VLOOKUP(Q40,'[1]Pricing '!$A$2450:$K$2474,11,FALSE)</f>
        <v>-2.1718488436994363</v>
      </c>
      <c r="S40" s="94">
        <f t="shared" si="17"/>
        <v>-2.0468488436994363</v>
      </c>
    </row>
    <row r="41" spans="2:25" ht="21.75" customHeight="1" x14ac:dyDescent="0.25">
      <c r="B41" s="104">
        <f t="shared" si="0"/>
        <v>7.125</v>
      </c>
      <c r="C41" s="93">
        <f>-VLOOKUP(B41,'[1]Pricing '!$A$856:$K$880,11,FALSE)+100</f>
        <v>-4.4895207690580463</v>
      </c>
      <c r="D41" s="100">
        <f t="shared" ref="D41:D45" si="20">C41-$Y$36</f>
        <v>-4.3645207690580463</v>
      </c>
      <c r="E41" s="99">
        <f t="shared" si="1"/>
        <v>7.25</v>
      </c>
      <c r="F41" s="93">
        <f>100-VLOOKUP(E41,'[1]Pricing '!$A$954:$K$978,11,FALSE)</f>
        <v>-2.2441322600965776</v>
      </c>
      <c r="G41" s="93">
        <f t="shared" ref="G41:G45" si="21">F41-$Y$36</f>
        <v>-2.1191322600965776</v>
      </c>
      <c r="H41" s="99"/>
      <c r="I41" s="93"/>
      <c r="J41" s="94"/>
      <c r="K41" s="223">
        <f t="shared" si="3"/>
        <v>7.125</v>
      </c>
      <c r="L41" s="93">
        <f>100-VLOOKUP(K41,'[1]Pricing '!$A$883:$K$907,11,FALSE)</f>
        <v>-4.889520769058052</v>
      </c>
      <c r="M41" s="100">
        <f t="shared" ref="M41:M45" si="22">L41-$Y$36</f>
        <v>-4.764520769058052</v>
      </c>
      <c r="N41" s="99"/>
      <c r="O41" s="93"/>
      <c r="P41" s="100"/>
      <c r="Q41" s="99">
        <f t="shared" si="5"/>
        <v>7.25</v>
      </c>
      <c r="R41" s="93">
        <f>100-VLOOKUP(Q41,'[1]Pricing '!$A$2450:$K$2474,11,FALSE)</f>
        <v>-2.2691322600965691</v>
      </c>
      <c r="S41" s="94">
        <f t="shared" ref="S41:S45" si="23">R41-$Y$36</f>
        <v>-2.1441322600965691</v>
      </c>
    </row>
    <row r="42" spans="2:25" ht="21.75" customHeight="1" x14ac:dyDescent="0.25">
      <c r="B42" s="104">
        <f t="shared" si="0"/>
        <v>7.25</v>
      </c>
      <c r="C42" s="93">
        <f>-VLOOKUP(B42,'[1]Pricing '!$A$856:$K$880,11,FALSE)+100</f>
        <v>-4.6277577467635354</v>
      </c>
      <c r="D42" s="100">
        <f t="shared" si="20"/>
        <v>-4.5027577467635354</v>
      </c>
      <c r="E42" s="99">
        <f t="shared" si="1"/>
        <v>7.375</v>
      </c>
      <c r="F42" s="93">
        <f>100-VLOOKUP(E42,'[1]Pricing '!$A$954:$K$978,11,FALSE)</f>
        <v>-1.8585583286053122</v>
      </c>
      <c r="G42" s="93">
        <f t="shared" si="21"/>
        <v>-1.7335583286053122</v>
      </c>
      <c r="H42" s="99"/>
      <c r="I42" s="93"/>
      <c r="J42" s="94"/>
      <c r="K42" s="223">
        <f t="shared" si="3"/>
        <v>7.25</v>
      </c>
      <c r="L42" s="93">
        <f>100-VLOOKUP(K42,'[1]Pricing '!$A$883:$K$907,11,FALSE)</f>
        <v>-5.027757746763541</v>
      </c>
      <c r="M42" s="100">
        <f t="shared" si="22"/>
        <v>-4.902757746763541</v>
      </c>
      <c r="N42" s="99"/>
      <c r="O42" s="93"/>
      <c r="P42" s="100"/>
      <c r="Q42" s="99">
        <f t="shared" si="5"/>
        <v>7.375</v>
      </c>
      <c r="R42" s="93">
        <f>100-VLOOKUP(Q42,'[1]Pricing '!$A$2450:$K$2474,11,FALSE)</f>
        <v>-1.8835583286053037</v>
      </c>
      <c r="S42" s="94">
        <f t="shared" si="23"/>
        <v>-1.7585583286053037</v>
      </c>
    </row>
    <row r="43" spans="2:25" ht="21.75" customHeight="1" x14ac:dyDescent="0.25">
      <c r="B43" s="104">
        <f t="shared" si="0"/>
        <v>7.375</v>
      </c>
      <c r="C43" s="93">
        <f>-VLOOKUP(B43,'[1]Pricing '!$A$856:$K$880,11,FALSE)+100</f>
        <v>-3.8111370067549331</v>
      </c>
      <c r="D43" s="100">
        <f t="shared" si="20"/>
        <v>-3.6861370067549331</v>
      </c>
      <c r="E43" s="99">
        <f t="shared" si="1"/>
        <v>7.5</v>
      </c>
      <c r="F43" s="93">
        <f>100-VLOOKUP(E43,'[1]Pricing '!$A$954:$K$978,11,FALSE)</f>
        <v>-1.8057272768275965</v>
      </c>
      <c r="G43" s="93">
        <f t="shared" si="21"/>
        <v>-1.6807272768275965</v>
      </c>
      <c r="H43" s="99"/>
      <c r="I43" s="93"/>
      <c r="J43" s="94"/>
      <c r="K43" s="223">
        <f t="shared" si="3"/>
        <v>7.375</v>
      </c>
      <c r="L43" s="93">
        <f>100-VLOOKUP(K43,'[1]Pricing '!$A$883:$K$907,11,FALSE)</f>
        <v>-4.2111370067549387</v>
      </c>
      <c r="M43" s="100">
        <f t="shared" si="22"/>
        <v>-4.0861370067549387</v>
      </c>
      <c r="N43" s="99"/>
      <c r="O43" s="93"/>
      <c r="P43" s="100"/>
      <c r="Q43" s="99">
        <f t="shared" si="5"/>
        <v>7.5</v>
      </c>
      <c r="R43" s="93">
        <f>100-VLOOKUP(Q43,'[1]Pricing '!$A$2450:$K$2474,11,FALSE)</f>
        <v>-1.830727276827588</v>
      </c>
      <c r="S43" s="94">
        <f t="shared" si="23"/>
        <v>-1.705727276827588</v>
      </c>
    </row>
    <row r="44" spans="2:25" ht="21.75" customHeight="1" x14ac:dyDescent="0.25">
      <c r="B44" s="104">
        <f t="shared" si="0"/>
        <v>7.5</v>
      </c>
      <c r="C44" s="93">
        <f>-VLOOKUP(B44,'[1]Pricing '!$A$856:$K$880,11,FALSE)+100</f>
        <v>-3.9557915275569826</v>
      </c>
      <c r="D44" s="100">
        <f t="shared" si="20"/>
        <v>-3.8307915275569826</v>
      </c>
      <c r="E44" s="99">
        <f t="shared" si="1"/>
        <v>7.625</v>
      </c>
      <c r="F44" s="93">
        <f>100-VLOOKUP(E44,'[1]Pricing '!$A$954:$K$978,11,FALSE)</f>
        <v>-1.7566276582247582</v>
      </c>
      <c r="G44" s="93">
        <f t="shared" si="21"/>
        <v>-1.6316276582247582</v>
      </c>
      <c r="H44" s="99"/>
      <c r="I44" s="93"/>
      <c r="J44" s="94"/>
      <c r="K44" s="223">
        <f t="shared" si="3"/>
        <v>7.5</v>
      </c>
      <c r="L44" s="93">
        <f>100-VLOOKUP(K44,'[1]Pricing '!$A$883:$K$907,11,FALSE)</f>
        <v>-4.3557915275569883</v>
      </c>
      <c r="M44" s="100">
        <f t="shared" si="22"/>
        <v>-4.2307915275569883</v>
      </c>
      <c r="N44" s="99"/>
      <c r="O44" s="93"/>
      <c r="P44" s="100"/>
      <c r="Q44" s="99">
        <f t="shared" si="5"/>
        <v>7.625</v>
      </c>
      <c r="R44" s="93">
        <f>100-VLOOKUP(Q44,'[1]Pricing '!$A$2450:$K$2474,11,FALSE)</f>
        <v>-1.7816276582247497</v>
      </c>
      <c r="S44" s="94">
        <f t="shared" si="23"/>
        <v>-1.6566276582247497</v>
      </c>
    </row>
    <row r="45" spans="2:25" ht="21.75" customHeight="1" x14ac:dyDescent="0.25">
      <c r="B45" s="104">
        <f t="shared" si="0"/>
        <v>7.625</v>
      </c>
      <c r="C45" s="93">
        <f>-VLOOKUP(B45,'[1]Pricing '!$A$856:$K$880,11,FALSE)+100</f>
        <v>-4.0790099321288551</v>
      </c>
      <c r="D45" s="100">
        <f t="shared" si="20"/>
        <v>-3.9540099321288551</v>
      </c>
      <c r="E45" s="99">
        <f t="shared" si="1"/>
        <v>7.75</v>
      </c>
      <c r="F45" s="93">
        <f>100-VLOOKUP(E45,'[1]Pricing '!$A$954:$K$978,11,FALSE)</f>
        <v>-1.7108271764108594</v>
      </c>
      <c r="G45" s="93">
        <f t="shared" si="21"/>
        <v>-1.5858271764108594</v>
      </c>
      <c r="H45" s="99"/>
      <c r="I45" s="93"/>
      <c r="J45" s="94"/>
      <c r="K45" s="223">
        <f t="shared" si="3"/>
        <v>7.625</v>
      </c>
      <c r="L45" s="93">
        <f>100-VLOOKUP(K45,'[1]Pricing '!$A$883:$K$907,11,FALSE)</f>
        <v>-4.4790099321288608</v>
      </c>
      <c r="M45" s="100">
        <f t="shared" si="22"/>
        <v>-4.3540099321288608</v>
      </c>
      <c r="N45" s="99"/>
      <c r="O45" s="93"/>
      <c r="P45" s="100"/>
      <c r="Q45" s="99">
        <f t="shared" si="5"/>
        <v>7.75</v>
      </c>
      <c r="R45" s="93">
        <f>100-VLOOKUP(Q45,'[1]Pricing '!$A$2450:$K$2474,11,FALSE)</f>
        <v>-1.7358271764108508</v>
      </c>
      <c r="S45" s="94">
        <f t="shared" si="23"/>
        <v>-1.6108271764108508</v>
      </c>
    </row>
    <row r="46" spans="2:25" ht="21.75" customHeight="1" x14ac:dyDescent="0.25">
      <c r="B46" s="104">
        <f t="shared" si="0"/>
        <v>7.75</v>
      </c>
      <c r="C46" s="93">
        <f>-VLOOKUP(B46,'[1]Pricing '!$A$856:$K$880,11,FALSE)+100</f>
        <v>-4.183116775939709</v>
      </c>
      <c r="D46" s="100">
        <f>C46-$Y$36</f>
        <v>-4.058116775939709</v>
      </c>
      <c r="E46" s="99"/>
      <c r="F46" s="93"/>
      <c r="G46" s="93"/>
      <c r="H46" s="99"/>
      <c r="I46" s="93"/>
      <c r="J46" s="94"/>
      <c r="K46" s="223">
        <f t="shared" si="3"/>
        <v>7.75</v>
      </c>
      <c r="L46" s="93">
        <f>100-VLOOKUP(K46,'[1]Pricing '!$A$883:$K$907,11,FALSE)</f>
        <v>-4.5831167759397147</v>
      </c>
      <c r="M46" s="100">
        <f>L46-$Y$36</f>
        <v>-4.4581167759397147</v>
      </c>
      <c r="N46" s="99"/>
      <c r="O46" s="93"/>
      <c r="P46" s="100"/>
      <c r="Q46" s="99"/>
      <c r="R46" s="93"/>
      <c r="S46" s="94"/>
      <c r="Y46" s="149"/>
    </row>
    <row r="47" spans="2:25" ht="21.75" customHeight="1" thickBot="1" x14ac:dyDescent="0.3">
      <c r="B47" s="104"/>
      <c r="C47" s="93"/>
      <c r="D47" s="100"/>
      <c r="E47" s="99"/>
      <c r="F47" s="93"/>
      <c r="G47" s="93"/>
      <c r="H47" s="157"/>
      <c r="I47" s="27"/>
      <c r="J47" s="108"/>
      <c r="K47" s="223"/>
      <c r="L47" s="93"/>
      <c r="M47" s="100"/>
      <c r="N47" s="27"/>
      <c r="O47" s="27"/>
      <c r="P47" s="101"/>
      <c r="Q47" s="99"/>
      <c r="R47" s="93"/>
      <c r="S47" s="94"/>
      <c r="Y47" s="149"/>
    </row>
    <row r="48" spans="2:25" ht="22.5" customHeight="1" thickBot="1" x14ac:dyDescent="0.25">
      <c r="B48" s="2175" t="s">
        <v>220</v>
      </c>
      <c r="C48" s="2176"/>
      <c r="D48" s="2176"/>
      <c r="E48" s="2176"/>
      <c r="F48" s="2176"/>
      <c r="G48" s="2176"/>
      <c r="H48" s="2176"/>
      <c r="I48" s="2176"/>
      <c r="J48" s="2176"/>
      <c r="K48" s="2175" t="s">
        <v>221</v>
      </c>
      <c r="L48" s="2176"/>
      <c r="M48" s="2176"/>
      <c r="N48" s="2176"/>
      <c r="O48" s="2176"/>
      <c r="P48" s="2176"/>
      <c r="Q48" s="2175" t="s">
        <v>222</v>
      </c>
      <c r="R48" s="2176"/>
      <c r="S48" s="2177"/>
    </row>
    <row r="49" spans="2:25" ht="17.25" customHeight="1" x14ac:dyDescent="0.2">
      <c r="B49" s="2133" t="s">
        <v>403</v>
      </c>
      <c r="C49" s="2130"/>
      <c r="D49" s="2131"/>
      <c r="E49" s="2112" t="s">
        <v>404</v>
      </c>
      <c r="F49" s="2113"/>
      <c r="G49" s="2135"/>
      <c r="H49" s="2137" t="s">
        <v>405</v>
      </c>
      <c r="I49" s="2130"/>
      <c r="J49" s="2138"/>
      <c r="K49" s="2130" t="s">
        <v>406</v>
      </c>
      <c r="L49" s="2130"/>
      <c r="M49" s="2131"/>
      <c r="N49" s="2112" t="s">
        <v>407</v>
      </c>
      <c r="O49" s="2113"/>
      <c r="P49" s="2114"/>
      <c r="Q49" s="2121" t="s">
        <v>408</v>
      </c>
      <c r="R49" s="2122"/>
      <c r="S49" s="2123"/>
      <c r="T49" s="95"/>
    </row>
    <row r="50" spans="2:25" ht="15.75" customHeight="1" thickBot="1" x14ac:dyDescent="0.25">
      <c r="B50" s="2134"/>
      <c r="C50" s="1416"/>
      <c r="D50" s="2132"/>
      <c r="E50" s="2115"/>
      <c r="F50" s="2116"/>
      <c r="G50" s="2136"/>
      <c r="H50" s="2139"/>
      <c r="I50" s="1416"/>
      <c r="J50" s="1417"/>
      <c r="K50" s="1416"/>
      <c r="L50" s="1416"/>
      <c r="M50" s="2132"/>
      <c r="N50" s="2115"/>
      <c r="O50" s="2116"/>
      <c r="P50" s="2117"/>
      <c r="Q50" s="2124"/>
      <c r="R50" s="2125"/>
      <c r="S50" s="2126"/>
    </row>
    <row r="51" spans="2:25" ht="16.5" x14ac:dyDescent="0.25">
      <c r="B51" s="106" t="s">
        <v>14</v>
      </c>
      <c r="C51" s="893" t="s">
        <v>15</v>
      </c>
      <c r="D51" s="894" t="s">
        <v>44</v>
      </c>
      <c r="E51" s="110" t="s">
        <v>14</v>
      </c>
      <c r="F51" s="893" t="s">
        <v>15</v>
      </c>
      <c r="G51" s="894" t="s">
        <v>44</v>
      </c>
      <c r="H51" s="224" t="s">
        <v>14</v>
      </c>
      <c r="I51" s="893" t="s">
        <v>15</v>
      </c>
      <c r="J51" s="896" t="s">
        <v>44</v>
      </c>
      <c r="K51" s="224" t="s">
        <v>14</v>
      </c>
      <c r="L51" s="893" t="s">
        <v>15</v>
      </c>
      <c r="M51" s="894" t="s">
        <v>44</v>
      </c>
      <c r="N51" s="110" t="s">
        <v>14</v>
      </c>
      <c r="O51" s="893" t="s">
        <v>15</v>
      </c>
      <c r="P51" s="896" t="s">
        <v>44</v>
      </c>
      <c r="Q51" s="1146" t="s">
        <v>14</v>
      </c>
      <c r="R51" s="1163" t="s">
        <v>15</v>
      </c>
      <c r="S51" s="1147" t="s">
        <v>44</v>
      </c>
    </row>
    <row r="52" spans="2:25" ht="21.75" customHeight="1" x14ac:dyDescent="0.25">
      <c r="B52" s="111">
        <v>4.875</v>
      </c>
      <c r="C52" s="93">
        <f>-VLOOKUP(B52,'[1]Pricing '!$A$981:$K$1005,11,FALSE)+100</f>
        <v>3.1469978419469129</v>
      </c>
      <c r="D52" s="93">
        <f t="shared" ref="D52:D73" si="24">C52-$Y$36</f>
        <v>3.2719978419469129</v>
      </c>
      <c r="E52" s="99">
        <v>4.75</v>
      </c>
      <c r="F52" s="93">
        <f>100-VLOOKUP(E52,'[1]Pricing '!$A$1057:$K$1081,11,FALSE)</f>
        <v>4.3125317142802118</v>
      </c>
      <c r="G52" s="100">
        <f t="shared" ref="G52:G72" si="25">F52-$Y$36</f>
        <v>4.4375317142802118</v>
      </c>
      <c r="H52" s="107">
        <v>4.25</v>
      </c>
      <c r="I52" s="93">
        <f>-VLOOKUP(H52,'[1]Pricing '!$A$1035:$K$1054,11,FALSE)+100</f>
        <v>5.6880000000000024</v>
      </c>
      <c r="J52" s="94">
        <f t="shared" ref="J52:J63" si="26">I52-$Y$36</f>
        <v>5.8130000000000024</v>
      </c>
      <c r="K52" s="107">
        <v>4.875</v>
      </c>
      <c r="L52" s="93">
        <f>-VLOOKUP(K52,'[1]Pricing '!$A$1008:$K$1032,11,FALSE)+100</f>
        <v>2.5219978419469129</v>
      </c>
      <c r="M52" s="100">
        <f t="shared" ref="M52:M67" si="27">L52-$Y$36</f>
        <v>2.6469978419469129</v>
      </c>
      <c r="N52" s="99">
        <v>4.75</v>
      </c>
      <c r="O52" s="93">
        <f>100-VLOOKUP(N52,'[1]Pricing '!$A$2477:$K$2502,11,FALSE)</f>
        <v>4.7875317142802203</v>
      </c>
      <c r="P52" s="94">
        <f t="shared" ref="P52:P72" si="28">O52-$Y$36</f>
        <v>4.9125317142802203</v>
      </c>
      <c r="Q52" s="111">
        <v>5.125</v>
      </c>
      <c r="R52" s="93">
        <f>100-VLOOKUP(Q52,'[1]Pricing '!$A$1084:$K$1109,11,FALSE)</f>
        <v>2.6359357471113043</v>
      </c>
      <c r="S52" s="94">
        <f>R52-$Y$36</f>
        <v>2.7609357471113043</v>
      </c>
    </row>
    <row r="53" spans="2:25" ht="21.75" customHeight="1" x14ac:dyDescent="0.25">
      <c r="B53" s="111">
        <f t="shared" ref="B53:B75" si="29">B52+0.125</f>
        <v>5</v>
      </c>
      <c r="C53" s="93">
        <f>-VLOOKUP(B53,'[1]Pricing '!$A$981:$K$1005,11,FALSE)+100</f>
        <v>2.7557566133632321</v>
      </c>
      <c r="D53" s="93">
        <f t="shared" si="24"/>
        <v>2.8807566133632321</v>
      </c>
      <c r="E53" s="99">
        <f t="shared" ref="E53:E75" si="30">E52+0.125</f>
        <v>4.875</v>
      </c>
      <c r="F53" s="93">
        <f>100-VLOOKUP(E53,'[1]Pricing '!$A$1057:$K$1081,11,FALSE)</f>
        <v>3.9755067701640598</v>
      </c>
      <c r="G53" s="100">
        <f t="shared" si="25"/>
        <v>4.1005067701640598</v>
      </c>
      <c r="H53" s="107">
        <f t="shared" ref="H53:H70" si="31">H52+0.125</f>
        <v>4.375</v>
      </c>
      <c r="I53" s="93">
        <f>-VLOOKUP(H53,'[1]Pricing '!$A$1035:$K$1054,11,FALSE)+100</f>
        <v>4.7010000000000076</v>
      </c>
      <c r="J53" s="94">
        <f t="shared" si="26"/>
        <v>4.8260000000000076</v>
      </c>
      <c r="K53" s="107">
        <f t="shared" ref="K53:K75" si="32">K52+0.125</f>
        <v>5</v>
      </c>
      <c r="L53" s="93">
        <f>-VLOOKUP(K53,'[1]Pricing '!$A$1008:$K$1032,11,FALSE)+100</f>
        <v>2.1307566133632321</v>
      </c>
      <c r="M53" s="100">
        <f t="shared" si="27"/>
        <v>2.2557566133632321</v>
      </c>
      <c r="N53" s="99">
        <f t="shared" ref="N53:N75" si="33">N52+0.125</f>
        <v>4.875</v>
      </c>
      <c r="O53" s="93">
        <f>100-VLOOKUP(N53,'[1]Pricing '!$A$2477:$K$2502,11,FALSE)</f>
        <v>4.4505067701640684</v>
      </c>
      <c r="P53" s="94">
        <f t="shared" si="28"/>
        <v>4.5755067701640684</v>
      </c>
      <c r="Q53" s="111">
        <f>Q52+0.125</f>
        <v>5.25</v>
      </c>
      <c r="R53" s="93">
        <f>100-VLOOKUP(Q53,'[1]Pricing '!$A$1084:$K$1109,11,FALSE)</f>
        <v>1.318083823737922</v>
      </c>
      <c r="S53" s="94">
        <f t="shared" ref="S53:S69" si="34">R53-$Y$36</f>
        <v>1.443083823737922</v>
      </c>
    </row>
    <row r="54" spans="2:25" ht="21.75" customHeight="1" x14ac:dyDescent="0.25">
      <c r="B54" s="111">
        <f t="shared" si="29"/>
        <v>5.125</v>
      </c>
      <c r="C54" s="93">
        <f>-VLOOKUP(B54,'[1]Pricing '!$A$981:$K$1005,11,FALSE)+100</f>
        <v>2.3859357471113043</v>
      </c>
      <c r="D54" s="93">
        <f t="shared" si="24"/>
        <v>2.5109357471113043</v>
      </c>
      <c r="E54" s="99">
        <f t="shared" si="30"/>
        <v>5</v>
      </c>
      <c r="F54" s="93">
        <f>100-VLOOKUP(E54,'[1]Pricing '!$A$1057:$K$1081,11,FALSE)</f>
        <v>3.6439087298066823</v>
      </c>
      <c r="G54" s="100">
        <f t="shared" si="25"/>
        <v>3.7689087298066823</v>
      </c>
      <c r="H54" s="107">
        <f t="shared" si="31"/>
        <v>4.5</v>
      </c>
      <c r="I54" s="93">
        <f>-VLOOKUP(H54,'[1]Pricing '!$A$1035:$K$1054,11,FALSE)+100</f>
        <v>4.2180000000000035</v>
      </c>
      <c r="J54" s="94">
        <f t="shared" si="26"/>
        <v>4.3430000000000035</v>
      </c>
      <c r="K54" s="107">
        <f t="shared" si="32"/>
        <v>5.125</v>
      </c>
      <c r="L54" s="93">
        <f>-VLOOKUP(K54,'[1]Pricing '!$A$1008:$K$1032,11,FALSE)+100</f>
        <v>1.7609357471113043</v>
      </c>
      <c r="M54" s="100">
        <f t="shared" si="27"/>
        <v>1.8859357471113043</v>
      </c>
      <c r="N54" s="99">
        <f t="shared" si="33"/>
        <v>5</v>
      </c>
      <c r="O54" s="93">
        <f>100-VLOOKUP(N54,'[1]Pricing '!$A$2477:$K$2502,11,FALSE)</f>
        <v>4.1189087298066909</v>
      </c>
      <c r="P54" s="94">
        <f t="shared" si="28"/>
        <v>4.2439087298066909</v>
      </c>
      <c r="Q54" s="111">
        <f t="shared" ref="Q54:Q68" si="35">Q53+0.125</f>
        <v>5.375</v>
      </c>
      <c r="R54" s="93">
        <f>100-VLOOKUP(Q54,'[1]Pricing '!$A$1084:$K$1109,11,FALSE)</f>
        <v>0.95560812541341988</v>
      </c>
      <c r="S54" s="94">
        <f t="shared" si="34"/>
        <v>1.0806081254134199</v>
      </c>
    </row>
    <row r="55" spans="2:25" ht="21.75" customHeight="1" x14ac:dyDescent="0.25">
      <c r="B55" s="111">
        <f t="shared" si="29"/>
        <v>5.25</v>
      </c>
      <c r="C55" s="93">
        <f>-VLOOKUP(B55,'[1]Pricing '!$A$981:$K$1005,11,FALSE)+100</f>
        <v>1.068083823737922</v>
      </c>
      <c r="D55" s="93">
        <f t="shared" si="24"/>
        <v>1.193083823737922</v>
      </c>
      <c r="E55" s="99">
        <f t="shared" si="30"/>
        <v>5.125</v>
      </c>
      <c r="F55" s="93">
        <f>100-VLOOKUP(E55,'[1]Pricing '!$A$1057:$K$1081,11,FALSE)</f>
        <v>3.3363969238278912</v>
      </c>
      <c r="G55" s="100">
        <f t="shared" si="25"/>
        <v>3.4613969238278912</v>
      </c>
      <c r="H55" s="107">
        <f t="shared" si="31"/>
        <v>4.625</v>
      </c>
      <c r="I55" s="93">
        <f>-VLOOKUP(H55,'[1]Pricing '!$A$1035:$K$1054,11,FALSE)+100</f>
        <v>3.7409999999999997</v>
      </c>
      <c r="J55" s="94">
        <f t="shared" si="26"/>
        <v>3.8659999999999997</v>
      </c>
      <c r="K55" s="107">
        <f t="shared" si="32"/>
        <v>5.25</v>
      </c>
      <c r="L55" s="93">
        <f>-VLOOKUP(K55,'[1]Pricing '!$A$1008:$K$1032,11,FALSE)+100</f>
        <v>0.44308382373792199</v>
      </c>
      <c r="M55" s="100">
        <f t="shared" si="27"/>
        <v>0.56808382373792199</v>
      </c>
      <c r="N55" s="99">
        <f t="shared" si="33"/>
        <v>5.125</v>
      </c>
      <c r="O55" s="93">
        <f>100-VLOOKUP(N55,'[1]Pricing '!$A$2477:$K$2502,11,FALSE)</f>
        <v>3.8113969238278997</v>
      </c>
      <c r="P55" s="94">
        <f t="shared" si="28"/>
        <v>3.9363969238278997</v>
      </c>
      <c r="Q55" s="111">
        <f t="shared" si="35"/>
        <v>5.5</v>
      </c>
      <c r="R55" s="93">
        <f>100-VLOOKUP(Q55,'[1]Pricing '!$A$1084:$K$1109,11,FALSE)</f>
        <v>0.60276794549942281</v>
      </c>
      <c r="S55" s="94">
        <f t="shared" si="34"/>
        <v>0.72776794549942281</v>
      </c>
    </row>
    <row r="56" spans="2:25" ht="21.75" customHeight="1" x14ac:dyDescent="0.25">
      <c r="B56" s="111">
        <f t="shared" si="29"/>
        <v>5.375</v>
      </c>
      <c r="C56" s="93">
        <f>-VLOOKUP(B56,'[1]Pricing '!$A$981:$K$1005,11,FALSE)+100</f>
        <v>0.70560812541341988</v>
      </c>
      <c r="D56" s="93">
        <f t="shared" ref="D56:D61" si="36">C56-$Y$36</f>
        <v>0.83060812541341988</v>
      </c>
      <c r="E56" s="99">
        <f t="shared" si="30"/>
        <v>5.25</v>
      </c>
      <c r="F56" s="93">
        <f>100-VLOOKUP(E56,'[1]Pricing '!$A$1057:$K$1081,11,FALSE)</f>
        <v>1.1864332853028969</v>
      </c>
      <c r="G56" s="100">
        <f t="shared" ref="G56:G61" si="37">F56-$Y$36</f>
        <v>1.3114332853028969</v>
      </c>
      <c r="H56" s="107">
        <f t="shared" si="31"/>
        <v>4.75</v>
      </c>
      <c r="I56" s="93">
        <f>-VLOOKUP(H56,'[1]Pricing '!$A$1035:$K$1054,11,FALSE)+100</f>
        <v>3.8960000000000008</v>
      </c>
      <c r="J56" s="94">
        <f t="shared" ref="J56:J61" si="38">I56-$Y$36</f>
        <v>4.0210000000000008</v>
      </c>
      <c r="K56" s="107">
        <f t="shared" si="32"/>
        <v>5.375</v>
      </c>
      <c r="L56" s="93">
        <f>-VLOOKUP(K56,'[1]Pricing '!$A$1008:$K$1032,11,FALSE)+100</f>
        <v>8.0608125413419884E-2</v>
      </c>
      <c r="M56" s="100">
        <f t="shared" ref="M56:M61" si="39">L56-$Y$36</f>
        <v>0.20560812541341988</v>
      </c>
      <c r="N56" s="99">
        <f t="shared" si="33"/>
        <v>5.25</v>
      </c>
      <c r="O56" s="93">
        <f>100-VLOOKUP(N56,'[1]Pricing '!$A$2477:$K$2502,11,FALSE)</f>
        <v>1.6614332853029055</v>
      </c>
      <c r="P56" s="94">
        <f t="shared" ref="P56:P61" si="40">O56-$Y$36</f>
        <v>1.7864332853029055</v>
      </c>
      <c r="Q56" s="111">
        <f t="shared" si="35"/>
        <v>5.625</v>
      </c>
      <c r="R56" s="93">
        <f>100-VLOOKUP(Q56,'[1]Pricing '!$A$1084:$K$1109,11,FALSE)</f>
        <v>0.27696486811875332</v>
      </c>
      <c r="S56" s="94">
        <f t="shared" si="34"/>
        <v>0.40196486811875332</v>
      </c>
    </row>
    <row r="57" spans="2:25" ht="21.75" customHeight="1" x14ac:dyDescent="0.25">
      <c r="B57" s="111">
        <f t="shared" si="29"/>
        <v>5.5</v>
      </c>
      <c r="C57" s="93">
        <f>-VLOOKUP(B57,'[1]Pricing '!$A$981:$K$1005,11,FALSE)+100</f>
        <v>0.35276794549942281</v>
      </c>
      <c r="D57" s="93">
        <f t="shared" si="36"/>
        <v>0.47776794549942281</v>
      </c>
      <c r="E57" s="99">
        <f t="shared" si="30"/>
        <v>5.375</v>
      </c>
      <c r="F57" s="93">
        <f>100-VLOOKUP(E57,'[1]Pricing '!$A$1057:$K$1081,11,FALSE)</f>
        <v>0.88653232904566437</v>
      </c>
      <c r="G57" s="100">
        <f t="shared" si="37"/>
        <v>1.0115323290456644</v>
      </c>
      <c r="H57" s="107">
        <f t="shared" si="31"/>
        <v>4.875</v>
      </c>
      <c r="I57" s="93">
        <f>-VLOOKUP(H57,'[1]Pricing '!$A$1035:$K$1054,11,FALSE)+100</f>
        <v>3.4189999999999969</v>
      </c>
      <c r="J57" s="94">
        <f t="shared" si="38"/>
        <v>3.5439999999999969</v>
      </c>
      <c r="K57" s="107">
        <f t="shared" si="32"/>
        <v>5.5</v>
      </c>
      <c r="L57" s="93">
        <f>-VLOOKUP(K57,'[1]Pricing '!$A$1008:$K$1032,11,FALSE)+100</f>
        <v>-0.27223205450057719</v>
      </c>
      <c r="M57" s="100">
        <f t="shared" si="39"/>
        <v>-0.14723205450057719</v>
      </c>
      <c r="N57" s="99">
        <f t="shared" si="33"/>
        <v>5.375</v>
      </c>
      <c r="O57" s="93">
        <f>100-VLOOKUP(N57,'[1]Pricing '!$A$2477:$K$2502,11,FALSE)</f>
        <v>1.3615323290456729</v>
      </c>
      <c r="P57" s="94">
        <f t="shared" si="40"/>
        <v>1.4865323290456729</v>
      </c>
      <c r="Q57" s="111">
        <f t="shared" si="35"/>
        <v>5.75</v>
      </c>
      <c r="R57" s="93">
        <f>100-VLOOKUP(Q57,'[1]Pricing '!$A$1084:$K$1109,11,FALSE)</f>
        <v>-0.33633215327924404</v>
      </c>
      <c r="S57" s="94">
        <f t="shared" si="34"/>
        <v>-0.21133215327924404</v>
      </c>
    </row>
    <row r="58" spans="2:25" ht="21.75" customHeight="1" x14ac:dyDescent="0.25">
      <c r="B58" s="111">
        <f t="shared" si="29"/>
        <v>5.625</v>
      </c>
      <c r="C58" s="93">
        <f>-VLOOKUP(B58,'[1]Pricing '!$A$981:$K$1005,11,FALSE)+100</f>
        <v>2.6964868118753316E-2</v>
      </c>
      <c r="D58" s="93">
        <f t="shared" si="36"/>
        <v>0.15196486811875332</v>
      </c>
      <c r="E58" s="99">
        <f t="shared" si="30"/>
        <v>5.5</v>
      </c>
      <c r="F58" s="93">
        <f>100-VLOOKUP(E58,'[1]Pricing '!$A$1057:$K$1081,11,FALSE)</f>
        <v>0.59640635494609739</v>
      </c>
      <c r="G58" s="100">
        <f t="shared" si="37"/>
        <v>0.72140635494609739</v>
      </c>
      <c r="H58" s="107">
        <f t="shared" si="31"/>
        <v>5</v>
      </c>
      <c r="I58" s="93">
        <f>-VLOOKUP(H58,'[1]Pricing '!$A$1035:$K$1054,11,FALSE)+100</f>
        <v>2.9489999999999981</v>
      </c>
      <c r="J58" s="94">
        <f t="shared" si="38"/>
        <v>3.0739999999999981</v>
      </c>
      <c r="K58" s="107">
        <f t="shared" si="32"/>
        <v>5.625</v>
      </c>
      <c r="L58" s="93">
        <f>-VLOOKUP(K58,'[1]Pricing '!$A$1008:$K$1032,11,FALSE)+100</f>
        <v>-0.59803513188124668</v>
      </c>
      <c r="M58" s="100">
        <f t="shared" si="39"/>
        <v>-0.47303513188124668</v>
      </c>
      <c r="N58" s="99">
        <f t="shared" si="33"/>
        <v>5.5</v>
      </c>
      <c r="O58" s="93">
        <f>100-VLOOKUP(N58,'[1]Pricing '!$A$2477:$K$2502,11,FALSE)</f>
        <v>1.0714063549461059</v>
      </c>
      <c r="P58" s="94">
        <f t="shared" si="40"/>
        <v>1.1964063549461059</v>
      </c>
      <c r="Q58" s="111">
        <f t="shared" si="35"/>
        <v>5.875</v>
      </c>
      <c r="R58" s="93">
        <f>100-VLOOKUP(Q58,'[1]Pricing '!$A$1084:$K$1109,11,FALSE)</f>
        <v>-0.65826354013752564</v>
      </c>
      <c r="S58" s="94">
        <f t="shared" si="34"/>
        <v>-0.53326354013752564</v>
      </c>
    </row>
    <row r="59" spans="2:25" ht="21.75" customHeight="1" x14ac:dyDescent="0.25">
      <c r="B59" s="111">
        <f t="shared" si="29"/>
        <v>5.75</v>
      </c>
      <c r="C59" s="93">
        <f>-VLOOKUP(B59,'[1]Pricing '!$A$981:$K$1005,11,FALSE)+100</f>
        <v>-0.58633215327924404</v>
      </c>
      <c r="D59" s="93">
        <f t="shared" si="36"/>
        <v>-0.46133215327924404</v>
      </c>
      <c r="E59" s="99">
        <f t="shared" si="30"/>
        <v>5.625</v>
      </c>
      <c r="F59" s="93">
        <f>100-VLOOKUP(E59,'[1]Pricing '!$A$1057:$K$1081,11,FALSE)</f>
        <v>0.3346543299498137</v>
      </c>
      <c r="G59" s="100">
        <f t="shared" si="37"/>
        <v>0.4596543299498137</v>
      </c>
      <c r="H59" s="107">
        <f t="shared" si="31"/>
        <v>5.125</v>
      </c>
      <c r="I59" s="93">
        <f>-VLOOKUP(H59,'[1]Pricing '!$A$1035:$K$1054,11,FALSE)+100</f>
        <v>2.4840000000000089</v>
      </c>
      <c r="J59" s="94">
        <f t="shared" si="38"/>
        <v>2.6090000000000089</v>
      </c>
      <c r="K59" s="107">
        <f t="shared" si="32"/>
        <v>5.75</v>
      </c>
      <c r="L59" s="93">
        <f>-VLOOKUP(K59,'[1]Pricing '!$A$1008:$K$1032,11,FALSE)+100</f>
        <v>-1.0113321532792412</v>
      </c>
      <c r="M59" s="100">
        <f t="shared" si="39"/>
        <v>-0.8863321532792412</v>
      </c>
      <c r="N59" s="99">
        <f t="shared" si="33"/>
        <v>5.625</v>
      </c>
      <c r="O59" s="93">
        <f>100-VLOOKUP(N59,'[1]Pricing '!$A$2477:$K$2502,11,FALSE)</f>
        <v>0.80965432994982223</v>
      </c>
      <c r="P59" s="94">
        <f t="shared" si="40"/>
        <v>0.93465432994982223</v>
      </c>
      <c r="Q59" s="111">
        <f t="shared" si="35"/>
        <v>6</v>
      </c>
      <c r="R59" s="93">
        <f>100-VLOOKUP(Q59,'[1]Pricing '!$A$1084:$K$1109,11,FALSE)</f>
        <v>-0.97489239006141304</v>
      </c>
      <c r="S59" s="94">
        <f t="shared" si="34"/>
        <v>-0.84989239006141304</v>
      </c>
    </row>
    <row r="60" spans="2:25" ht="21.75" customHeight="1" x14ac:dyDescent="0.25">
      <c r="B60" s="111">
        <f t="shared" si="29"/>
        <v>5.875</v>
      </c>
      <c r="C60" s="93">
        <f>-VLOOKUP(B60,'[1]Pricing '!$A$981:$K$1005,11,FALSE)+100</f>
        <v>-0.90826354013752564</v>
      </c>
      <c r="D60" s="93">
        <f t="shared" si="36"/>
        <v>-0.78326354013752564</v>
      </c>
      <c r="E60" s="99">
        <f t="shared" si="30"/>
        <v>5.75</v>
      </c>
      <c r="F60" s="93">
        <f>100-VLOOKUP(E60,'[1]Pricing '!$A$1057:$K$1081,11,FALSE)</f>
        <v>-0.14976295710552279</v>
      </c>
      <c r="G60" s="100">
        <f t="shared" si="37"/>
        <v>-2.4762957105522787E-2</v>
      </c>
      <c r="H60" s="107">
        <f t="shared" si="31"/>
        <v>5.25</v>
      </c>
      <c r="I60" s="93">
        <f>-VLOOKUP(H60,'[1]Pricing '!$A$1035:$K$1054,11,FALSE)+100</f>
        <v>2.4849999999999994</v>
      </c>
      <c r="J60" s="94">
        <f t="shared" si="38"/>
        <v>2.6099999999999994</v>
      </c>
      <c r="K60" s="107">
        <f t="shared" si="32"/>
        <v>5.875</v>
      </c>
      <c r="L60" s="93">
        <f>-VLOOKUP(K60,'[1]Pricing '!$A$1008:$K$1032,11,FALSE)+100</f>
        <v>-1.3332635401375228</v>
      </c>
      <c r="M60" s="100">
        <f t="shared" si="39"/>
        <v>-1.2082635401375228</v>
      </c>
      <c r="N60" s="99">
        <f t="shared" si="33"/>
        <v>5.75</v>
      </c>
      <c r="O60" s="93">
        <f>100-VLOOKUP(N60,'[1]Pricing '!$A$2477:$K$2502,11,FALSE)</f>
        <v>0.32523704289448574</v>
      </c>
      <c r="P60" s="94">
        <f t="shared" si="40"/>
        <v>0.45023704289448574</v>
      </c>
      <c r="Q60" s="111">
        <f t="shared" si="35"/>
        <v>6.125</v>
      </c>
      <c r="R60" s="93">
        <f>100-VLOOKUP(Q60,'[1]Pricing '!$A$1084:$K$1109,11,FALSE)</f>
        <v>-1.2682712692504481</v>
      </c>
      <c r="S60" s="94">
        <f t="shared" si="34"/>
        <v>-1.1432712692504481</v>
      </c>
    </row>
    <row r="61" spans="2:25" ht="21.75" customHeight="1" x14ac:dyDescent="0.25">
      <c r="B61" s="111">
        <f t="shared" si="29"/>
        <v>6</v>
      </c>
      <c r="C61" s="93">
        <f>-VLOOKUP(B61,'[1]Pricing '!$A$981:$K$1005,11,FALSE)+100</f>
        <v>-1.224892390061413</v>
      </c>
      <c r="D61" s="93">
        <f t="shared" si="36"/>
        <v>-1.099892390061413</v>
      </c>
      <c r="E61" s="99">
        <f t="shared" si="30"/>
        <v>5.875</v>
      </c>
      <c r="F61" s="93">
        <f>100-VLOOKUP(E61,'[1]Pricing '!$A$1057:$K$1081,11,FALSE)</f>
        <v>-0.40855799998836062</v>
      </c>
      <c r="G61" s="100">
        <f t="shared" si="37"/>
        <v>-0.28355799998836062</v>
      </c>
      <c r="H61" s="107">
        <f t="shared" si="31"/>
        <v>5.375</v>
      </c>
      <c r="I61" s="93">
        <f>-VLOOKUP(H61,'[1]Pricing '!$A$1035:$K$1054,11,FALSE)+100</f>
        <v>2.0210000000000008</v>
      </c>
      <c r="J61" s="94">
        <f t="shared" si="38"/>
        <v>2.1460000000000008</v>
      </c>
      <c r="K61" s="107">
        <f t="shared" si="32"/>
        <v>6</v>
      </c>
      <c r="L61" s="93">
        <f>-VLOOKUP(K61,'[1]Pricing '!$A$1008:$K$1032,11,FALSE)+100</f>
        <v>-1.6498923900614102</v>
      </c>
      <c r="M61" s="100">
        <f t="shared" si="39"/>
        <v>-1.5248923900614102</v>
      </c>
      <c r="N61" s="99">
        <f t="shared" si="33"/>
        <v>5.875</v>
      </c>
      <c r="O61" s="93">
        <f>100-VLOOKUP(N61,'[1]Pricing '!$A$2477:$K$2502,11,FALSE)</f>
        <v>6.6442000011647906E-2</v>
      </c>
      <c r="P61" s="94">
        <f t="shared" si="40"/>
        <v>0.19144200001164791</v>
      </c>
      <c r="Q61" s="111">
        <f t="shared" si="35"/>
        <v>6.25</v>
      </c>
      <c r="R61" s="93">
        <f>100-VLOOKUP(Q61,'[1]Pricing '!$A$1084:$K$1109,11,FALSE)</f>
        <v>-1.5320935962355406</v>
      </c>
      <c r="S61" s="94">
        <f t="shared" si="34"/>
        <v>-1.4070935962355406</v>
      </c>
      <c r="Y61" s="149"/>
    </row>
    <row r="62" spans="2:25" ht="21.75" customHeight="1" x14ac:dyDescent="0.25">
      <c r="B62" s="111">
        <f t="shared" si="29"/>
        <v>6.125</v>
      </c>
      <c r="C62" s="93">
        <f>-VLOOKUP(B62,'[1]Pricing '!$A$981:$K$1005,11,FALSE)+100</f>
        <v>-1.5182712692504481</v>
      </c>
      <c r="D62" s="93">
        <f t="shared" si="24"/>
        <v>-1.3932712692504481</v>
      </c>
      <c r="E62" s="99">
        <f t="shared" si="30"/>
        <v>6</v>
      </c>
      <c r="F62" s="93">
        <f>100-VLOOKUP(E62,'[1]Pricing '!$A$1057:$K$1081,11,FALSE)</f>
        <v>-0.66283553544994334</v>
      </c>
      <c r="G62" s="100">
        <f t="shared" si="25"/>
        <v>-0.53783553544994334</v>
      </c>
      <c r="H62" s="107">
        <f t="shared" si="31"/>
        <v>5.5</v>
      </c>
      <c r="I62" s="93">
        <f>-VLOOKUP(H62,'[1]Pricing '!$A$1035:$K$1054,11,FALSE)+100</f>
        <v>1.5630000000000024</v>
      </c>
      <c r="J62" s="94">
        <f t="shared" si="26"/>
        <v>1.6880000000000024</v>
      </c>
      <c r="K62" s="107">
        <f t="shared" si="32"/>
        <v>6.125</v>
      </c>
      <c r="L62" s="93">
        <f>-VLOOKUP(K62,'[1]Pricing '!$A$1008:$K$1032,11,FALSE)+100</f>
        <v>-1.9432712692504452</v>
      </c>
      <c r="M62" s="100">
        <f t="shared" si="27"/>
        <v>-1.8182712692504452</v>
      </c>
      <c r="N62" s="99">
        <f t="shared" si="33"/>
        <v>6</v>
      </c>
      <c r="O62" s="93">
        <f>100-VLOOKUP(N62,'[1]Pricing '!$A$2477:$K$2502,11,FALSE)</f>
        <v>-0.18783553544993481</v>
      </c>
      <c r="P62" s="94">
        <f t="shared" si="28"/>
        <v>-6.283553544993481E-2</v>
      </c>
      <c r="Q62" s="111">
        <f t="shared" si="35"/>
        <v>6.375</v>
      </c>
      <c r="R62" s="93">
        <f>100-VLOOKUP(Q62,'[1]Pricing '!$A$1084:$K$1109,11,FALSE)</f>
        <v>-1.7827554241133754</v>
      </c>
      <c r="S62" s="94">
        <f t="shared" si="34"/>
        <v>-1.6577554241133754</v>
      </c>
      <c r="Y62" s="149"/>
    </row>
    <row r="63" spans="2:25" ht="21.75" customHeight="1" x14ac:dyDescent="0.25">
      <c r="B63" s="111">
        <f t="shared" si="29"/>
        <v>6.25</v>
      </c>
      <c r="C63" s="93">
        <f>-VLOOKUP(B63,'[1]Pricing '!$A$981:$K$1005,11,FALSE)+100</f>
        <v>-1.7820935962355406</v>
      </c>
      <c r="D63" s="93">
        <f t="shared" si="24"/>
        <v>-1.6570935962355406</v>
      </c>
      <c r="E63" s="99">
        <f t="shared" si="30"/>
        <v>6.125</v>
      </c>
      <c r="F63" s="93">
        <f>100-VLOOKUP(E63,'[1]Pricing '!$A$1057:$K$1081,11,FALSE)</f>
        <v>-0.89416566053886015</v>
      </c>
      <c r="G63" s="100">
        <f t="shared" si="25"/>
        <v>-0.76916566053886015</v>
      </c>
      <c r="H63" s="107">
        <f t="shared" si="31"/>
        <v>5.625</v>
      </c>
      <c r="I63" s="93">
        <f>-VLOOKUP(H63,'[1]Pricing '!$A$1035:$K$1054,11,FALSE)+100</f>
        <v>1.1129999999999995</v>
      </c>
      <c r="J63" s="94">
        <f t="shared" si="26"/>
        <v>1.2379999999999995</v>
      </c>
      <c r="K63" s="107">
        <f t="shared" si="32"/>
        <v>6.25</v>
      </c>
      <c r="L63" s="93">
        <f>-VLOOKUP(K63,'[1]Pricing '!$A$1008:$K$1032,11,FALSE)+100</f>
        <v>-2.2070935962355378</v>
      </c>
      <c r="M63" s="100">
        <f t="shared" si="27"/>
        <v>-2.0820935962355378</v>
      </c>
      <c r="N63" s="99">
        <f t="shared" si="33"/>
        <v>6.125</v>
      </c>
      <c r="O63" s="93">
        <f>100-VLOOKUP(N63,'[1]Pricing '!$A$2477:$K$2502,11,FALSE)</f>
        <v>-0.41916566053885163</v>
      </c>
      <c r="P63" s="94">
        <f t="shared" si="28"/>
        <v>-0.29416566053885163</v>
      </c>
      <c r="Q63" s="111">
        <f t="shared" si="35"/>
        <v>6.5</v>
      </c>
      <c r="R63" s="93">
        <f>100-VLOOKUP(Q63,'[1]Pricing '!$A$1084:$K$1109,11,FALSE)</f>
        <v>-2.0357371752720184</v>
      </c>
      <c r="S63" s="94">
        <f t="shared" si="34"/>
        <v>-1.9107371752720184</v>
      </c>
    </row>
    <row r="64" spans="2:25" ht="21.75" customHeight="1" x14ac:dyDescent="0.25">
      <c r="B64" s="111">
        <f t="shared" si="29"/>
        <v>6.375</v>
      </c>
      <c r="C64" s="93">
        <f>-VLOOKUP(B64,'[1]Pricing '!$A$981:$K$1005,11,FALSE)+100</f>
        <v>-2.0327554241133754</v>
      </c>
      <c r="D64" s="93">
        <f t="shared" si="24"/>
        <v>-1.9077554241133754</v>
      </c>
      <c r="E64" s="99">
        <f t="shared" si="30"/>
        <v>6.25</v>
      </c>
      <c r="F64" s="93">
        <f>100-VLOOKUP(E64,'[1]Pricing '!$A$1057:$K$1081,11,FALSE)</f>
        <v>-1.0971664040800704</v>
      </c>
      <c r="G64" s="100">
        <f t="shared" si="25"/>
        <v>-0.97216640408007038</v>
      </c>
      <c r="H64" s="107">
        <f t="shared" si="31"/>
        <v>5.75</v>
      </c>
      <c r="I64" s="93">
        <f>-VLOOKUP(H64,'[1]Pricing '!$A$1035:$K$1054,11,FALSE)+100</f>
        <v>0.36800000000000921</v>
      </c>
      <c r="J64" s="94">
        <f t="shared" ref="J64:J67" si="41">I64-$Y$36</f>
        <v>0.49300000000000921</v>
      </c>
      <c r="K64" s="107">
        <f t="shared" si="32"/>
        <v>6.375</v>
      </c>
      <c r="L64" s="93">
        <f>-VLOOKUP(K64,'[1]Pricing '!$A$1008:$K$1032,11,FALSE)+100</f>
        <v>-2.4577554241133726</v>
      </c>
      <c r="M64" s="100">
        <f t="shared" si="27"/>
        <v>-2.3327554241133726</v>
      </c>
      <c r="N64" s="99">
        <f t="shared" si="33"/>
        <v>6.25</v>
      </c>
      <c r="O64" s="93">
        <f>100-VLOOKUP(N64,'[1]Pricing '!$A$2477:$K$2502,11,FALSE)</f>
        <v>-0.62216640408006185</v>
      </c>
      <c r="P64" s="94">
        <f t="shared" si="28"/>
        <v>-0.49716640408006185</v>
      </c>
      <c r="Q64" s="111">
        <f t="shared" si="35"/>
        <v>6.625</v>
      </c>
      <c r="R64" s="93">
        <f>100-VLOOKUP(Q64,'[1]Pricing '!$A$1084:$K$1109,11,FALSE)</f>
        <v>-2.2571774170782248</v>
      </c>
      <c r="S64" s="94">
        <f t="shared" si="34"/>
        <v>-2.1321774170782248</v>
      </c>
    </row>
    <row r="65" spans="1:31" ht="21.75" customHeight="1" x14ac:dyDescent="0.25">
      <c r="B65" s="111">
        <f t="shared" si="29"/>
        <v>6.5</v>
      </c>
      <c r="C65" s="93">
        <f>-VLOOKUP(B65,'[1]Pricing '!$A$981:$K$1005,11,FALSE)+100</f>
        <v>-2.2857371752720184</v>
      </c>
      <c r="D65" s="93">
        <f t="shared" si="24"/>
        <v>-2.1607371752720184</v>
      </c>
      <c r="E65" s="99">
        <f t="shared" si="30"/>
        <v>6.375</v>
      </c>
      <c r="F65" s="93">
        <f>100-VLOOKUP(E65,'[1]Pricing '!$A$1057:$K$1081,11,FALSE)</f>
        <v>-1.2208442861347919</v>
      </c>
      <c r="G65" s="100">
        <f t="shared" si="25"/>
        <v>-1.0958442861347919</v>
      </c>
      <c r="H65" s="107">
        <f t="shared" si="31"/>
        <v>5.875</v>
      </c>
      <c r="I65" s="93">
        <f>-VLOOKUP(H65,'[1]Pricing '!$A$1035:$K$1054,11,FALSE)+100</f>
        <v>-8.2999999999998408E-2</v>
      </c>
      <c r="J65" s="94">
        <f t="shared" si="41"/>
        <v>4.2000000000001592E-2</v>
      </c>
      <c r="K65" s="107">
        <f t="shared" si="32"/>
        <v>6.5</v>
      </c>
      <c r="L65" s="93">
        <f>-VLOOKUP(K65,'[1]Pricing '!$A$1008:$K$1032,11,FALSE)+100</f>
        <v>-2.7107371752720155</v>
      </c>
      <c r="M65" s="100">
        <f t="shared" si="27"/>
        <v>-2.5857371752720155</v>
      </c>
      <c r="N65" s="99">
        <f t="shared" si="33"/>
        <v>6.375</v>
      </c>
      <c r="O65" s="93">
        <f>100-VLOOKUP(N65,'[1]Pricing '!$A$2477:$K$2502,11,FALSE)</f>
        <v>-0.74584428613478337</v>
      </c>
      <c r="P65" s="94">
        <f t="shared" si="28"/>
        <v>-0.62084428613478337</v>
      </c>
      <c r="Q65" s="111">
        <f t="shared" si="35"/>
        <v>6.75</v>
      </c>
      <c r="R65" s="93">
        <f>100-VLOOKUP(Q65,'[1]Pricing '!$A$1084:$K$1109,11,FALSE)</f>
        <v>-3.4876087186225249</v>
      </c>
      <c r="S65" s="94">
        <f t="shared" si="34"/>
        <v>-3.3626087186225249</v>
      </c>
      <c r="AE65" s="149"/>
    </row>
    <row r="66" spans="1:31" ht="21.75" customHeight="1" x14ac:dyDescent="0.25">
      <c r="B66" s="111">
        <f t="shared" si="29"/>
        <v>6.625</v>
      </c>
      <c r="C66" s="93">
        <f>-VLOOKUP(B66,'[1]Pricing '!$A$981:$K$1005,11,FALSE)+100</f>
        <v>-2.5071774170782248</v>
      </c>
      <c r="D66" s="93">
        <f t="shared" si="24"/>
        <v>-2.3821774170782248</v>
      </c>
      <c r="E66" s="99">
        <f t="shared" si="30"/>
        <v>6.5</v>
      </c>
      <c r="F66" s="93">
        <f>100-VLOOKUP(E66,'[1]Pricing '!$A$1057:$K$1081,11,FALSE)</f>
        <v>-1.4149603924581697</v>
      </c>
      <c r="G66" s="100">
        <f t="shared" si="25"/>
        <v>-1.2899603924581697</v>
      </c>
      <c r="H66" s="107">
        <f t="shared" si="31"/>
        <v>6</v>
      </c>
      <c r="I66" s="93">
        <f>-VLOOKUP(H66,'[1]Pricing '!$A$1035:$K$1054,11,FALSE)+100</f>
        <v>-0.52899999999999636</v>
      </c>
      <c r="J66" s="94">
        <f t="shared" si="41"/>
        <v>-0.40399999999999636</v>
      </c>
      <c r="K66" s="107">
        <f t="shared" si="32"/>
        <v>6.625</v>
      </c>
      <c r="L66" s="93">
        <f>-VLOOKUP(K66,'[1]Pricing '!$A$1008:$K$1032,11,FALSE)+100</f>
        <v>-2.932177417078222</v>
      </c>
      <c r="M66" s="100">
        <f t="shared" si="27"/>
        <v>-2.807177417078222</v>
      </c>
      <c r="N66" s="99">
        <f t="shared" si="33"/>
        <v>6.5</v>
      </c>
      <c r="O66" s="93">
        <f>100-VLOOKUP(N66,'[1]Pricing '!$A$2477:$K$2502,11,FALSE)</f>
        <v>-0.93996039245816121</v>
      </c>
      <c r="P66" s="94">
        <f t="shared" si="28"/>
        <v>-0.81496039245816121</v>
      </c>
      <c r="Q66" s="111">
        <f t="shared" si="35"/>
        <v>6.875</v>
      </c>
      <c r="R66" s="93">
        <f>100-VLOOKUP(Q66,'[1]Pricing '!$A$1084:$K$1109,11,FALSE)</f>
        <v>-3.708842284034688</v>
      </c>
      <c r="S66" s="94">
        <f t="shared" si="34"/>
        <v>-3.583842284034688</v>
      </c>
      <c r="AE66" s="149"/>
    </row>
    <row r="67" spans="1:31" ht="21.75" customHeight="1" x14ac:dyDescent="0.25">
      <c r="B67" s="111">
        <f t="shared" si="29"/>
        <v>6.75</v>
      </c>
      <c r="C67" s="93">
        <f>-VLOOKUP(B67,'[1]Pricing '!$A$981:$K$1005,11,FALSE)+100</f>
        <v>-3.7376087186225249</v>
      </c>
      <c r="D67" s="93">
        <f t="shared" si="24"/>
        <v>-3.6126087186225249</v>
      </c>
      <c r="E67" s="99">
        <f t="shared" si="30"/>
        <v>6.625</v>
      </c>
      <c r="F67" s="93">
        <f>100-VLOOKUP(E67,'[1]Pricing '!$A$1057:$K$1081,11,FALSE)</f>
        <v>-1.5807659824361338</v>
      </c>
      <c r="G67" s="100">
        <f t="shared" si="25"/>
        <v>-1.4557659824361338</v>
      </c>
      <c r="H67" s="107">
        <f t="shared" si="31"/>
        <v>6.125</v>
      </c>
      <c r="I67" s="93">
        <f>-VLOOKUP(H67,'[1]Pricing '!$A$1035:$K$1054,11,FALSE)+100</f>
        <v>-0.96899999999999409</v>
      </c>
      <c r="J67" s="94">
        <f t="shared" si="41"/>
        <v>-0.84399999999999409</v>
      </c>
      <c r="K67" s="107">
        <f t="shared" si="32"/>
        <v>6.75</v>
      </c>
      <c r="L67" s="93">
        <f>-VLOOKUP(K67,'[1]Pricing '!$A$1008:$K$1032,11,FALSE)+100</f>
        <v>-4.162608718622522</v>
      </c>
      <c r="M67" s="100">
        <f t="shared" si="27"/>
        <v>-4.037608718622522</v>
      </c>
      <c r="N67" s="99">
        <f t="shared" si="33"/>
        <v>6.625</v>
      </c>
      <c r="O67" s="93">
        <f>100-VLOOKUP(N67,'[1]Pricing '!$A$2477:$K$2502,11,FALSE)</f>
        <v>-1.1057659824361252</v>
      </c>
      <c r="P67" s="94">
        <f t="shared" si="28"/>
        <v>-0.98076598243612523</v>
      </c>
      <c r="Q67" s="111">
        <f t="shared" si="35"/>
        <v>7</v>
      </c>
      <c r="R67" s="93">
        <f>100-VLOOKUP(Q67,'[1]Pricing '!$A$1084:$K$1109,11,FALSE)</f>
        <v>-3.9006027155203498</v>
      </c>
      <c r="S67" s="94">
        <f t="shared" si="34"/>
        <v>-3.7756027155203498</v>
      </c>
      <c r="AE67" s="197"/>
    </row>
    <row r="68" spans="1:31" ht="21.75" customHeight="1" x14ac:dyDescent="0.25">
      <c r="B68" s="111">
        <f t="shared" si="29"/>
        <v>6.875</v>
      </c>
      <c r="C68" s="93">
        <f>-VLOOKUP(B68,'[1]Pricing '!$A$981:$K$1005,11,FALSE)+100</f>
        <v>-3.958842284034688</v>
      </c>
      <c r="D68" s="93">
        <f t="shared" ref="D68:D71" si="42">C68-$Y$36</f>
        <v>-3.833842284034688</v>
      </c>
      <c r="E68" s="99">
        <f t="shared" si="30"/>
        <v>6.75</v>
      </c>
      <c r="F68" s="93">
        <f>100-VLOOKUP(E68,'[1]Pricing '!$A$1057:$K$1081,11,FALSE)</f>
        <v>-1.8946626765622909</v>
      </c>
      <c r="G68" s="100">
        <f t="shared" ref="G68:G71" si="43">F68-$Y$36</f>
        <v>-1.7696626765622909</v>
      </c>
      <c r="H68" s="107">
        <f t="shared" si="31"/>
        <v>6.25</v>
      </c>
      <c r="I68" s="93">
        <f>-VLOOKUP(H68,'[1]Pricing '!$A$1035:$K$1054,11,FALSE)+100</f>
        <v>-0.41899999999999693</v>
      </c>
      <c r="J68" s="94">
        <f t="shared" ref="J68:J70" si="44">I68-$Y$36</f>
        <v>-0.29399999999999693</v>
      </c>
      <c r="K68" s="107">
        <f t="shared" si="32"/>
        <v>6.875</v>
      </c>
      <c r="L68" s="93">
        <f>-VLOOKUP(K68,'[1]Pricing '!$A$1008:$K$1032,11,FALSE)+100</f>
        <v>-4.3838422840346851</v>
      </c>
      <c r="M68" s="100">
        <f t="shared" ref="M68:M71" si="45">L68-$Y$36</f>
        <v>-4.2588422840346851</v>
      </c>
      <c r="N68" s="99">
        <f t="shared" si="33"/>
        <v>6.75</v>
      </c>
      <c r="O68" s="93">
        <f>100-VLOOKUP(N68,'[1]Pricing '!$A$2477:$K$2502,11,FALSE)</f>
        <v>-1.4196626765622824</v>
      </c>
      <c r="P68" s="94">
        <f t="shared" ref="P68:P71" si="46">O68-$Y$36</f>
        <v>-1.2946626765622824</v>
      </c>
      <c r="Q68" s="111">
        <f t="shared" si="35"/>
        <v>7.125</v>
      </c>
      <c r="R68" s="93">
        <f>100-VLOOKUP(Q68,'[1]Pricing '!$A$1084:$K$1109,11,FALSE)</f>
        <v>-4.0645207690580492</v>
      </c>
      <c r="S68" s="94">
        <f t="shared" si="34"/>
        <v>-3.9395207690580492</v>
      </c>
      <c r="AE68" s="149"/>
    </row>
    <row r="69" spans="1:31" ht="21.75" customHeight="1" x14ac:dyDescent="0.25">
      <c r="B69" s="111">
        <f t="shared" si="29"/>
        <v>7</v>
      </c>
      <c r="C69" s="93">
        <f>-VLOOKUP(B69,'[1]Pricing '!$A$981:$K$1005,11,FALSE)+100</f>
        <v>-4.1506027155203498</v>
      </c>
      <c r="D69" s="93">
        <f t="shared" si="42"/>
        <v>-4.0256027155203498</v>
      </c>
      <c r="E69" s="99">
        <f t="shared" si="30"/>
        <v>6.875</v>
      </c>
      <c r="F69" s="93">
        <f>100-VLOOKUP(E69,'[1]Pricing '!$A$1057:$K$1081,11,FALSE)</f>
        <v>-2.0617089152779897</v>
      </c>
      <c r="G69" s="100">
        <f t="shared" si="43"/>
        <v>-1.9367089152779897</v>
      </c>
      <c r="H69" s="107">
        <f t="shared" si="31"/>
        <v>6.375</v>
      </c>
      <c r="I69" s="93">
        <f>-VLOOKUP(H69,'[1]Pricing '!$A$1035:$K$1054,11,FALSE)+100</f>
        <v>-0.85499999999998977</v>
      </c>
      <c r="J69" s="94">
        <f t="shared" si="44"/>
        <v>-0.72999999999998977</v>
      </c>
      <c r="K69" s="107">
        <f t="shared" si="32"/>
        <v>7</v>
      </c>
      <c r="L69" s="93">
        <f>-VLOOKUP(K69,'[1]Pricing '!$A$1008:$K$1032,11,FALSE)+100</f>
        <v>-4.5756027155203469</v>
      </c>
      <c r="M69" s="100">
        <f t="shared" si="45"/>
        <v>-4.4506027155203469</v>
      </c>
      <c r="N69" s="99">
        <f t="shared" si="33"/>
        <v>6.875</v>
      </c>
      <c r="O69" s="93">
        <f>100-VLOOKUP(N69,'[1]Pricing '!$A$2477:$K$2502,11,FALSE)</f>
        <v>-1.5867089152779812</v>
      </c>
      <c r="P69" s="94">
        <f t="shared" si="46"/>
        <v>-1.4617089152779812</v>
      </c>
      <c r="Q69" s="111">
        <f t="shared" ref="Q69" si="47">Q68+0.125</f>
        <v>7.25</v>
      </c>
      <c r="R69" s="93">
        <f>100-VLOOKUP(Q69,'[1]Pricing '!$A$1084:$K$1109,11,FALSE)</f>
        <v>-4.2027577467635382</v>
      </c>
      <c r="S69" s="94">
        <f t="shared" si="34"/>
        <v>-4.0777577467635382</v>
      </c>
      <c r="AE69" s="149"/>
    </row>
    <row r="70" spans="1:31" ht="21.75" customHeight="1" x14ac:dyDescent="0.25">
      <c r="B70" s="111">
        <f t="shared" si="29"/>
        <v>7.125</v>
      </c>
      <c r="C70" s="93">
        <f>-VLOOKUP(B70,'[1]Pricing '!$A$981:$K$1005,11,FALSE)+100</f>
        <v>-4.3145207690580492</v>
      </c>
      <c r="D70" s="93">
        <f t="shared" si="42"/>
        <v>-4.1895207690580492</v>
      </c>
      <c r="E70" s="99">
        <f t="shared" si="30"/>
        <v>7</v>
      </c>
      <c r="F70" s="93">
        <f>100-VLOOKUP(E70,'[1]Pricing '!$A$1057:$K$1081,11,FALSE)</f>
        <v>-2.2034680585016559</v>
      </c>
      <c r="G70" s="100">
        <f t="shared" si="43"/>
        <v>-2.0784680585016559</v>
      </c>
      <c r="H70" s="107">
        <f t="shared" si="31"/>
        <v>6.5</v>
      </c>
      <c r="I70" s="93">
        <f>-VLOOKUP(H70,'[1]Pricing '!$A$1035:$K$1054,11,FALSE)+100</f>
        <v>-1.2819999999999965</v>
      </c>
      <c r="J70" s="94">
        <f t="shared" si="44"/>
        <v>-1.1569999999999965</v>
      </c>
      <c r="K70" s="107">
        <f t="shared" si="32"/>
        <v>7.125</v>
      </c>
      <c r="L70" s="93">
        <f>-VLOOKUP(K70,'[1]Pricing '!$A$1008:$K$1032,11,FALSE)+100</f>
        <v>-4.7395207690580463</v>
      </c>
      <c r="M70" s="100">
        <f t="shared" si="45"/>
        <v>-4.6145207690580463</v>
      </c>
      <c r="N70" s="99">
        <f t="shared" si="33"/>
        <v>7</v>
      </c>
      <c r="O70" s="93">
        <f>100-VLOOKUP(N70,'[1]Pricing '!$A$2477:$K$2502,11,FALSE)</f>
        <v>-1.7284680585016474</v>
      </c>
      <c r="P70" s="94">
        <f t="shared" si="46"/>
        <v>-1.6034680585016474</v>
      </c>
      <c r="Q70" s="111"/>
      <c r="R70" s="93"/>
      <c r="S70" s="94"/>
      <c r="AE70" s="149"/>
    </row>
    <row r="71" spans="1:31" ht="21.75" customHeight="1" x14ac:dyDescent="0.25">
      <c r="B71" s="111">
        <f t="shared" si="29"/>
        <v>7.25</v>
      </c>
      <c r="C71" s="93">
        <f>-VLOOKUP(B71,'[1]Pricing '!$A$981:$K$1005,11,FALSE)+100</f>
        <v>-4.4527577467635382</v>
      </c>
      <c r="D71" s="93">
        <f t="shared" si="42"/>
        <v>-4.3277577467635382</v>
      </c>
      <c r="E71" s="99">
        <f t="shared" si="30"/>
        <v>7.125</v>
      </c>
      <c r="F71" s="93">
        <f>100-VLOOKUP(E71,'[1]Pricing '!$A$1057:$K$1081,11,FALSE)</f>
        <v>-2.321848843699442</v>
      </c>
      <c r="G71" s="100">
        <f t="shared" si="43"/>
        <v>-2.196848843699442</v>
      </c>
      <c r="H71" s="107"/>
      <c r="I71" s="93"/>
      <c r="J71" s="94"/>
      <c r="K71" s="107">
        <f t="shared" si="32"/>
        <v>7.25</v>
      </c>
      <c r="L71" s="93">
        <f>-VLOOKUP(K71,'[1]Pricing '!$A$1008:$K$1032,11,FALSE)+100</f>
        <v>-4.8777577467635354</v>
      </c>
      <c r="M71" s="100">
        <f t="shared" si="45"/>
        <v>-4.7527577467635354</v>
      </c>
      <c r="N71" s="99">
        <f t="shared" si="33"/>
        <v>7.125</v>
      </c>
      <c r="O71" s="93">
        <f>100-VLOOKUP(N71,'[1]Pricing '!$A$2477:$K$2502,11,FALSE)</f>
        <v>-1.8468488436994335</v>
      </c>
      <c r="P71" s="94">
        <f t="shared" si="46"/>
        <v>-1.7218488436994335</v>
      </c>
      <c r="Q71" s="111"/>
      <c r="R71" s="93"/>
      <c r="S71" s="94"/>
      <c r="AE71" s="149"/>
    </row>
    <row r="72" spans="1:31" ht="21.75" customHeight="1" x14ac:dyDescent="0.25">
      <c r="B72" s="111">
        <f t="shared" si="29"/>
        <v>7.375</v>
      </c>
      <c r="C72" s="93">
        <f>-VLOOKUP(B72,'[1]Pricing '!$A$981:$K$1005,11,FALSE)+100</f>
        <v>-3.6361370067549359</v>
      </c>
      <c r="D72" s="93">
        <f t="shared" si="24"/>
        <v>-3.5111370067549359</v>
      </c>
      <c r="E72" s="99">
        <f t="shared" si="30"/>
        <v>7.25</v>
      </c>
      <c r="F72" s="93">
        <f>100-VLOOKUP(E72,'[1]Pricing '!$A$1057:$K$1081,11,FALSE)</f>
        <v>-2.4191322600965748</v>
      </c>
      <c r="G72" s="100">
        <f t="shared" si="25"/>
        <v>-2.2941322600965748</v>
      </c>
      <c r="H72" s="107"/>
      <c r="I72" s="93"/>
      <c r="J72" s="94"/>
      <c r="K72" s="107">
        <f t="shared" si="32"/>
        <v>7.375</v>
      </c>
      <c r="L72" s="93">
        <f>-VLOOKUP(K72,'[1]Pricing '!$A$1008:$K$1032,11,FALSE)+100</f>
        <v>-4.0611370067549331</v>
      </c>
      <c r="M72" s="100">
        <f t="shared" ref="M72:M74" si="48">L72-$Y$36</f>
        <v>-3.9361370067549331</v>
      </c>
      <c r="N72" s="99">
        <f t="shared" si="33"/>
        <v>7.25</v>
      </c>
      <c r="O72" s="93">
        <f>100-VLOOKUP(N72,'[1]Pricing '!$A$2477:$K$2502,11,FALSE)</f>
        <v>-1.9441322600965663</v>
      </c>
      <c r="P72" s="94">
        <f t="shared" si="28"/>
        <v>-1.8191322600965663</v>
      </c>
      <c r="Q72" s="111"/>
      <c r="R72" s="93"/>
      <c r="S72" s="94"/>
      <c r="AE72" s="149"/>
    </row>
    <row r="73" spans="1:31" ht="21.75" customHeight="1" x14ac:dyDescent="0.25">
      <c r="B73" s="111">
        <f t="shared" si="29"/>
        <v>7.5</v>
      </c>
      <c r="C73" s="93">
        <f>-VLOOKUP(B73,'[1]Pricing '!$A$981:$K$1005,11,FALSE)+100</f>
        <v>-3.7807915275569854</v>
      </c>
      <c r="D73" s="93">
        <f t="shared" si="24"/>
        <v>-3.6557915275569854</v>
      </c>
      <c r="E73" s="99">
        <f t="shared" si="30"/>
        <v>7.375</v>
      </c>
      <c r="F73" s="93">
        <f>100-VLOOKUP(E73,'[1]Pricing '!$A$1057:$K$1081,11,FALSE)</f>
        <v>-2.0335583286053094</v>
      </c>
      <c r="G73" s="100">
        <f t="shared" ref="G73" si="49">F73-$Y$36</f>
        <v>-1.9085583286053094</v>
      </c>
      <c r="H73" s="107"/>
      <c r="I73" s="93"/>
      <c r="J73" s="94"/>
      <c r="K73" s="107">
        <f t="shared" si="32"/>
        <v>7.5</v>
      </c>
      <c r="L73" s="93">
        <f>-VLOOKUP(K73,'[1]Pricing '!$A$1008:$K$1032,11,FALSE)+100</f>
        <v>-4.2057915275569826</v>
      </c>
      <c r="M73" s="100">
        <f t="shared" si="48"/>
        <v>-4.0807915275569826</v>
      </c>
      <c r="N73" s="99">
        <f t="shared" si="33"/>
        <v>7.375</v>
      </c>
      <c r="O73" s="93">
        <f>100-VLOOKUP(N73,'[1]Pricing '!$A$2477:$K$2502,11,FALSE)</f>
        <v>-1.5585583286053009</v>
      </c>
      <c r="P73" s="94">
        <f t="shared" ref="P73" si="50">O73-$Y$36</f>
        <v>-1.4335583286053009</v>
      </c>
      <c r="Q73" s="111"/>
      <c r="R73" s="93"/>
      <c r="S73" s="94"/>
      <c r="X73" s="5"/>
      <c r="AE73" s="149"/>
    </row>
    <row r="74" spans="1:31" ht="21.75" customHeight="1" x14ac:dyDescent="0.25">
      <c r="B74" s="111">
        <f t="shared" si="29"/>
        <v>7.625</v>
      </c>
      <c r="C74" s="93">
        <f>-VLOOKUP(B74,'[1]Pricing '!$A$981:$K$1005,11,FALSE)+100</f>
        <v>-3.9040099321288579</v>
      </c>
      <c r="D74" s="93">
        <f t="shared" ref="D74:D75" si="51">C74-$Y$36</f>
        <v>-3.7790099321288579</v>
      </c>
      <c r="E74" s="99">
        <f t="shared" si="30"/>
        <v>7.5</v>
      </c>
      <c r="F74" s="93">
        <f>100-VLOOKUP(E74,'[1]Pricing '!$A$1057:$K$1081,11,FALSE)</f>
        <v>-1.9807272768275936</v>
      </c>
      <c r="G74" s="100">
        <f t="shared" ref="G74" si="52">F74-$Y$36</f>
        <v>-1.8557272768275936</v>
      </c>
      <c r="H74" s="107"/>
      <c r="I74" s="93"/>
      <c r="J74" s="94"/>
      <c r="K74" s="107">
        <f t="shared" si="32"/>
        <v>7.625</v>
      </c>
      <c r="L74" s="93">
        <f>-VLOOKUP(K74,'[1]Pricing '!$A$1008:$K$1032,11,FALSE)+100</f>
        <v>-4.3290099321288551</v>
      </c>
      <c r="M74" s="100">
        <f t="shared" si="48"/>
        <v>-4.2040099321288551</v>
      </c>
      <c r="N74" s="99">
        <f t="shared" si="33"/>
        <v>7.5</v>
      </c>
      <c r="O74" s="93">
        <f>100-VLOOKUP(N74,'[1]Pricing '!$A$2477:$K$2502,11,FALSE)</f>
        <v>-1.5057272768275851</v>
      </c>
      <c r="P74" s="94">
        <f t="shared" ref="P74" si="53">O74-$Y$36</f>
        <v>-1.3807272768275851</v>
      </c>
      <c r="Q74" s="111"/>
      <c r="R74" s="93"/>
      <c r="S74" s="94"/>
      <c r="X74" s="5"/>
      <c r="AE74" s="149"/>
    </row>
    <row r="75" spans="1:31" ht="21.75" customHeight="1" x14ac:dyDescent="0.25">
      <c r="B75" s="111">
        <f t="shared" si="29"/>
        <v>7.75</v>
      </c>
      <c r="C75" s="93">
        <f>-VLOOKUP(B75,'[1]Pricing '!$A$981:$K$1005,11,FALSE)+100</f>
        <v>-4.0081167759397118</v>
      </c>
      <c r="D75" s="93">
        <f t="shared" si="51"/>
        <v>-3.8831167759397118</v>
      </c>
      <c r="E75" s="99">
        <f t="shared" si="30"/>
        <v>7.625</v>
      </c>
      <c r="F75" s="93">
        <f>100-VLOOKUP(E75,'[1]Pricing '!$A$1057:$K$1081,11,FALSE)</f>
        <v>-1.9316276582247554</v>
      </c>
      <c r="G75" s="100">
        <f t="shared" ref="G75" si="54">F75-$Y$36</f>
        <v>-1.8066276582247554</v>
      </c>
      <c r="H75" s="107"/>
      <c r="I75" s="93"/>
      <c r="J75" s="94"/>
      <c r="K75" s="107">
        <f t="shared" si="32"/>
        <v>7.75</v>
      </c>
      <c r="L75" s="93">
        <f>-VLOOKUP(K75,'[1]Pricing '!$A$1008:$K$1032,11,FALSE)+100</f>
        <v>-4.433116775939709</v>
      </c>
      <c r="M75" s="100">
        <f t="shared" ref="M75" si="55">L75-$Y$36</f>
        <v>-4.308116775939709</v>
      </c>
      <c r="N75" s="99">
        <f t="shared" si="33"/>
        <v>7.625</v>
      </c>
      <c r="O75" s="93">
        <f>100-VLOOKUP(N75,'[1]Pricing '!$A$2477:$K$2502,11,FALSE)</f>
        <v>-1.4566276582247468</v>
      </c>
      <c r="P75" s="94">
        <f t="shared" ref="P75" si="56">O75-$Y$36</f>
        <v>-1.3316276582247468</v>
      </c>
      <c r="Q75" s="111"/>
      <c r="R75" s="93"/>
      <c r="S75" s="94"/>
      <c r="X75" s="5"/>
      <c r="AE75" s="149"/>
    </row>
    <row r="76" spans="1:31" ht="21.75" customHeight="1" thickBot="1" x14ac:dyDescent="0.3">
      <c r="B76" s="111"/>
      <c r="C76" s="93"/>
      <c r="D76" s="93"/>
      <c r="E76" s="99"/>
      <c r="F76" s="93"/>
      <c r="G76" s="100"/>
      <c r="H76" s="105"/>
      <c r="I76" s="105"/>
      <c r="J76" s="109"/>
      <c r="K76" s="112"/>
      <c r="L76" s="102"/>
      <c r="M76" s="103"/>
      <c r="N76" s="99"/>
      <c r="O76" s="93"/>
      <c r="P76" s="94"/>
      <c r="Q76" s="1135"/>
      <c r="R76" s="539"/>
      <c r="S76" s="256"/>
      <c r="X76" s="5"/>
      <c r="AE76" s="149"/>
    </row>
    <row r="77" spans="1:31" ht="15" customHeight="1" x14ac:dyDescent="0.2">
      <c r="B77" s="2127" t="s">
        <v>50</v>
      </c>
      <c r="C77" s="2128"/>
      <c r="D77" s="2128"/>
      <c r="E77" s="2128"/>
      <c r="F77" s="2128"/>
      <c r="G77" s="2128"/>
      <c r="H77" s="2128"/>
      <c r="I77" s="2128"/>
      <c r="J77" s="2128"/>
      <c r="K77" s="2128"/>
      <c r="L77" s="2128"/>
      <c r="M77" s="2128"/>
      <c r="N77" s="2128"/>
      <c r="O77" s="2128"/>
      <c r="P77" s="2128"/>
      <c r="Q77" s="2128"/>
      <c r="R77" s="2128"/>
      <c r="S77" s="2129"/>
      <c r="X77" s="5"/>
      <c r="AE77" s="149"/>
    </row>
    <row r="78" spans="1:31" ht="15.75" customHeight="1" thickBot="1" x14ac:dyDescent="0.25">
      <c r="B78" s="2127"/>
      <c r="C78" s="2128"/>
      <c r="D78" s="2128"/>
      <c r="E78" s="2128"/>
      <c r="F78" s="2128"/>
      <c r="G78" s="2128"/>
      <c r="H78" s="2128"/>
      <c r="I78" s="2128"/>
      <c r="J78" s="2128"/>
      <c r="K78" s="2128"/>
      <c r="L78" s="2128"/>
      <c r="M78" s="2128"/>
      <c r="N78" s="2128"/>
      <c r="O78" s="2128"/>
      <c r="P78" s="2128"/>
      <c r="Q78" s="2128"/>
      <c r="R78" s="2128"/>
      <c r="S78" s="2129"/>
      <c r="X78" s="5"/>
      <c r="AE78" s="149"/>
    </row>
    <row r="79" spans="1:31" ht="17.25" customHeight="1" thickBot="1" x14ac:dyDescent="0.3">
      <c r="B79" s="95"/>
      <c r="P79" s="2143" t="s">
        <v>268</v>
      </c>
      <c r="Q79" s="2144"/>
      <c r="R79" s="2144"/>
      <c r="S79" s="2145"/>
      <c r="X79" s="5"/>
      <c r="Z79" s="117"/>
      <c r="AA79" s="117"/>
      <c r="AB79" s="117"/>
      <c r="AC79" s="117"/>
      <c r="AD79" s="117"/>
      <c r="AE79" s="149"/>
    </row>
    <row r="80" spans="1:31" ht="21.75" customHeight="1" x14ac:dyDescent="0.2">
      <c r="A80" s="198"/>
      <c r="B80" s="2140" t="s">
        <v>229</v>
      </c>
      <c r="C80" s="2141"/>
      <c r="D80" s="2141"/>
      <c r="E80" s="2141"/>
      <c r="F80" s="2141"/>
      <c r="G80" s="2142"/>
      <c r="I80" s="2118" t="s">
        <v>230</v>
      </c>
      <c r="J80" s="2119"/>
      <c r="K80" s="2119"/>
      <c r="L80" s="2119"/>
      <c r="M80" s="2119"/>
      <c r="N80" s="2120"/>
      <c r="P80" s="2146"/>
      <c r="Q80" s="2147"/>
      <c r="R80" s="2147"/>
      <c r="S80" s="2148"/>
      <c r="X80" s="5"/>
    </row>
    <row r="81" spans="1:24" ht="16.5" x14ac:dyDescent="0.25">
      <c r="A81" s="23"/>
      <c r="B81" s="897"/>
      <c r="C81" s="898"/>
      <c r="D81" s="898"/>
      <c r="E81" s="898"/>
      <c r="F81" s="899"/>
      <c r="G81" s="38"/>
      <c r="I81" s="2158" t="s">
        <v>199</v>
      </c>
      <c r="J81" s="2159"/>
      <c r="K81" s="621"/>
      <c r="L81" s="900" t="s">
        <v>232</v>
      </c>
      <c r="M81" s="900"/>
      <c r="N81" s="901"/>
      <c r="P81" s="1597" t="s">
        <v>326</v>
      </c>
      <c r="Q81" s="1598"/>
      <c r="R81" s="1598"/>
      <c r="S81" s="1599"/>
      <c r="X81" s="5"/>
    </row>
    <row r="82" spans="1:24" ht="18.75" customHeight="1" x14ac:dyDescent="0.25">
      <c r="B82" s="97" t="s">
        <v>234</v>
      </c>
      <c r="C82" s="27"/>
      <c r="D82" s="27"/>
      <c r="E82" s="27"/>
      <c r="G82" s="132">
        <v>0.25</v>
      </c>
      <c r="I82" s="2160" t="s">
        <v>144</v>
      </c>
      <c r="J82" s="2161"/>
      <c r="L82" s="902">
        <v>-0.25</v>
      </c>
      <c r="N82" s="38"/>
      <c r="P82" s="2103">
        <v>0.06</v>
      </c>
      <c r="Q82" s="2104"/>
      <c r="R82" s="2104"/>
      <c r="S82" s="2105"/>
      <c r="X82" s="5"/>
    </row>
    <row r="83" spans="1:24" ht="16.5" x14ac:dyDescent="0.25">
      <c r="B83" s="133" t="s">
        <v>235</v>
      </c>
      <c r="C83" s="27"/>
      <c r="D83" s="27"/>
      <c r="E83" s="27"/>
      <c r="G83" s="132">
        <v>1</v>
      </c>
      <c r="I83" s="1309" t="s">
        <v>54</v>
      </c>
      <c r="J83" s="1315"/>
      <c r="L83" s="93">
        <v>-0.25</v>
      </c>
      <c r="N83" s="38"/>
      <c r="P83" s="367"/>
      <c r="Q83" s="903"/>
      <c r="R83" s="903"/>
      <c r="S83" s="174"/>
    </row>
    <row r="84" spans="1:24" ht="16.5" x14ac:dyDescent="0.25">
      <c r="B84" s="133" t="s">
        <v>237</v>
      </c>
      <c r="C84" s="27"/>
      <c r="D84" s="27"/>
      <c r="E84" s="27"/>
      <c r="G84" s="132">
        <v>0.375</v>
      </c>
      <c r="I84" s="1309" t="s">
        <v>55</v>
      </c>
      <c r="J84" s="1315"/>
      <c r="L84" s="93">
        <v>-0.125</v>
      </c>
      <c r="N84" s="38"/>
      <c r="P84" s="1597" t="s">
        <v>182</v>
      </c>
      <c r="Q84" s="1598"/>
      <c r="R84" s="1598"/>
      <c r="S84" s="1599"/>
    </row>
    <row r="85" spans="1:24" ht="16.5" x14ac:dyDescent="0.25">
      <c r="B85" s="97" t="s">
        <v>124</v>
      </c>
      <c r="C85" s="27"/>
      <c r="D85" s="27"/>
      <c r="E85" s="27"/>
      <c r="G85" s="132">
        <v>0.25</v>
      </c>
      <c r="I85" s="1309" t="s">
        <v>57</v>
      </c>
      <c r="J85" s="1315"/>
      <c r="L85" s="93">
        <v>0</v>
      </c>
      <c r="N85" s="38"/>
      <c r="P85" s="2103">
        <v>2.75E-2</v>
      </c>
      <c r="Q85" s="2104"/>
      <c r="R85" s="2104"/>
      <c r="S85" s="2105"/>
    </row>
    <row r="86" spans="1:24" ht="17.25" thickBot="1" x14ac:dyDescent="0.3">
      <c r="A86" s="95"/>
      <c r="B86" s="97" t="s">
        <v>750</v>
      </c>
      <c r="G86" s="94">
        <v>0.375</v>
      </c>
      <c r="I86" s="1309" t="s">
        <v>58</v>
      </c>
      <c r="J86" s="1315"/>
      <c r="L86" s="93">
        <v>0</v>
      </c>
      <c r="N86" s="38"/>
      <c r="P86" s="175"/>
      <c r="Q86" s="176"/>
      <c r="R86" s="176"/>
      <c r="S86" s="366"/>
    </row>
    <row r="87" spans="1:24" ht="20.25" x14ac:dyDescent="0.3">
      <c r="A87" s="97"/>
      <c r="B87" s="97"/>
      <c r="G87" s="94"/>
      <c r="I87" s="1309" t="s">
        <v>73</v>
      </c>
      <c r="J87" s="1315"/>
      <c r="L87" s="93">
        <v>0.25</v>
      </c>
      <c r="N87" s="38"/>
      <c r="P87" s="2106" t="s">
        <v>241</v>
      </c>
      <c r="Q87" s="2107"/>
      <c r="R87" s="2107"/>
      <c r="S87" s="2108"/>
    </row>
    <row r="88" spans="1:24" ht="15" customHeight="1" x14ac:dyDescent="0.25">
      <c r="A88" s="97"/>
      <c r="B88" s="97"/>
      <c r="C88" s="27"/>
      <c r="D88" s="27"/>
      <c r="E88" s="27"/>
      <c r="G88" s="108"/>
      <c r="I88" s="2162" t="s">
        <v>113</v>
      </c>
      <c r="J88" s="2163"/>
      <c r="L88" s="904">
        <v>0.5</v>
      </c>
      <c r="N88" s="38"/>
      <c r="P88" s="2109" t="s">
        <v>245</v>
      </c>
      <c r="Q88" s="2110"/>
      <c r="R88" s="2110"/>
      <c r="S88" s="2111"/>
    </row>
    <row r="89" spans="1:24" ht="15" customHeight="1" x14ac:dyDescent="0.25">
      <c r="A89" s="97"/>
      <c r="B89" s="97"/>
      <c r="C89" s="27"/>
      <c r="D89" s="27"/>
      <c r="E89" s="27"/>
      <c r="G89" s="108"/>
      <c r="I89" s="2162" t="s">
        <v>115</v>
      </c>
      <c r="J89" s="2163"/>
      <c r="L89" s="904">
        <v>1</v>
      </c>
      <c r="N89" s="38"/>
      <c r="P89" s="365"/>
      <c r="Q89" s="259"/>
      <c r="R89" s="259"/>
      <c r="S89" s="260"/>
    </row>
    <row r="90" spans="1:24" ht="20.25" x14ac:dyDescent="0.3">
      <c r="A90" s="97"/>
      <c r="B90" s="97"/>
      <c r="C90" s="27"/>
      <c r="D90" s="27"/>
      <c r="E90" s="27"/>
      <c r="G90" s="108"/>
      <c r="I90" s="1309" t="s">
        <v>239</v>
      </c>
      <c r="J90" s="1315"/>
      <c r="L90" s="93">
        <v>1.25</v>
      </c>
      <c r="M90" s="5" t="s">
        <v>240</v>
      </c>
      <c r="N90" s="38"/>
      <c r="P90" s="2155" t="s">
        <v>242</v>
      </c>
      <c r="Q90" s="2156"/>
      <c r="R90" s="2156"/>
      <c r="S90" s="2157"/>
    </row>
    <row r="91" spans="1:24" ht="16.5" x14ac:dyDescent="0.25">
      <c r="A91" s="97"/>
      <c r="B91" s="97"/>
      <c r="C91" s="27"/>
      <c r="D91" s="27"/>
      <c r="E91" s="27"/>
      <c r="G91" s="108"/>
      <c r="I91" s="1309" t="s">
        <v>243</v>
      </c>
      <c r="J91" s="1315"/>
      <c r="L91" s="93">
        <v>1.5</v>
      </c>
      <c r="M91" s="5" t="s">
        <v>244</v>
      </c>
      <c r="N91" s="38"/>
      <c r="P91" s="2109">
        <v>9018430000</v>
      </c>
      <c r="Q91" s="2110"/>
      <c r="R91" s="2110"/>
      <c r="S91" s="2111"/>
    </row>
    <row r="92" spans="1:24" ht="17.25" thickBot="1" x14ac:dyDescent="0.3">
      <c r="A92" s="97"/>
      <c r="B92" s="96"/>
      <c r="C92" s="78"/>
      <c r="D92" s="78"/>
      <c r="E92" s="78"/>
      <c r="F92" s="14"/>
      <c r="G92" s="134"/>
      <c r="I92" s="96"/>
      <c r="J92" s="78"/>
      <c r="K92" s="14"/>
      <c r="L92" s="14"/>
      <c r="M92" s="14"/>
      <c r="N92" s="48"/>
      <c r="P92" s="368"/>
      <c r="Q92" s="369"/>
      <c r="R92" s="369"/>
      <c r="S92" s="370"/>
    </row>
    <row r="93" spans="1:24" ht="21" customHeight="1" x14ac:dyDescent="0.3">
      <c r="A93" s="53"/>
      <c r="B93" s="95"/>
      <c r="I93" s="192" t="s">
        <v>246</v>
      </c>
      <c r="J93" s="192"/>
      <c r="K93" s="192"/>
      <c r="L93" s="192"/>
      <c r="M93" s="192"/>
      <c r="N93" s="192"/>
      <c r="P93" s="2152" t="s">
        <v>327</v>
      </c>
      <c r="Q93" s="2153"/>
      <c r="R93" s="2153"/>
      <c r="S93" s="2154"/>
    </row>
    <row r="94" spans="1:24" ht="21.75" customHeight="1" x14ac:dyDescent="0.3">
      <c r="A94" s="95"/>
      <c r="B94" s="95"/>
      <c r="I94" s="86"/>
      <c r="J94" s="224"/>
      <c r="K94" s="27"/>
      <c r="L94" s="27"/>
      <c r="M94" s="27"/>
      <c r="N94" s="27"/>
      <c r="O94" s="38"/>
      <c r="P94" s="2149" t="s">
        <v>328</v>
      </c>
      <c r="Q94" s="2150"/>
      <c r="R94" s="2150"/>
      <c r="S94" s="2151"/>
    </row>
    <row r="95" spans="1:24" ht="21.75" customHeight="1" x14ac:dyDescent="0.35">
      <c r="A95" s="38"/>
      <c r="B95" s="95"/>
      <c r="O95" s="38"/>
      <c r="P95" s="525"/>
      <c r="Q95" s="578"/>
      <c r="R95" s="578"/>
      <c r="S95" s="579"/>
    </row>
    <row r="96" spans="1:24" ht="15" customHeight="1" thickBot="1" x14ac:dyDescent="0.25">
      <c r="A96" s="38"/>
      <c r="B96" s="95"/>
      <c r="O96" s="38"/>
      <c r="P96" s="2214" t="s">
        <v>449</v>
      </c>
      <c r="Q96" s="2214"/>
      <c r="R96" s="2214"/>
      <c r="S96" s="2215"/>
    </row>
    <row r="97" spans="1:24" ht="12" customHeight="1" x14ac:dyDescent="0.2">
      <c r="A97" s="38"/>
      <c r="B97" s="2189" t="s">
        <v>231</v>
      </c>
      <c r="C97" s="2190"/>
      <c r="D97" s="2190"/>
      <c r="E97" s="2190"/>
      <c r="F97" s="2190"/>
      <c r="H97" s="2196" t="s">
        <v>223</v>
      </c>
      <c r="I97" s="2197"/>
      <c r="J97" s="2197"/>
      <c r="K97" s="2197"/>
      <c r="L97" s="2197"/>
      <c r="M97" s="2197"/>
      <c r="N97" s="2198"/>
      <c r="O97" s="38"/>
      <c r="P97" s="2214"/>
      <c r="Q97" s="2214"/>
      <c r="R97" s="2214"/>
      <c r="S97" s="2215"/>
    </row>
    <row r="98" spans="1:24" ht="19.5" customHeight="1" thickBot="1" x14ac:dyDescent="0.3">
      <c r="A98" s="38"/>
      <c r="B98" s="2191"/>
      <c r="C98" s="2192"/>
      <c r="D98" s="2192"/>
      <c r="E98" s="2192"/>
      <c r="F98" s="2192"/>
      <c r="H98" s="2199"/>
      <c r="I98" s="2200"/>
      <c r="J98" s="2200"/>
      <c r="K98" s="2200"/>
      <c r="L98" s="2200"/>
      <c r="M98" s="2200"/>
      <c r="N98" s="2201"/>
      <c r="O98" s="38"/>
      <c r="P98" s="371"/>
      <c r="Q98" s="371"/>
      <c r="R98" s="371"/>
      <c r="S98" s="372"/>
    </row>
    <row r="99" spans="1:24" ht="20.25" x14ac:dyDescent="0.3">
      <c r="A99" s="38"/>
      <c r="B99" s="905" t="s">
        <v>233</v>
      </c>
      <c r="C99" s="890"/>
      <c r="D99" s="890"/>
      <c r="E99" s="906" t="s">
        <v>43</v>
      </c>
      <c r="F99" s="583" t="s">
        <v>183</v>
      </c>
      <c r="H99" s="199" t="s">
        <v>224</v>
      </c>
      <c r="I99" s="907" t="s">
        <v>225</v>
      </c>
      <c r="J99" s="908"/>
      <c r="K99" s="908"/>
      <c r="M99" s="8"/>
      <c r="N99" s="38"/>
      <c r="P99" s="2211" t="s">
        <v>330</v>
      </c>
      <c r="Q99" s="2212"/>
      <c r="R99" s="2212"/>
      <c r="S99" s="2213"/>
    </row>
    <row r="100" spans="1:24" ht="20.25" x14ac:dyDescent="0.3">
      <c r="A100" s="38"/>
      <c r="B100" s="909" t="s">
        <v>129</v>
      </c>
      <c r="C100" s="906" t="s">
        <v>130</v>
      </c>
      <c r="D100" s="906"/>
      <c r="E100" s="910">
        <v>-0.125</v>
      </c>
      <c r="F100" s="911">
        <v>-0.125</v>
      </c>
      <c r="H100" s="199" t="s">
        <v>226</v>
      </c>
      <c r="I100" s="907" t="s">
        <v>227</v>
      </c>
      <c r="J100" s="908"/>
      <c r="K100" s="908"/>
      <c r="M100" s="8"/>
      <c r="N100" s="38"/>
      <c r="P100" s="2205" t="s">
        <v>329</v>
      </c>
      <c r="Q100" s="2206"/>
      <c r="R100" s="2206"/>
      <c r="S100" s="2207"/>
    </row>
    <row r="101" spans="1:24" ht="21" thickBot="1" x14ac:dyDescent="0.35">
      <c r="A101" s="38"/>
      <c r="B101" s="909" t="s">
        <v>177</v>
      </c>
      <c r="C101" s="906" t="s">
        <v>236</v>
      </c>
      <c r="D101" s="906"/>
      <c r="E101" s="910">
        <v>-0.25</v>
      </c>
      <c r="F101" s="911">
        <v>-0.1</v>
      </c>
      <c r="H101" s="200" t="s">
        <v>222</v>
      </c>
      <c r="I101" s="136" t="s">
        <v>228</v>
      </c>
      <c r="J101" s="14"/>
      <c r="L101" s="14"/>
      <c r="M101" s="14"/>
      <c r="N101" s="48"/>
      <c r="P101" s="373"/>
      <c r="Q101" s="912"/>
      <c r="R101" s="912"/>
      <c r="S101" s="374"/>
    </row>
    <row r="102" spans="1:24" ht="16.5" x14ac:dyDescent="0.25">
      <c r="A102" s="38"/>
      <c r="B102" s="909" t="s">
        <v>206</v>
      </c>
      <c r="C102" s="913" t="s">
        <v>238</v>
      </c>
      <c r="D102" s="913"/>
      <c r="E102" s="910">
        <v>-0.15</v>
      </c>
      <c r="F102" s="911">
        <v>-0.05</v>
      </c>
      <c r="K102" s="37"/>
      <c r="P102" s="2208" t="s">
        <v>449</v>
      </c>
      <c r="Q102" s="2209"/>
      <c r="R102" s="2209"/>
      <c r="S102" s="2210"/>
    </row>
    <row r="103" spans="1:24" x14ac:dyDescent="0.2">
      <c r="A103" s="38"/>
      <c r="B103" s="95"/>
      <c r="P103" s="2208"/>
      <c r="Q103" s="2209"/>
      <c r="R103" s="2209"/>
      <c r="S103" s="2210"/>
    </row>
    <row r="104" spans="1:24" ht="17.25" thickBot="1" x14ac:dyDescent="0.3">
      <c r="A104" s="38"/>
      <c r="B104" s="95"/>
      <c r="O104" s="224"/>
      <c r="P104" s="375"/>
      <c r="Q104" s="376"/>
      <c r="R104" s="376"/>
      <c r="S104" s="377"/>
    </row>
    <row r="105" spans="1:24" ht="21" thickBot="1" x14ac:dyDescent="0.35">
      <c r="B105" s="2183" t="s">
        <v>119</v>
      </c>
      <c r="C105" s="2184"/>
      <c r="D105" s="2185"/>
      <c r="E105" s="946" t="s">
        <v>598</v>
      </c>
      <c r="F105" s="942" t="s">
        <v>158</v>
      </c>
      <c r="G105" s="942" t="s">
        <v>159</v>
      </c>
      <c r="H105" s="942" t="s">
        <v>160</v>
      </c>
      <c r="I105" s="942" t="s">
        <v>101</v>
      </c>
      <c r="J105" s="943" t="s">
        <v>102</v>
      </c>
      <c r="K105" s="944" t="s">
        <v>667</v>
      </c>
      <c r="O105" s="27"/>
      <c r="P105" s="2202" t="s">
        <v>331</v>
      </c>
      <c r="Q105" s="2203"/>
      <c r="R105" s="2203"/>
      <c r="S105" s="2204"/>
    </row>
    <row r="106" spans="1:24" ht="21" thickBot="1" x14ac:dyDescent="0.35">
      <c r="B106" s="1533" t="s">
        <v>666</v>
      </c>
      <c r="C106" s="1534"/>
      <c r="D106" s="1535"/>
      <c r="E106" s="945">
        <v>0.25</v>
      </c>
      <c r="F106" s="925">
        <v>0.25</v>
      </c>
      <c r="G106" s="918">
        <v>0.25</v>
      </c>
      <c r="H106" s="918">
        <v>0.25</v>
      </c>
      <c r="I106" s="918">
        <v>0.375</v>
      </c>
      <c r="J106" s="949">
        <v>0.375</v>
      </c>
      <c r="K106" s="926">
        <v>0.5</v>
      </c>
      <c r="O106" s="27"/>
      <c r="P106" s="2193" t="s">
        <v>328</v>
      </c>
      <c r="Q106" s="2194"/>
      <c r="R106" s="2194"/>
      <c r="S106" s="2195"/>
    </row>
    <row r="107" spans="1:24" ht="23.25" x14ac:dyDescent="0.25">
      <c r="A107" s="38"/>
      <c r="B107" s="95"/>
      <c r="C107" s="809"/>
      <c r="D107" s="809"/>
      <c r="E107" s="809"/>
      <c r="O107" s="27"/>
      <c r="P107" s="2186" t="s">
        <v>449</v>
      </c>
      <c r="Q107" s="2187"/>
      <c r="R107" s="2187"/>
      <c r="S107" s="2188"/>
    </row>
    <row r="108" spans="1:24" ht="16.5" x14ac:dyDescent="0.25">
      <c r="A108" s="38"/>
      <c r="B108" s="95"/>
      <c r="O108" s="27"/>
      <c r="P108" s="2186"/>
      <c r="Q108" s="2187"/>
      <c r="R108" s="2187"/>
      <c r="S108" s="2188"/>
    </row>
    <row r="109" spans="1:24" ht="15" x14ac:dyDescent="0.25">
      <c r="A109" s="38"/>
      <c r="B109" s="95"/>
      <c r="P109" s="378"/>
      <c r="Q109" s="914"/>
      <c r="R109" s="914"/>
      <c r="S109" s="379"/>
    </row>
    <row r="110" spans="1:24" ht="15.75" thickBot="1" x14ac:dyDescent="0.3">
      <c r="A110" s="38"/>
      <c r="B110" s="95"/>
      <c r="P110" s="380"/>
      <c r="Q110" s="381"/>
      <c r="R110" s="381"/>
      <c r="S110" s="382"/>
    </row>
    <row r="111" spans="1:24" ht="15" x14ac:dyDescent="0.25">
      <c r="A111" s="38"/>
      <c r="B111" s="95"/>
      <c r="P111" s="15"/>
      <c r="Q111" s="15"/>
      <c r="R111" s="15"/>
      <c r="S111" s="406"/>
      <c r="X111" s="5"/>
    </row>
    <row r="112" spans="1:24" ht="15" x14ac:dyDescent="0.25">
      <c r="A112" s="38"/>
      <c r="B112" s="95"/>
      <c r="P112" s="15"/>
      <c r="Q112" s="15"/>
      <c r="R112" s="15"/>
      <c r="S112" s="406"/>
      <c r="X112" s="5"/>
    </row>
    <row r="113" spans="1:24" ht="15" x14ac:dyDescent="0.25">
      <c r="A113" s="38"/>
      <c r="B113" s="95"/>
      <c r="P113" s="15"/>
      <c r="Q113" s="15"/>
      <c r="R113" s="15"/>
      <c r="S113" s="406"/>
      <c r="X113" s="5"/>
    </row>
    <row r="114" spans="1:24" ht="15" x14ac:dyDescent="0.25">
      <c r="B114" s="95"/>
      <c r="P114" s="15"/>
      <c r="Q114" s="15"/>
      <c r="R114" s="15"/>
      <c r="S114" s="406"/>
      <c r="X114" s="5"/>
    </row>
    <row r="115" spans="1:24" ht="15" x14ac:dyDescent="0.25">
      <c r="B115" s="95"/>
      <c r="P115" s="15"/>
      <c r="Q115" s="15"/>
      <c r="R115" s="15"/>
      <c r="S115" s="406"/>
      <c r="X115" s="5"/>
    </row>
    <row r="116" spans="1:24" ht="15" x14ac:dyDescent="0.25">
      <c r="B116" s="95"/>
      <c r="P116" s="15"/>
      <c r="Q116" s="15"/>
      <c r="R116" s="15"/>
      <c r="S116" s="406"/>
      <c r="X116" s="5"/>
    </row>
    <row r="117" spans="1:24" ht="15" x14ac:dyDescent="0.25">
      <c r="B117" s="95"/>
      <c r="P117" s="15"/>
      <c r="Q117" s="15"/>
      <c r="R117" s="15"/>
      <c r="S117" s="406"/>
      <c r="X117" s="5"/>
    </row>
    <row r="118" spans="1:24" ht="15" x14ac:dyDescent="0.25">
      <c r="B118" s="95"/>
      <c r="P118" s="15"/>
      <c r="Q118" s="15"/>
      <c r="R118" s="15"/>
      <c r="S118" s="406"/>
      <c r="X118" s="5"/>
    </row>
    <row r="119" spans="1:24" ht="15" x14ac:dyDescent="0.25">
      <c r="B119" s="95"/>
      <c r="P119" s="15"/>
      <c r="Q119" s="15"/>
      <c r="R119" s="15"/>
      <c r="S119" s="406"/>
      <c r="X119" s="5"/>
    </row>
    <row r="120" spans="1:24" ht="8.25" customHeight="1" x14ac:dyDescent="0.2">
      <c r="B120" s="95"/>
      <c r="E120" s="915"/>
      <c r="S120" s="38"/>
      <c r="X120" s="5"/>
    </row>
    <row r="121" spans="1:24" ht="8.25" customHeight="1" thickBot="1" x14ac:dyDescent="0.25">
      <c r="B121" s="139"/>
      <c r="C121" s="14"/>
      <c r="D121" s="14"/>
      <c r="E121" s="202"/>
      <c r="F121" s="202"/>
      <c r="G121" s="14"/>
      <c r="H121" s="202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48"/>
      <c r="X121" s="5"/>
    </row>
    <row r="122" spans="1:24" ht="17.25" customHeight="1" x14ac:dyDescent="0.25">
      <c r="B122" s="1250" t="s">
        <v>459</v>
      </c>
      <c r="C122" s="1251"/>
      <c r="D122" s="1251"/>
      <c r="E122" s="1251"/>
      <c r="F122" s="1251"/>
      <c r="G122" s="1251"/>
      <c r="H122" s="1251"/>
      <c r="I122" s="1251"/>
      <c r="J122" s="1251"/>
      <c r="K122" s="1251"/>
      <c r="L122" s="1251"/>
      <c r="M122" s="1251"/>
      <c r="N122" s="1251"/>
      <c r="O122" s="1251"/>
      <c r="P122" s="1251"/>
      <c r="Q122" s="1251"/>
      <c r="R122" s="1251"/>
      <c r="S122" s="1252"/>
      <c r="X122" s="5"/>
    </row>
    <row r="123" spans="1:24" ht="17.25" customHeight="1" x14ac:dyDescent="0.25">
      <c r="B123" s="1812" t="s">
        <v>10</v>
      </c>
      <c r="C123" s="1253"/>
      <c r="D123" s="1253"/>
      <c r="E123" s="1253"/>
      <c r="F123" s="1253"/>
      <c r="G123" s="1253"/>
      <c r="H123" s="1253"/>
      <c r="I123" s="1253"/>
      <c r="J123" s="1253"/>
      <c r="K123" s="1253"/>
      <c r="L123" s="1253"/>
      <c r="M123" s="1253"/>
      <c r="N123" s="1253"/>
      <c r="O123" s="1253"/>
      <c r="P123" s="1253"/>
      <c r="Q123" s="1253"/>
      <c r="R123" s="1253"/>
      <c r="S123" s="1813"/>
    </row>
    <row r="124" spans="1:24" ht="17.25" customHeight="1" thickBot="1" x14ac:dyDescent="0.3">
      <c r="B124" s="1275" t="s">
        <v>23</v>
      </c>
      <c r="C124" s="1276"/>
      <c r="D124" s="1276"/>
      <c r="E124" s="1276"/>
      <c r="F124" s="1276"/>
      <c r="G124" s="1276"/>
      <c r="H124" s="1276"/>
      <c r="I124" s="1276"/>
      <c r="J124" s="1276"/>
      <c r="K124" s="1276"/>
      <c r="L124" s="1276"/>
      <c r="M124" s="1276"/>
      <c r="N124" s="1276"/>
      <c r="O124" s="1276"/>
      <c r="P124" s="1276"/>
      <c r="Q124" s="1276"/>
      <c r="R124" s="1276"/>
      <c r="S124" s="1277"/>
    </row>
    <row r="125" spans="1:24" x14ac:dyDescent="0.2">
      <c r="J125" s="37"/>
      <c r="K125" s="37"/>
    </row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7.25" customHeight="1" x14ac:dyDescent="0.2"/>
    <row r="148" ht="15" customHeight="1" x14ac:dyDescent="0.2"/>
  </sheetData>
  <mergeCells count="72">
    <mergeCell ref="B97:F98"/>
    <mergeCell ref="P106:S106"/>
    <mergeCell ref="H97:N98"/>
    <mergeCell ref="P105:S105"/>
    <mergeCell ref="P100:S100"/>
    <mergeCell ref="P102:S103"/>
    <mergeCell ref="P99:S99"/>
    <mergeCell ref="P96:S97"/>
    <mergeCell ref="B124:S124"/>
    <mergeCell ref="B122:S122"/>
    <mergeCell ref="B123:S123"/>
    <mergeCell ref="B105:D105"/>
    <mergeCell ref="B106:D106"/>
    <mergeCell ref="P107:S108"/>
    <mergeCell ref="K20:S20"/>
    <mergeCell ref="Q21:S21"/>
    <mergeCell ref="B48:J48"/>
    <mergeCell ref="E21:G21"/>
    <mergeCell ref="B21:D21"/>
    <mergeCell ref="H21:J21"/>
    <mergeCell ref="N21:P21"/>
    <mergeCell ref="K21:M21"/>
    <mergeCell ref="K48:P48"/>
    <mergeCell ref="Q48:S48"/>
    <mergeCell ref="B20:J20"/>
    <mergeCell ref="B3:D3"/>
    <mergeCell ref="Q3:S3"/>
    <mergeCell ref="B10:S11"/>
    <mergeCell ref="B18:S18"/>
    <mergeCell ref="B4:D4"/>
    <mergeCell ref="B5:D5"/>
    <mergeCell ref="B6:D6"/>
    <mergeCell ref="B7:D7"/>
    <mergeCell ref="B13:S13"/>
    <mergeCell ref="B12:C12"/>
    <mergeCell ref="H12:J12"/>
    <mergeCell ref="K12:M12"/>
    <mergeCell ref="N12:S12"/>
    <mergeCell ref="L7:M7"/>
    <mergeCell ref="B14:S15"/>
    <mergeCell ref="B16:S17"/>
    <mergeCell ref="I81:J81"/>
    <mergeCell ref="I82:J82"/>
    <mergeCell ref="I83:J83"/>
    <mergeCell ref="I84:J84"/>
    <mergeCell ref="I89:J89"/>
    <mergeCell ref="I85:J85"/>
    <mergeCell ref="I86:J86"/>
    <mergeCell ref="I87:J87"/>
    <mergeCell ref="I88:J88"/>
    <mergeCell ref="P94:S94"/>
    <mergeCell ref="I91:J91"/>
    <mergeCell ref="P93:S93"/>
    <mergeCell ref="P91:S91"/>
    <mergeCell ref="P85:S85"/>
    <mergeCell ref="I90:J90"/>
    <mergeCell ref="P90:S90"/>
    <mergeCell ref="N49:P50"/>
    <mergeCell ref="I80:N80"/>
    <mergeCell ref="Q49:S50"/>
    <mergeCell ref="B77:S78"/>
    <mergeCell ref="K49:M50"/>
    <mergeCell ref="B49:D50"/>
    <mergeCell ref="E49:G50"/>
    <mergeCell ref="H49:J50"/>
    <mergeCell ref="B80:G80"/>
    <mergeCell ref="P79:S80"/>
    <mergeCell ref="P81:S81"/>
    <mergeCell ref="P82:S82"/>
    <mergeCell ref="P84:S84"/>
    <mergeCell ref="P87:S87"/>
    <mergeCell ref="P88:S88"/>
  </mergeCells>
  <hyperlinks>
    <hyperlink ref="B7" r:id="rId1" xr:uid="{EB9B3067-5C43-4F24-BA9D-C58F0AD3CA74}"/>
    <hyperlink ref="D12" r:id="rId2" display="Lockdesk@amwestfunding.com" xr:uid="{65DCFB55-1B4B-4423-8CF5-5AC726C555B8}"/>
    <hyperlink ref="P96" r:id="rId3" display="https://entp.hud.gov/idapp/html/hicostlook.cfm" xr:uid="{9DB52BAC-5FB5-4217-BCEB-47B259E198FD}"/>
    <hyperlink ref="P102:S103" r:id="rId4" display="CLICK HERE" xr:uid="{11166CB5-D608-45B7-BA8B-556A00A44EAE}"/>
    <hyperlink ref="P107" r:id="rId5" display="https://www.va.gov/housing-assistance/home-loans/loan-limits/" xr:uid="{CA204B64-3383-4A26-A2EE-4E112A83E6E8}"/>
    <hyperlink ref="P107:S108" r:id="rId6" display="CLICK HERE" xr:uid="{54176516-1CEA-49ED-A2D0-830E3744AD05}"/>
    <hyperlink ref="P96:S97" r:id="rId7" display="CLICK HERE" xr:uid="{AFCECF42-6D92-4307-B097-6BDA17D66B06}"/>
  </hyperlinks>
  <printOptions horizontalCentered="1" verticalCentered="1"/>
  <pageMargins left="0.1" right="0.1" top="0.1" bottom="0.1" header="0.1" footer="0.1"/>
  <pageSetup paperSize="5" scale="51" orientation="portrait" r:id="rId8"/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A4D8-B3B5-4B17-8BA7-1C22C66A3206}">
  <sheetPr codeName="Sheet11">
    <pageSetUpPr fitToPage="1"/>
  </sheetPr>
  <dimension ref="A1:AJ119"/>
  <sheetViews>
    <sheetView zoomScale="70" zoomScaleNormal="70" workbookViewId="0">
      <selection activeCell="E84" sqref="E84"/>
    </sheetView>
  </sheetViews>
  <sheetFormatPr defaultRowHeight="14.25" x14ac:dyDescent="0.2"/>
  <cols>
    <col min="1" max="1" width="8" style="5" customWidth="1"/>
    <col min="2" max="2" width="19.140625" style="5" customWidth="1"/>
    <col min="3" max="3" width="14.5703125" style="5" customWidth="1"/>
    <col min="4" max="4" width="7.5703125" style="5" customWidth="1"/>
    <col min="5" max="6" width="13.5703125" style="5" customWidth="1"/>
    <col min="7" max="7" width="20.85546875" style="5" customWidth="1"/>
    <col min="8" max="9" width="13.5703125" style="5" customWidth="1"/>
    <col min="10" max="10" width="16.5703125" style="5" customWidth="1"/>
    <col min="11" max="11" width="17.7109375" style="5" customWidth="1"/>
    <col min="12" max="12" width="5.7109375" style="5" customWidth="1"/>
    <col min="13" max="13" width="19.140625" style="5" customWidth="1"/>
    <col min="14" max="14" width="19" style="5" customWidth="1"/>
    <col min="15" max="16" width="13.5703125" style="5" customWidth="1"/>
    <col min="17" max="17" width="14.7109375" style="5" customWidth="1"/>
    <col min="18" max="18" width="17.28515625" style="5" customWidth="1"/>
    <col min="19" max="20" width="9.140625" style="5"/>
    <col min="21" max="21" width="20.28515625" style="5" customWidth="1"/>
    <col min="22" max="23" width="18.42578125" style="5" customWidth="1"/>
    <col min="24" max="24" width="19" style="5" customWidth="1"/>
    <col min="25" max="31" width="11.85546875" style="5" customWidth="1"/>
    <col min="32" max="32" width="14" style="5" bestFit="1" customWidth="1"/>
    <col min="33" max="16384" width="9.140625" style="5"/>
  </cols>
  <sheetData>
    <row r="1" spans="1:18" ht="21.75" customHeight="1" x14ac:dyDescent="0.25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327" t="s">
        <v>726</v>
      </c>
    </row>
    <row r="2" spans="1:18" ht="20.25" customHeight="1" x14ac:dyDescent="0.25">
      <c r="A2" s="149"/>
      <c r="B2" s="1964" t="s">
        <v>0</v>
      </c>
      <c r="C2" s="1965"/>
      <c r="D2" s="1966"/>
      <c r="E2" s="27"/>
      <c r="F2" s="27"/>
      <c r="G2" s="117"/>
      <c r="H2" s="27"/>
      <c r="I2" s="27"/>
      <c r="J2" s="27"/>
      <c r="K2" s="27"/>
      <c r="L2" s="27"/>
      <c r="M2" s="27"/>
      <c r="N2" s="27"/>
      <c r="O2" s="27"/>
      <c r="P2" s="1964"/>
      <c r="Q2" s="1965"/>
      <c r="R2" s="1966"/>
    </row>
    <row r="3" spans="1:18" ht="18" customHeight="1" x14ac:dyDescent="0.25">
      <c r="A3" s="149"/>
      <c r="B3" s="1272" t="s">
        <v>1</v>
      </c>
      <c r="C3" s="1273"/>
      <c r="D3" s="1274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309"/>
      <c r="Q3" s="167"/>
      <c r="R3" s="310"/>
    </row>
    <row r="4" spans="1:18" ht="18" customHeight="1" x14ac:dyDescent="0.25">
      <c r="A4" s="149"/>
      <c r="B4" s="1272" t="s">
        <v>2</v>
      </c>
      <c r="C4" s="1273"/>
      <c r="D4" s="1274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309"/>
      <c r="Q4" s="167"/>
      <c r="R4" s="310"/>
    </row>
    <row r="5" spans="1:18" ht="18" customHeight="1" x14ac:dyDescent="0.25">
      <c r="A5" s="149"/>
      <c r="B5" s="1272" t="s">
        <v>3</v>
      </c>
      <c r="C5" s="1273"/>
      <c r="D5" s="1274"/>
      <c r="E5" s="157"/>
      <c r="F5" s="27"/>
      <c r="G5" s="27"/>
      <c r="H5" s="27"/>
      <c r="I5" s="27"/>
      <c r="J5" s="27"/>
      <c r="K5" s="27"/>
      <c r="L5" s="27"/>
      <c r="M5" s="27"/>
      <c r="N5" s="27"/>
      <c r="O5" s="27"/>
      <c r="P5" s="309"/>
      <c r="Q5" s="167"/>
      <c r="R5" s="310"/>
    </row>
    <row r="6" spans="1:18" ht="18" customHeight="1" x14ac:dyDescent="0.25">
      <c r="A6" s="149"/>
      <c r="B6" s="1266" t="s">
        <v>4</v>
      </c>
      <c r="C6" s="1267"/>
      <c r="D6" s="1268"/>
      <c r="E6" s="157"/>
      <c r="F6" s="27"/>
      <c r="G6" s="27"/>
      <c r="H6" s="27"/>
      <c r="I6" s="27"/>
      <c r="J6" s="27"/>
      <c r="K6" s="27"/>
      <c r="L6" s="27"/>
      <c r="M6" s="27"/>
      <c r="N6" s="27"/>
      <c r="O6" s="27"/>
      <c r="P6" s="311"/>
      <c r="Q6" s="135"/>
      <c r="R6" s="312"/>
    </row>
    <row r="7" spans="1:18" ht="18.75" customHeight="1" thickBot="1" x14ac:dyDescent="0.3">
      <c r="B7" s="27"/>
      <c r="C7" s="27"/>
      <c r="D7" s="158"/>
      <c r="E7" s="27"/>
      <c r="F7" s="1276" t="s">
        <v>5</v>
      </c>
      <c r="G7" s="1276"/>
      <c r="H7" s="1276"/>
      <c r="I7" s="1276"/>
      <c r="J7" s="117"/>
      <c r="K7" s="1369" t="s">
        <v>6</v>
      </c>
      <c r="L7" s="1369"/>
      <c r="M7" s="408">
        <f>GOV!N7</f>
        <v>45950</v>
      </c>
      <c r="N7" s="576" t="str">
        <f>GOV!O7</f>
        <v>8:00 AM PST</v>
      </c>
      <c r="O7" s="27"/>
      <c r="P7" s="27"/>
      <c r="Q7" s="27"/>
      <c r="R7" s="27"/>
    </row>
    <row r="8" spans="1:18" ht="10.5" customHeight="1" thickBot="1" x14ac:dyDescent="0.25">
      <c r="B8" s="514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140"/>
    </row>
    <row r="9" spans="1:18" ht="15" customHeight="1" x14ac:dyDescent="0.2">
      <c r="B9" s="1579" t="s">
        <v>38</v>
      </c>
      <c r="C9" s="1580"/>
      <c r="D9" s="1580"/>
      <c r="E9" s="1580"/>
      <c r="F9" s="1580"/>
      <c r="G9" s="1580"/>
      <c r="H9" s="1580"/>
      <c r="I9" s="1580"/>
      <c r="J9" s="1580"/>
      <c r="K9" s="1580"/>
      <c r="L9" s="1580"/>
      <c r="M9" s="1580"/>
      <c r="N9" s="1580"/>
      <c r="O9" s="1580"/>
      <c r="P9" s="1580"/>
      <c r="Q9" s="1580"/>
      <c r="R9" s="1581"/>
    </row>
    <row r="10" spans="1:18" ht="8.25" customHeight="1" thickBot="1" x14ac:dyDescent="0.25">
      <c r="B10" s="1582"/>
      <c r="C10" s="1583"/>
      <c r="D10" s="1583"/>
      <c r="E10" s="1583"/>
      <c r="F10" s="1583"/>
      <c r="G10" s="1583"/>
      <c r="H10" s="1583"/>
      <c r="I10" s="1583"/>
      <c r="J10" s="1583"/>
      <c r="K10" s="1583"/>
      <c r="L10" s="1583"/>
      <c r="M10" s="1583"/>
      <c r="N10" s="1583"/>
      <c r="O10" s="1583"/>
      <c r="P10" s="1583"/>
      <c r="Q10" s="1583"/>
      <c r="R10" s="1584"/>
    </row>
    <row r="11" spans="1:18" ht="23.25" customHeight="1" x14ac:dyDescent="0.25">
      <c r="B11" s="316" t="s">
        <v>358</v>
      </c>
      <c r="C11" s="585"/>
      <c r="D11" s="586"/>
      <c r="E11" s="587"/>
      <c r="F11" s="587"/>
      <c r="G11" s="588" t="s">
        <v>9</v>
      </c>
      <c r="H11" s="588"/>
      <c r="I11" s="588"/>
      <c r="J11" s="27"/>
      <c r="K11" s="1808" t="s">
        <v>352</v>
      </c>
      <c r="L11" s="1808"/>
      <c r="M11" s="1808"/>
      <c r="N11" s="1808"/>
      <c r="O11" s="1795" t="s">
        <v>625</v>
      </c>
      <c r="P11" s="1795"/>
      <c r="Q11" s="1795"/>
      <c r="R11" s="1796"/>
    </row>
    <row r="12" spans="1:18" ht="6" customHeight="1" x14ac:dyDescent="0.25">
      <c r="B12" s="1797"/>
      <c r="C12" s="2216"/>
      <c r="D12" s="2216"/>
      <c r="E12" s="2216"/>
      <c r="F12" s="2216"/>
      <c r="G12" s="2216"/>
      <c r="H12" s="2216"/>
      <c r="I12" s="2216"/>
      <c r="J12" s="2216"/>
      <c r="K12" s="2216"/>
      <c r="L12" s="2216"/>
      <c r="M12" s="2216"/>
      <c r="N12" s="2216"/>
      <c r="O12" s="2216"/>
      <c r="P12" s="2216"/>
      <c r="Q12" s="2216"/>
      <c r="R12" s="2217"/>
    </row>
    <row r="13" spans="1:18" ht="33.75" customHeight="1" x14ac:dyDescent="0.2">
      <c r="B13" s="1769" t="s">
        <v>11</v>
      </c>
      <c r="C13" s="1770"/>
      <c r="D13" s="1770"/>
      <c r="E13" s="1770"/>
      <c r="F13" s="1770"/>
      <c r="G13" s="1770"/>
      <c r="H13" s="1770"/>
      <c r="I13" s="1770"/>
      <c r="J13" s="1770"/>
      <c r="K13" s="1770"/>
      <c r="L13" s="1770"/>
      <c r="M13" s="1770"/>
      <c r="N13" s="1770"/>
      <c r="O13" s="1770"/>
      <c r="P13" s="1770"/>
      <c r="Q13" s="1770"/>
      <c r="R13" s="1771"/>
    </row>
    <row r="14" spans="1:18" ht="21" customHeight="1" x14ac:dyDescent="0.2">
      <c r="B14" s="1802"/>
      <c r="C14" s="1803"/>
      <c r="D14" s="1803"/>
      <c r="E14" s="1803"/>
      <c r="F14" s="1803"/>
      <c r="G14" s="1803"/>
      <c r="H14" s="1803"/>
      <c r="I14" s="1803"/>
      <c r="J14" s="1803"/>
      <c r="K14" s="1803"/>
      <c r="L14" s="1803"/>
      <c r="M14" s="1803"/>
      <c r="N14" s="1803"/>
      <c r="O14" s="1803"/>
      <c r="P14" s="1803"/>
      <c r="Q14" s="1803"/>
      <c r="R14" s="1804"/>
    </row>
    <row r="15" spans="1:18" ht="21" customHeight="1" x14ac:dyDescent="0.2">
      <c r="B15" s="1805"/>
      <c r="C15" s="1806"/>
      <c r="D15" s="1806"/>
      <c r="E15" s="1806"/>
      <c r="F15" s="1806"/>
      <c r="G15" s="1806"/>
      <c r="H15" s="1806"/>
      <c r="I15" s="1806"/>
      <c r="J15" s="1806"/>
      <c r="K15" s="1806"/>
      <c r="L15" s="1806"/>
      <c r="M15" s="1806"/>
      <c r="N15" s="1806"/>
      <c r="O15" s="1806"/>
      <c r="P15" s="1806"/>
      <c r="Q15" s="1806"/>
      <c r="R15" s="1807"/>
    </row>
    <row r="16" spans="1:18" ht="12" customHeight="1" thickBot="1" x14ac:dyDescent="0.25">
      <c r="B16" s="517"/>
      <c r="C16" s="831"/>
      <c r="D16" s="831"/>
      <c r="E16" s="831"/>
      <c r="F16" s="831"/>
      <c r="G16" s="831"/>
      <c r="H16" s="831"/>
      <c r="I16" s="831"/>
      <c r="J16" s="831"/>
      <c r="K16" s="831"/>
      <c r="L16" s="831"/>
      <c r="M16" s="831"/>
      <c r="N16" s="831"/>
      <c r="O16" s="831"/>
      <c r="P16" s="831"/>
      <c r="Q16" s="831"/>
      <c r="R16" s="138"/>
    </row>
    <row r="17" spans="2:18" ht="35.25" customHeight="1" thickBot="1" x14ac:dyDescent="0.25">
      <c r="B17" s="1772" t="s">
        <v>153</v>
      </c>
      <c r="C17" s="1773"/>
      <c r="D17" s="1773"/>
      <c r="E17" s="1773"/>
      <c r="F17" s="1773"/>
      <c r="G17" s="1773"/>
      <c r="H17" s="1773"/>
      <c r="I17" s="1773"/>
      <c r="J17" s="1773"/>
      <c r="K17" s="1773"/>
      <c r="L17" s="1773"/>
      <c r="M17" s="1773"/>
      <c r="N17" s="1773"/>
      <c r="O17" s="1773"/>
      <c r="P17" s="1773"/>
      <c r="Q17" s="1773"/>
      <c r="R17" s="1774"/>
    </row>
    <row r="18" spans="2:18" ht="15" customHeight="1" thickBot="1" x14ac:dyDescent="0.25">
      <c r="B18" s="533"/>
      <c r="C18" s="534"/>
      <c r="D18" s="534"/>
      <c r="E18" s="534"/>
      <c r="F18" s="534"/>
      <c r="G18" s="534"/>
      <c r="H18" s="534"/>
      <c r="I18" s="534"/>
      <c r="J18" s="534"/>
      <c r="K18" s="534"/>
      <c r="L18" s="534"/>
      <c r="M18" s="534"/>
      <c r="N18" s="534"/>
      <c r="O18" s="534"/>
      <c r="P18" s="534"/>
      <c r="Q18" s="534"/>
      <c r="R18" s="535"/>
    </row>
    <row r="19" spans="2:18" ht="27.75" customHeight="1" thickBot="1" x14ac:dyDescent="0.25">
      <c r="B19" s="1793" t="s">
        <v>379</v>
      </c>
      <c r="C19" s="1794"/>
      <c r="D19" s="609"/>
      <c r="E19" s="1764" t="s">
        <v>250</v>
      </c>
      <c r="F19" s="1765"/>
      <c r="G19" s="1766"/>
      <c r="H19" s="610"/>
      <c r="I19" s="1764" t="s">
        <v>251</v>
      </c>
      <c r="J19" s="1765"/>
      <c r="K19" s="1766"/>
      <c r="L19" s="611"/>
      <c r="M19" s="522" t="s">
        <v>530</v>
      </c>
      <c r="N19" s="523"/>
      <c r="O19" s="1775" t="s">
        <v>454</v>
      </c>
      <c r="P19" s="1776"/>
      <c r="Q19" s="1776"/>
      <c r="R19" s="1777"/>
    </row>
    <row r="20" spans="2:18" ht="32.25" customHeight="1" thickBot="1" x14ac:dyDescent="0.25">
      <c r="B20" s="1785" t="s">
        <v>488</v>
      </c>
      <c r="C20" s="1786"/>
      <c r="D20" s="181"/>
      <c r="E20" s="1750" t="s">
        <v>379</v>
      </c>
      <c r="F20" s="1751"/>
      <c r="G20" s="1752"/>
      <c r="I20" s="1750" t="s">
        <v>529</v>
      </c>
      <c r="J20" s="1751"/>
      <c r="K20" s="1752"/>
      <c r="L20" s="832"/>
      <c r="M20" s="1800" t="s">
        <v>520</v>
      </c>
      <c r="N20" s="1801"/>
      <c r="O20" s="1778"/>
      <c r="P20" s="1779"/>
      <c r="Q20" s="1779"/>
      <c r="R20" s="1780"/>
    </row>
    <row r="21" spans="2:18" ht="25.5" customHeight="1" thickTop="1" thickBot="1" x14ac:dyDescent="0.3">
      <c r="B21" s="1787" t="s">
        <v>154</v>
      </c>
      <c r="C21" s="1788"/>
      <c r="D21" s="181"/>
      <c r="E21" s="1744" t="s">
        <v>488</v>
      </c>
      <c r="F21" s="1745"/>
      <c r="G21" s="1746"/>
      <c r="I21" s="1744" t="s">
        <v>520</v>
      </c>
      <c r="J21" s="1745"/>
      <c r="K21" s="1746"/>
      <c r="L21" s="832"/>
      <c r="M21" s="1783" t="s">
        <v>521</v>
      </c>
      <c r="N21" s="1784"/>
      <c r="O21" s="1809" t="s">
        <v>498</v>
      </c>
      <c r="P21" s="1810"/>
      <c r="Q21" s="1810"/>
      <c r="R21" s="1811"/>
    </row>
    <row r="22" spans="2:18" ht="20.25" customHeight="1" thickBot="1" x14ac:dyDescent="0.25">
      <c r="B22" s="1789" t="s">
        <v>489</v>
      </c>
      <c r="C22" s="1790"/>
      <c r="D22" s="181"/>
      <c r="E22" s="1756" t="s">
        <v>474</v>
      </c>
      <c r="F22" s="1757"/>
      <c r="G22" s="1758"/>
      <c r="I22" s="1756" t="s">
        <v>506</v>
      </c>
      <c r="J22" s="1757"/>
      <c r="K22" s="1758"/>
      <c r="L22" s="607"/>
      <c r="M22" s="1767" t="s">
        <v>522</v>
      </c>
      <c r="N22" s="1768"/>
      <c r="O22" s="833"/>
      <c r="P22" s="833"/>
      <c r="Q22" s="833"/>
      <c r="R22" s="524"/>
    </row>
    <row r="23" spans="2:18" ht="21.75" customHeight="1" x14ac:dyDescent="0.25">
      <c r="B23" s="1791" t="s">
        <v>262</v>
      </c>
      <c r="C23" s="1792"/>
      <c r="D23" s="181"/>
      <c r="E23" s="1736" t="s">
        <v>475</v>
      </c>
      <c r="F23" s="1737"/>
      <c r="G23" s="1738"/>
      <c r="I23" s="1741" t="s">
        <v>523</v>
      </c>
      <c r="J23" s="1742"/>
      <c r="K23" s="1743"/>
      <c r="L23" s="834"/>
      <c r="M23" s="852" t="s">
        <v>14</v>
      </c>
      <c r="N23" s="853" t="s">
        <v>15</v>
      </c>
      <c r="O23" s="1598" t="s">
        <v>497</v>
      </c>
      <c r="P23" s="1598"/>
      <c r="Q23" s="1598"/>
      <c r="R23" s="1599"/>
    </row>
    <row r="24" spans="2:18" ht="21.75" customHeight="1" thickBot="1" x14ac:dyDescent="0.3">
      <c r="B24" s="1781" t="s">
        <v>490</v>
      </c>
      <c r="C24" s="1782"/>
      <c r="D24" s="181"/>
      <c r="E24" s="1736" t="s">
        <v>476</v>
      </c>
      <c r="F24" s="1737"/>
      <c r="G24" s="1738"/>
      <c r="H24" s="835"/>
      <c r="I24" s="1741" t="s">
        <v>524</v>
      </c>
      <c r="J24" s="1742"/>
      <c r="K24" s="1743"/>
      <c r="L24" s="834"/>
      <c r="M24" s="95"/>
      <c r="N24" s="38"/>
      <c r="O24" s="1598" t="s">
        <v>496</v>
      </c>
      <c r="P24" s="1598"/>
      <c r="Q24" s="1598"/>
      <c r="R24" s="1599"/>
    </row>
    <row r="25" spans="2:18" ht="21.75" customHeight="1" x14ac:dyDescent="0.25">
      <c r="B25" s="852" t="s">
        <v>14</v>
      </c>
      <c r="C25" s="853" t="s">
        <v>15</v>
      </c>
      <c r="D25" s="181"/>
      <c r="E25" s="1736" t="s">
        <v>477</v>
      </c>
      <c r="F25" s="1737"/>
      <c r="G25" s="1738"/>
      <c r="H25" s="223"/>
      <c r="I25" s="1736" t="s">
        <v>525</v>
      </c>
      <c r="J25" s="1737"/>
      <c r="K25" s="1738"/>
      <c r="L25" s="836"/>
      <c r="M25" s="104">
        <f>MIN('[1]Pricing '!$A$3000:$A$3028)</f>
        <v>5.75</v>
      </c>
      <c r="N25" s="305">
        <f>100-VLOOKUP(M25,'[1]Pricing '!$A$3000:$K$3028,11,FALSE)-0.375</f>
        <v>4.9650000000000034</v>
      </c>
      <c r="O25" s="1598" t="s">
        <v>495</v>
      </c>
      <c r="P25" s="1598"/>
      <c r="Q25" s="1598"/>
      <c r="R25" s="1599"/>
    </row>
    <row r="26" spans="2:18" ht="21.75" customHeight="1" x14ac:dyDescent="0.25">
      <c r="B26" s="104">
        <f>MIN('[1]Pricing '!$A$1377:$A$1404)</f>
        <v>5.875</v>
      </c>
      <c r="C26" s="305">
        <f>100-VLOOKUP(B26,'[1]Pricing '!$A$1619:$K$1646,11,FALSE)-0.375</f>
        <v>5.3400000000000034</v>
      </c>
      <c r="D26" s="181"/>
      <c r="E26" s="1736" t="s">
        <v>478</v>
      </c>
      <c r="F26" s="1737"/>
      <c r="G26" s="1738"/>
      <c r="H26" s="223"/>
      <c r="I26" s="1736" t="s">
        <v>526</v>
      </c>
      <c r="J26" s="1737"/>
      <c r="K26" s="1738"/>
      <c r="L26" s="836"/>
      <c r="M26" s="104">
        <f t="shared" ref="M26:M39" si="0">M25+0.125</f>
        <v>5.875</v>
      </c>
      <c r="N26" s="305">
        <f>100-VLOOKUP(M26,'[1]Pricing '!$A$3000:$K$3028,11,FALSE)-0.375</f>
        <v>4.3400000000000034</v>
      </c>
      <c r="O26" s="1598" t="s">
        <v>492</v>
      </c>
      <c r="P26" s="1598"/>
      <c r="Q26" s="1598"/>
      <c r="R26" s="1599"/>
    </row>
    <row r="27" spans="2:18" ht="21.75" customHeight="1" x14ac:dyDescent="0.25">
      <c r="B27" s="104">
        <f t="shared" ref="B27:B46" si="1">B26+0.125</f>
        <v>6</v>
      </c>
      <c r="C27" s="305">
        <f>100-VLOOKUP(B27,'[1]Pricing '!$A$1619:$K$1646,11,FALSE)-0.375</f>
        <v>4.7150000000000034</v>
      </c>
      <c r="D27" s="181"/>
      <c r="E27" s="1736" t="s">
        <v>480</v>
      </c>
      <c r="F27" s="1737"/>
      <c r="G27" s="1738"/>
      <c r="H27" s="223"/>
      <c r="I27" s="1736" t="s">
        <v>480</v>
      </c>
      <c r="J27" s="1737"/>
      <c r="K27" s="1738"/>
      <c r="L27" s="836"/>
      <c r="M27" s="104">
        <f t="shared" si="0"/>
        <v>6</v>
      </c>
      <c r="N27" s="305">
        <f>100-VLOOKUP(M27,'[1]Pricing '!$A$3000:$K$3028,11,FALSE)-0.375</f>
        <v>3.7150000000000034</v>
      </c>
      <c r="O27" s="1598" t="s">
        <v>493</v>
      </c>
      <c r="P27" s="1598"/>
      <c r="Q27" s="1598"/>
      <c r="R27" s="1599"/>
    </row>
    <row r="28" spans="2:18" ht="21.75" customHeight="1" thickBot="1" x14ac:dyDescent="0.3">
      <c r="B28" s="104">
        <f t="shared" si="1"/>
        <v>6.125</v>
      </c>
      <c r="C28" s="305">
        <f>100-VLOOKUP(B28,'[1]Pricing '!$A$1619:$K$1646,11,FALSE)-0.375</f>
        <v>4.0900000000000034</v>
      </c>
      <c r="D28" s="181"/>
      <c r="E28" s="1736" t="s">
        <v>479</v>
      </c>
      <c r="F28" s="1737"/>
      <c r="G28" s="1738"/>
      <c r="H28" s="223"/>
      <c r="I28" s="1759" t="s">
        <v>479</v>
      </c>
      <c r="J28" s="1760"/>
      <c r="K28" s="1761"/>
      <c r="L28" s="836"/>
      <c r="M28" s="104">
        <f t="shared" si="0"/>
        <v>6.125</v>
      </c>
      <c r="N28" s="305">
        <f>100-VLOOKUP(M28,'[1]Pricing '!$A$3000:$K$3028,11,FALSE)-0.375</f>
        <v>3.2150000000000034</v>
      </c>
      <c r="O28" s="1598" t="s">
        <v>178</v>
      </c>
      <c r="P28" s="1598"/>
      <c r="Q28" s="1598"/>
      <c r="R28" s="1599"/>
    </row>
    <row r="29" spans="2:18" ht="21.75" customHeight="1" thickTop="1" thickBot="1" x14ac:dyDescent="0.3">
      <c r="B29" s="104">
        <f t="shared" si="1"/>
        <v>6.25</v>
      </c>
      <c r="C29" s="305">
        <f>100-VLOOKUP(B29,'[1]Pricing '!$A$1619:$K$1646,11,FALSE)-0.375</f>
        <v>3.5900000000000034</v>
      </c>
      <c r="D29" s="181"/>
      <c r="E29" s="810"/>
      <c r="F29" s="811" t="s">
        <v>250</v>
      </c>
      <c r="G29" s="812"/>
      <c r="H29" s="223"/>
      <c r="I29" s="810"/>
      <c r="J29" s="811" t="s">
        <v>251</v>
      </c>
      <c r="K29" s="812"/>
      <c r="L29" s="608"/>
      <c r="M29" s="104">
        <f t="shared" si="0"/>
        <v>6.25</v>
      </c>
      <c r="N29" s="305">
        <f>100-VLOOKUP(M29,'[1]Pricing '!$A$3000:$K$3028,11,FALSE)-0.375</f>
        <v>2.7150000000000034</v>
      </c>
      <c r="O29" s="1598" t="s">
        <v>494</v>
      </c>
      <c r="P29" s="1598"/>
      <c r="Q29" s="1598"/>
      <c r="R29" s="1599"/>
    </row>
    <row r="30" spans="2:18" ht="27.75" customHeight="1" thickTop="1" thickBot="1" x14ac:dyDescent="0.3">
      <c r="B30" s="104">
        <f t="shared" si="1"/>
        <v>6.375</v>
      </c>
      <c r="C30" s="305">
        <f>100-VLOOKUP(B30,'[1]Pricing '!$A$1619:$K$1646,11,FALSE)-0.375</f>
        <v>3.0900000000000034</v>
      </c>
      <c r="D30" s="181"/>
      <c r="E30" s="1747" t="s">
        <v>154</v>
      </c>
      <c r="F30" s="1748"/>
      <c r="G30" s="1749"/>
      <c r="H30" s="211"/>
      <c r="I30" s="1747" t="s">
        <v>521</v>
      </c>
      <c r="J30" s="1748"/>
      <c r="K30" s="1749"/>
      <c r="L30" s="27"/>
      <c r="M30" s="104">
        <f t="shared" si="0"/>
        <v>6.375</v>
      </c>
      <c r="N30" s="305">
        <f>100-VLOOKUP(M30,'[1]Pricing '!$A$3000:$K$3028,11,FALSE)-0.375</f>
        <v>2.2150000000000034</v>
      </c>
      <c r="O30" s="1598" t="s">
        <v>418</v>
      </c>
      <c r="P30" s="1598"/>
      <c r="Q30" s="1598"/>
      <c r="R30" s="1599"/>
    </row>
    <row r="31" spans="2:18" ht="21.75" customHeight="1" thickBot="1" x14ac:dyDescent="0.3">
      <c r="B31" s="104">
        <f t="shared" si="1"/>
        <v>6.5</v>
      </c>
      <c r="C31" s="305">
        <f>100-VLOOKUP(B31,'[1]Pricing '!$A$1619:$K$1646,11,FALSE)-0.375</f>
        <v>2.5900000000000034</v>
      </c>
      <c r="D31" s="181"/>
      <c r="E31" s="1750" t="s">
        <v>489</v>
      </c>
      <c r="F31" s="1751"/>
      <c r="G31" s="1752"/>
      <c r="H31" s="223"/>
      <c r="I31" s="1750" t="s">
        <v>522</v>
      </c>
      <c r="J31" s="1751"/>
      <c r="K31" s="1752"/>
      <c r="M31" s="104">
        <f t="shared" si="0"/>
        <v>6.5</v>
      </c>
      <c r="N31" s="305">
        <f>100-VLOOKUP(M31,'[1]Pricing '!$A$3000:$K$3028,11,FALSE)-0.375</f>
        <v>1.7150000000000034</v>
      </c>
      <c r="O31" s="1598" t="s">
        <v>419</v>
      </c>
      <c r="P31" s="1598"/>
      <c r="Q31" s="1598"/>
      <c r="R31" s="1599"/>
    </row>
    <row r="32" spans="2:18" ht="21.75" customHeight="1" x14ac:dyDescent="0.25">
      <c r="B32" s="104">
        <f t="shared" si="1"/>
        <v>6.625</v>
      </c>
      <c r="C32" s="305">
        <f>100-VLOOKUP(B32,'[1]Pricing '!$A$1619:$K$1646,11,FALSE)-0.375</f>
        <v>2.2150000000000034</v>
      </c>
      <c r="D32" s="181"/>
      <c r="E32" s="1756" t="s">
        <v>473</v>
      </c>
      <c r="F32" s="1757"/>
      <c r="G32" s="1758"/>
      <c r="H32" s="223"/>
      <c r="I32" s="1756" t="s">
        <v>506</v>
      </c>
      <c r="J32" s="1757"/>
      <c r="K32" s="1758"/>
      <c r="M32" s="104">
        <f t="shared" si="0"/>
        <v>6.625</v>
      </c>
      <c r="N32" s="305">
        <f>100-VLOOKUP(M32,'[1]Pricing '!$A$3000:$K$3028,11,FALSE)-0.375</f>
        <v>1.3400000000000034</v>
      </c>
      <c r="O32" s="1598" t="s">
        <v>420</v>
      </c>
      <c r="P32" s="1598"/>
      <c r="Q32" s="1598"/>
      <c r="R32" s="1599"/>
    </row>
    <row r="33" spans="1:35" ht="29.25" customHeight="1" x14ac:dyDescent="0.25">
      <c r="B33" s="104">
        <f t="shared" si="1"/>
        <v>6.75</v>
      </c>
      <c r="C33" s="305">
        <f>100-VLOOKUP(B33,'[1]Pricing '!$A$1619:$K$1646,11,FALSE)-0.375</f>
        <v>1.8400000000000034</v>
      </c>
      <c r="D33" s="181"/>
      <c r="E33" s="1736" t="s">
        <v>481</v>
      </c>
      <c r="F33" s="1737"/>
      <c r="G33" s="1738"/>
      <c r="H33" s="223"/>
      <c r="I33" s="1741" t="s">
        <v>527</v>
      </c>
      <c r="J33" s="1742"/>
      <c r="K33" s="1743"/>
      <c r="L33" s="521"/>
      <c r="M33" s="104">
        <f t="shared" si="0"/>
        <v>6.75</v>
      </c>
      <c r="N33" s="305">
        <f>100-VLOOKUP(M33,'[1]Pricing '!$A$3000:$K$3028,11,FALSE)-0.375</f>
        <v>0.96500000000000341</v>
      </c>
      <c r="O33" s="1598" t="s">
        <v>316</v>
      </c>
      <c r="P33" s="1598"/>
      <c r="Q33" s="1598"/>
      <c r="R33" s="1599"/>
      <c r="W33" s="518"/>
      <c r="X33" s="518"/>
    </row>
    <row r="34" spans="1:35" ht="21.75" customHeight="1" x14ac:dyDescent="0.25">
      <c r="B34" s="104">
        <f t="shared" si="1"/>
        <v>6.875</v>
      </c>
      <c r="C34" s="305">
        <f>100-VLOOKUP(B34,'[1]Pricing '!$A$1619:$K$1646,11,FALSE)-0.375</f>
        <v>1.4650000000000034</v>
      </c>
      <c r="D34" s="181"/>
      <c r="E34" s="1736" t="s">
        <v>482</v>
      </c>
      <c r="F34" s="1737"/>
      <c r="G34" s="1738"/>
      <c r="H34" s="223"/>
      <c r="I34" s="1736" t="s">
        <v>528</v>
      </c>
      <c r="J34" s="1737"/>
      <c r="K34" s="1738"/>
      <c r="L34" s="832"/>
      <c r="M34" s="104">
        <f t="shared" si="0"/>
        <v>6.875</v>
      </c>
      <c r="N34" s="305">
        <f>100-VLOOKUP(M34,'[1]Pricing '!$A$3000:$K$3028,11,FALSE)-0.375</f>
        <v>0.59000000000000341</v>
      </c>
      <c r="O34" s="1598" t="s">
        <v>317</v>
      </c>
      <c r="P34" s="1598"/>
      <c r="Q34" s="1598"/>
      <c r="R34" s="1599"/>
    </row>
    <row r="35" spans="1:35" ht="21.75" customHeight="1" x14ac:dyDescent="0.25">
      <c r="B35" s="104">
        <f t="shared" si="1"/>
        <v>7</v>
      </c>
      <c r="C35" s="305">
        <f>100-VLOOKUP(B35,'[1]Pricing '!$A$1619:$K$1646,11,FALSE)-0.375</f>
        <v>1.0900000000000034</v>
      </c>
      <c r="D35" s="181"/>
      <c r="E35" s="1736" t="s">
        <v>483</v>
      </c>
      <c r="F35" s="1737"/>
      <c r="G35" s="1738"/>
      <c r="H35" s="223"/>
      <c r="I35" s="813"/>
      <c r="J35" s="837"/>
      <c r="K35" s="814"/>
      <c r="L35" s="832"/>
      <c r="M35" s="104">
        <f t="shared" si="0"/>
        <v>7</v>
      </c>
      <c r="N35" s="305">
        <f>100-VLOOKUP(M35,'[1]Pricing '!$A$3000:$K$3028,11,FALSE)-0.375</f>
        <v>0.24000000000000909</v>
      </c>
      <c r="O35" s="1598" t="s">
        <v>318</v>
      </c>
      <c r="P35" s="1598"/>
      <c r="Q35" s="1598"/>
      <c r="R35" s="1599"/>
    </row>
    <row r="36" spans="1:35" ht="21.75" customHeight="1" x14ac:dyDescent="0.25">
      <c r="B36" s="104">
        <f t="shared" si="1"/>
        <v>7.125</v>
      </c>
      <c r="C36" s="305">
        <f>100-VLOOKUP(B36,'[1]Pricing '!$A$1619:$K$1646,11,FALSE)-0.375</f>
        <v>0.71500000000000341</v>
      </c>
      <c r="D36" s="838"/>
      <c r="E36" s="1736" t="s">
        <v>480</v>
      </c>
      <c r="F36" s="1737"/>
      <c r="G36" s="1738"/>
      <c r="H36" s="223"/>
      <c r="I36" s="1741" t="s">
        <v>480</v>
      </c>
      <c r="J36" s="1742"/>
      <c r="K36" s="1743"/>
      <c r="L36" s="607"/>
      <c r="M36" s="104">
        <f t="shared" si="0"/>
        <v>7.125</v>
      </c>
      <c r="N36" s="305">
        <f>100-VLOOKUP(M36,'[1]Pricing '!$A$3000:$K$3028,11,FALSE)-0.375</f>
        <v>-8.4999999999993747E-2</v>
      </c>
      <c r="O36" s="1598" t="s">
        <v>319</v>
      </c>
      <c r="P36" s="1598"/>
      <c r="Q36" s="1598"/>
      <c r="R36" s="1599"/>
    </row>
    <row r="37" spans="1:35" ht="21.75" customHeight="1" thickBot="1" x14ac:dyDescent="0.3">
      <c r="B37" s="104">
        <f t="shared" si="1"/>
        <v>7.25</v>
      </c>
      <c r="C37" s="305">
        <f>100-VLOOKUP(B37,'[1]Pricing '!$A$1619:$K$1646,11,FALSE)-0.375</f>
        <v>0.34000000000000341</v>
      </c>
      <c r="D37" s="838"/>
      <c r="E37" s="1759" t="s">
        <v>479</v>
      </c>
      <c r="F37" s="1760"/>
      <c r="G37" s="1761"/>
      <c r="H37" s="223"/>
      <c r="I37" s="1759" t="s">
        <v>479</v>
      </c>
      <c r="J37" s="1760"/>
      <c r="K37" s="1761"/>
      <c r="L37" s="834"/>
      <c r="M37" s="104">
        <f t="shared" si="0"/>
        <v>7.25</v>
      </c>
      <c r="N37" s="305">
        <f>100-VLOOKUP(M37,'[1]Pricing '!$A$3000:$K$3028,11,FALSE)-0.375</f>
        <v>-0.38499999999999091</v>
      </c>
      <c r="O37" s="1598" t="s">
        <v>179</v>
      </c>
      <c r="P37" s="1598"/>
      <c r="Q37" s="1598"/>
      <c r="R37" s="1599"/>
    </row>
    <row r="38" spans="1:35" ht="21.75" customHeight="1" thickTop="1" thickBot="1" x14ac:dyDescent="0.25">
      <c r="B38" s="104">
        <f t="shared" si="1"/>
        <v>7.375</v>
      </c>
      <c r="C38" s="305">
        <f>100-VLOOKUP(B38,'[1]Pricing '!$A$1619:$K$1646,11,FALSE)-0.375</f>
        <v>-7.2222222222251276E-3</v>
      </c>
      <c r="E38" s="1753" t="s">
        <v>250</v>
      </c>
      <c r="F38" s="1754"/>
      <c r="G38" s="1755"/>
      <c r="H38" s="223"/>
      <c r="L38" s="836"/>
      <c r="M38" s="104">
        <f t="shared" si="0"/>
        <v>7.375</v>
      </c>
      <c r="N38" s="305">
        <f>100-VLOOKUP(M38,'[1]Pricing '!$A$3000:$K$3028,11,FALSE)-0.375</f>
        <v>-0.65999999999999659</v>
      </c>
      <c r="O38" s="833"/>
      <c r="P38" s="833"/>
      <c r="Q38" s="833"/>
      <c r="R38" s="524"/>
    </row>
    <row r="39" spans="1:35" ht="21.75" customHeight="1" thickTop="1" thickBot="1" x14ac:dyDescent="0.25">
      <c r="B39" s="104">
        <f t="shared" si="1"/>
        <v>7.5</v>
      </c>
      <c r="C39" s="305">
        <f>100-VLOOKUP(B39,'[1]Pricing '!$A$1619:$K$1646,11,FALSE)-0.375</f>
        <v>-0.32666666666666799</v>
      </c>
      <c r="E39" s="1747" t="s">
        <v>262</v>
      </c>
      <c r="F39" s="1748"/>
      <c r="G39" s="1749"/>
      <c r="H39" s="518"/>
      <c r="I39" s="186"/>
      <c r="J39" s="186"/>
      <c r="K39" s="186"/>
      <c r="M39" s="104">
        <f t="shared" si="0"/>
        <v>7.5</v>
      </c>
      <c r="N39" s="305">
        <f>100-VLOOKUP(M39,'[1]Pricing '!$A$3000:$K$3028,11,FALSE)-0.375</f>
        <v>-0.90999999999999659</v>
      </c>
      <c r="O39" s="1721" t="s">
        <v>259</v>
      </c>
      <c r="P39" s="1721"/>
      <c r="Q39" s="1721"/>
      <c r="R39" s="1722"/>
    </row>
    <row r="40" spans="1:35" ht="27" customHeight="1" thickBot="1" x14ac:dyDescent="0.3">
      <c r="B40" s="104">
        <f t="shared" si="1"/>
        <v>7.625</v>
      </c>
      <c r="C40" s="305">
        <f>100-VLOOKUP(B40,'[1]Pricing '!$A$1619:$K$1646,11,FALSE)-0.375</f>
        <v>-0.61833333333332519</v>
      </c>
      <c r="D40" s="838"/>
      <c r="E40" s="1750" t="s">
        <v>490</v>
      </c>
      <c r="F40" s="1751"/>
      <c r="G40" s="1752"/>
      <c r="H40" s="223"/>
      <c r="I40" s="186"/>
      <c r="J40" s="27"/>
      <c r="K40" s="27"/>
      <c r="L40" s="836"/>
      <c r="M40" s="104">
        <f t="shared" ref="M40:M44" si="2">M39+0.125</f>
        <v>7.625</v>
      </c>
      <c r="N40" s="305">
        <f>100-VLOOKUP(M40,'[1]Pricing '!$A$3000:$K$3028,11,FALSE)-0.375</f>
        <v>-1.1349999999999909</v>
      </c>
      <c r="O40" s="1723"/>
      <c r="P40" s="1723"/>
      <c r="Q40" s="1723"/>
      <c r="R40" s="1724"/>
    </row>
    <row r="41" spans="1:35" ht="21.75" customHeight="1" x14ac:dyDescent="0.2">
      <c r="B41" s="104">
        <f t="shared" si="1"/>
        <v>7.75</v>
      </c>
      <c r="C41" s="305">
        <f>100-VLOOKUP(B41,'[1]Pricing '!$A$1619:$K$1646,11,FALSE)-0.375</f>
        <v>-0.88222222222222513</v>
      </c>
      <c r="D41" s="838"/>
      <c r="E41" s="1756" t="s">
        <v>473</v>
      </c>
      <c r="F41" s="1757"/>
      <c r="G41" s="1758"/>
      <c r="H41" s="223"/>
      <c r="L41" s="836"/>
      <c r="M41" s="104">
        <f t="shared" si="2"/>
        <v>7.75</v>
      </c>
      <c r="N41" s="305">
        <f>100-VLOOKUP(M41,'[1]Pricing '!$A$3000:$K$3028,11,FALSE)-0.375</f>
        <v>-1.3349999999999937</v>
      </c>
      <c r="O41" s="1725" t="s">
        <v>260</v>
      </c>
      <c r="P41" s="1725"/>
      <c r="Q41" s="1725"/>
      <c r="R41" s="1726"/>
      <c r="Z41" s="183"/>
      <c r="AA41" s="183"/>
      <c r="AE41" s="183"/>
      <c r="AG41" s="183"/>
      <c r="AH41" s="183"/>
      <c r="AI41" s="183"/>
    </row>
    <row r="42" spans="1:35" ht="21.75" customHeight="1" thickBot="1" x14ac:dyDescent="0.25">
      <c r="B42" s="104">
        <f t="shared" si="1"/>
        <v>7.875</v>
      </c>
      <c r="C42" s="305">
        <f>100-VLOOKUP(B42,'[1]Pricing '!$A$1619:$K$1646,11,FALSE)-0.375</f>
        <v>-1.1183333333333252</v>
      </c>
      <c r="D42" s="520"/>
      <c r="E42" s="1736" t="s">
        <v>484</v>
      </c>
      <c r="F42" s="1737"/>
      <c r="G42" s="1738"/>
      <c r="H42" s="223"/>
      <c r="L42" s="608"/>
      <c r="M42" s="104">
        <f t="shared" si="2"/>
        <v>7.875</v>
      </c>
      <c r="N42" s="305">
        <f>100-VLOOKUP(M42,'[1]Pricing '!$A$3000:$K$3028,11,FALSE)-0.375</f>
        <v>-1.5099999999999909</v>
      </c>
      <c r="O42" s="840"/>
      <c r="P42" s="839"/>
      <c r="Q42" s="839"/>
      <c r="R42" s="593"/>
      <c r="Z42" s="183"/>
      <c r="AA42" s="183"/>
      <c r="AE42" s="183"/>
      <c r="AG42" s="183"/>
      <c r="AH42" s="183"/>
      <c r="AI42" s="183"/>
    </row>
    <row r="43" spans="1:35" ht="21.75" customHeight="1" thickTop="1" x14ac:dyDescent="0.2">
      <c r="B43" s="104">
        <f t="shared" si="1"/>
        <v>8</v>
      </c>
      <c r="C43" s="305">
        <f>100-VLOOKUP(B43,'[1]Pricing '!$A$1619:$K$1646,11,FALSE)-0.375</f>
        <v>-1.3266666666669948</v>
      </c>
      <c r="D43" s="520"/>
      <c r="E43" s="1736" t="s">
        <v>485</v>
      </c>
      <c r="F43" s="1737"/>
      <c r="G43" s="1738"/>
      <c r="H43" s="1836" t="s">
        <v>659</v>
      </c>
      <c r="I43" s="1837"/>
      <c r="J43" s="1837"/>
      <c r="K43" s="1837"/>
      <c r="L43" s="1837"/>
      <c r="M43" s="104">
        <f t="shared" si="2"/>
        <v>8</v>
      </c>
      <c r="N43" s="305">
        <f>100-VLOOKUP(M43,'[1]Pricing '!$A$3000:$K$3028,11,FALSE)-0.375</f>
        <v>-1.6599999999999966</v>
      </c>
      <c r="O43" s="1725" t="s">
        <v>261</v>
      </c>
      <c r="P43" s="1725"/>
      <c r="Q43" s="1725"/>
      <c r="R43" s="1726"/>
      <c r="Z43" s="183"/>
      <c r="AA43" s="183"/>
      <c r="AE43" s="183"/>
      <c r="AG43" s="183"/>
      <c r="AH43" s="183"/>
      <c r="AI43" s="183"/>
    </row>
    <row r="44" spans="1:35" ht="21.75" customHeight="1" x14ac:dyDescent="0.2">
      <c r="B44" s="104">
        <f t="shared" si="1"/>
        <v>8.125</v>
      </c>
      <c r="C44" s="305">
        <f>100-VLOOKUP(B44,'[1]Pricing '!$A$1619:$K$1646,11,FALSE)-0.375</f>
        <v>-1.5072222222222251</v>
      </c>
      <c r="D44" s="841"/>
      <c r="E44" s="1736" t="s">
        <v>486</v>
      </c>
      <c r="F44" s="1737"/>
      <c r="G44" s="1738"/>
      <c r="H44" s="1838" t="s">
        <v>471</v>
      </c>
      <c r="I44" s="1839"/>
      <c r="J44" s="1838" t="s">
        <v>576</v>
      </c>
      <c r="K44" s="1454"/>
      <c r="L44" s="1454"/>
      <c r="M44" s="104">
        <f t="shared" si="2"/>
        <v>8.125</v>
      </c>
      <c r="N44" s="305">
        <f>100-VLOOKUP(M44,'[1]Pricing '!$A$3000:$K$3028,11,FALSE)-0.375</f>
        <v>-1.7849999999999966</v>
      </c>
      <c r="O44" s="1725" t="s">
        <v>320</v>
      </c>
      <c r="P44" s="1725"/>
      <c r="Q44" s="1725"/>
      <c r="R44" s="1726"/>
      <c r="Z44" s="183"/>
      <c r="AA44" s="183"/>
      <c r="AE44" s="183"/>
      <c r="AG44" s="183"/>
      <c r="AH44" s="183"/>
      <c r="AI44" s="183"/>
    </row>
    <row r="45" spans="1:35" ht="33" customHeight="1" x14ac:dyDescent="0.25">
      <c r="B45" s="104">
        <f t="shared" si="1"/>
        <v>8.25</v>
      </c>
      <c r="C45" s="305">
        <f>100-VLOOKUP(B45,'[1]Pricing '!$A$1619:$K$1646,11,FALSE)-0.375</f>
        <v>-1.6599999999999966</v>
      </c>
      <c r="D45" s="841"/>
      <c r="E45" s="1736" t="s">
        <v>487</v>
      </c>
      <c r="F45" s="1737"/>
      <c r="G45" s="1738"/>
      <c r="H45" s="1838" t="s">
        <v>470</v>
      </c>
      <c r="I45" s="1839"/>
      <c r="J45" s="1840">
        <v>-0.25</v>
      </c>
      <c r="K45" s="1841"/>
      <c r="L45" s="1841"/>
      <c r="M45" s="104"/>
      <c r="N45" s="305"/>
      <c r="O45" s="1739" t="s">
        <v>321</v>
      </c>
      <c r="P45" s="1739"/>
      <c r="Q45" s="1739"/>
      <c r="R45" s="1740"/>
      <c r="Z45" s="183"/>
      <c r="AA45" s="183"/>
      <c r="AE45" s="183"/>
      <c r="AG45" s="183"/>
      <c r="AH45" s="183"/>
      <c r="AI45" s="183"/>
    </row>
    <row r="46" spans="1:35" ht="21.75" customHeight="1" thickBot="1" x14ac:dyDescent="0.3">
      <c r="B46" s="104">
        <f t="shared" si="1"/>
        <v>8.375</v>
      </c>
      <c r="C46" s="305">
        <f>100-VLOOKUP(B46,'[1]Pricing '!$A$1619:$K$1646,11,FALSE)-0.375</f>
        <v>-1.7849999999999966</v>
      </c>
      <c r="D46" s="841"/>
      <c r="E46" s="1736" t="s">
        <v>480</v>
      </c>
      <c r="F46" s="1737"/>
      <c r="G46" s="1738"/>
      <c r="H46" s="1838" t="s">
        <v>469</v>
      </c>
      <c r="I46" s="1839"/>
      <c r="J46" s="1762">
        <v>-0.5</v>
      </c>
      <c r="K46" s="1763"/>
      <c r="L46" s="1763"/>
      <c r="M46" s="388"/>
      <c r="N46" s="346"/>
      <c r="O46" s="839"/>
      <c r="P46" s="839"/>
      <c r="Q46" s="839"/>
      <c r="R46" s="593"/>
      <c r="Z46" s="183"/>
      <c r="AA46" s="183"/>
      <c r="AE46" s="183"/>
      <c r="AG46" s="183"/>
      <c r="AH46" s="183"/>
      <c r="AI46" s="183"/>
    </row>
    <row r="47" spans="1:35" ht="18.75" customHeight="1" thickBot="1" x14ac:dyDescent="0.3">
      <c r="B47" s="388"/>
      <c r="C47" s="346"/>
      <c r="D47" s="841"/>
      <c r="E47" s="1759" t="s">
        <v>479</v>
      </c>
      <c r="F47" s="1760"/>
      <c r="G47" s="1761"/>
      <c r="H47" s="1838"/>
      <c r="I47" s="1839"/>
      <c r="J47" s="1842"/>
      <c r="K47" s="1315"/>
      <c r="L47" s="1843"/>
      <c r="O47" s="1729" t="s">
        <v>323</v>
      </c>
      <c r="P47" s="1725"/>
      <c r="Q47" s="1725"/>
      <c r="R47" s="1726"/>
      <c r="Z47" s="183"/>
      <c r="AA47" s="183"/>
      <c r="AE47" s="183"/>
      <c r="AG47" s="183"/>
      <c r="AH47" s="183"/>
      <c r="AI47" s="183"/>
    </row>
    <row r="48" spans="1:35" ht="24" customHeight="1" thickTop="1" thickBot="1" x14ac:dyDescent="0.3">
      <c r="A48" s="38"/>
      <c r="B48" s="994"/>
      <c r="H48" s="816"/>
      <c r="I48" s="817"/>
      <c r="J48" s="818" t="s">
        <v>59</v>
      </c>
      <c r="K48" s="888" t="s">
        <v>41</v>
      </c>
      <c r="L48" s="889"/>
      <c r="O48" s="1852" t="s">
        <v>322</v>
      </c>
      <c r="P48" s="1739"/>
      <c r="Q48" s="1739"/>
      <c r="R48" s="1740"/>
      <c r="Z48" s="183"/>
      <c r="AA48" s="183"/>
      <c r="AE48" s="183"/>
      <c r="AG48" s="183"/>
      <c r="AH48" s="183"/>
      <c r="AI48" s="183"/>
    </row>
    <row r="49" spans="1:35" ht="18" customHeight="1" thickTop="1" x14ac:dyDescent="0.25">
      <c r="A49" s="38"/>
      <c r="B49" s="1872" t="s">
        <v>29</v>
      </c>
      <c r="C49" s="1873"/>
      <c r="D49" s="1873"/>
      <c r="E49" s="1873"/>
      <c r="F49" s="1874"/>
      <c r="H49" s="1864" t="s">
        <v>649</v>
      </c>
      <c r="I49" s="1865"/>
      <c r="J49" s="819" t="s">
        <v>647</v>
      </c>
      <c r="K49" s="1727">
        <v>-0.5</v>
      </c>
      <c r="L49" s="1728"/>
      <c r="N49" s="38"/>
      <c r="O49" s="525"/>
      <c r="P49" s="525"/>
      <c r="Q49" s="525"/>
      <c r="R49" s="516"/>
      <c r="Z49" s="183"/>
      <c r="AA49" s="183"/>
      <c r="AE49" s="183"/>
      <c r="AG49" s="183"/>
      <c r="AH49" s="183"/>
      <c r="AI49" s="183"/>
    </row>
    <row r="50" spans="1:35" ht="18" customHeight="1" thickBot="1" x14ac:dyDescent="0.3">
      <c r="A50" s="38"/>
      <c r="B50" s="1859" t="s">
        <v>31</v>
      </c>
      <c r="C50" s="1860"/>
      <c r="D50" s="1875">
        <v>0.04</v>
      </c>
      <c r="E50" s="1876"/>
      <c r="F50" s="1877"/>
      <c r="G50" s="186"/>
      <c r="H50" s="1866"/>
      <c r="I50" s="1867"/>
      <c r="J50" s="842" t="s">
        <v>164</v>
      </c>
      <c r="K50" s="1844">
        <v>-1.75</v>
      </c>
      <c r="L50" s="1845"/>
      <c r="O50" s="515"/>
      <c r="P50" s="525"/>
      <c r="Q50" s="525"/>
      <c r="R50" s="516"/>
      <c r="Z50" s="183"/>
      <c r="AA50" s="183"/>
      <c r="AE50" s="183"/>
      <c r="AG50" s="183"/>
      <c r="AH50" s="183"/>
      <c r="AI50" s="183"/>
    </row>
    <row r="51" spans="1:35" ht="19.5" thickTop="1" thickBot="1" x14ac:dyDescent="0.3">
      <c r="A51" s="38"/>
      <c r="B51" s="1861"/>
      <c r="C51" s="1862"/>
      <c r="D51" s="1878"/>
      <c r="E51" s="1879"/>
      <c r="F51" s="1880"/>
      <c r="G51" s="186"/>
      <c r="H51" s="1866"/>
      <c r="I51" s="1867"/>
      <c r="J51" s="842" t="s">
        <v>648</v>
      </c>
      <c r="K51" s="1844">
        <v>-2.25</v>
      </c>
      <c r="L51" s="1845"/>
      <c r="O51" s="1846" t="s">
        <v>263</v>
      </c>
      <c r="P51" s="1847"/>
      <c r="Q51" s="1847"/>
      <c r="R51" s="1848"/>
      <c r="Z51" s="183"/>
      <c r="AA51" s="183"/>
      <c r="AE51" s="183"/>
      <c r="AG51" s="183"/>
      <c r="AH51" s="183"/>
      <c r="AI51" s="183"/>
    </row>
    <row r="52" spans="1:35" ht="18.75" thickBot="1" x14ac:dyDescent="0.3">
      <c r="A52" s="38"/>
      <c r="B52" s="1853" t="s">
        <v>254</v>
      </c>
      <c r="C52" s="1863"/>
      <c r="D52" s="1885">
        <v>4.3443099999999998E-2</v>
      </c>
      <c r="E52" s="1886"/>
      <c r="F52" s="1887"/>
      <c r="H52" s="1866"/>
      <c r="I52" s="1867"/>
      <c r="J52" s="842" t="s">
        <v>367</v>
      </c>
      <c r="K52" s="1844">
        <v>-2.5</v>
      </c>
      <c r="L52" s="1845"/>
      <c r="O52" s="1849"/>
      <c r="P52" s="1850"/>
      <c r="Q52" s="1850"/>
      <c r="R52" s="1851"/>
      <c r="Z52" s="183"/>
      <c r="AA52" s="183"/>
      <c r="AE52" s="183"/>
      <c r="AG52" s="183"/>
      <c r="AH52" s="183"/>
      <c r="AI52" s="183"/>
    </row>
    <row r="53" spans="1:35" ht="19.5" thickTop="1" thickBot="1" x14ac:dyDescent="0.3">
      <c r="A53" s="38"/>
      <c r="B53" s="1861"/>
      <c r="C53" s="1862"/>
      <c r="D53" s="1888"/>
      <c r="E53" s="1889"/>
      <c r="F53" s="1890"/>
      <c r="H53" s="1866"/>
      <c r="I53" s="1867"/>
      <c r="J53" s="842" t="s">
        <v>461</v>
      </c>
      <c r="K53" s="1844">
        <v>-2.75</v>
      </c>
      <c r="L53" s="1845"/>
      <c r="O53" s="1828" t="s">
        <v>499</v>
      </c>
      <c r="P53" s="1829"/>
      <c r="Q53" s="1829"/>
      <c r="R53" s="1830"/>
      <c r="Z53" s="183"/>
      <c r="AA53" s="183"/>
      <c r="AE53" s="183"/>
      <c r="AG53" s="183"/>
      <c r="AH53" s="183"/>
      <c r="AI53" s="183"/>
    </row>
    <row r="54" spans="1:35" ht="18.75" thickBot="1" x14ac:dyDescent="0.3">
      <c r="A54" s="38"/>
      <c r="B54" s="1853" t="s">
        <v>332</v>
      </c>
      <c r="C54" s="1863"/>
      <c r="D54" s="1891" t="s">
        <v>458</v>
      </c>
      <c r="E54" s="1892"/>
      <c r="F54" s="1893"/>
      <c r="H54" s="1868"/>
      <c r="I54" s="1869"/>
      <c r="J54" s="820" t="s">
        <v>460</v>
      </c>
      <c r="K54" s="1832">
        <v>-2.75</v>
      </c>
      <c r="L54" s="1833"/>
      <c r="O54" s="474"/>
      <c r="P54" s="843"/>
      <c r="Q54" s="843"/>
      <c r="R54" s="221"/>
      <c r="Z54" s="183"/>
      <c r="AA54" s="183"/>
      <c r="AE54" s="183"/>
      <c r="AG54" s="183"/>
      <c r="AH54" s="183"/>
      <c r="AI54" s="183"/>
    </row>
    <row r="55" spans="1:35" ht="18.75" customHeight="1" thickBot="1" x14ac:dyDescent="0.3">
      <c r="A55" s="38"/>
      <c r="B55" s="1861"/>
      <c r="C55" s="1862"/>
      <c r="D55" s="1894"/>
      <c r="E55" s="1895"/>
      <c r="F55" s="1896"/>
      <c r="H55" s="1881" t="s">
        <v>650</v>
      </c>
      <c r="I55" s="1882"/>
      <c r="J55" s="1870"/>
      <c r="K55" s="1834">
        <v>-2.25</v>
      </c>
      <c r="L55" s="1835"/>
      <c r="N55" s="815"/>
      <c r="O55" s="1828" t="s">
        <v>500</v>
      </c>
      <c r="P55" s="1829"/>
      <c r="Q55" s="1829"/>
      <c r="R55" s="1830"/>
      <c r="Z55" s="183"/>
      <c r="AA55" s="183"/>
      <c r="AE55" s="183"/>
      <c r="AG55" s="183"/>
      <c r="AH55" s="183"/>
      <c r="AI55" s="183"/>
    </row>
    <row r="56" spans="1:35" ht="18.75" thickBot="1" x14ac:dyDescent="0.25">
      <c r="A56" s="38"/>
      <c r="B56" s="1853" t="s">
        <v>531</v>
      </c>
      <c r="C56" s="1854"/>
      <c r="D56" s="1854"/>
      <c r="E56" s="1854"/>
      <c r="F56" s="1855"/>
      <c r="H56" s="1883"/>
      <c r="I56" s="1884"/>
      <c r="J56" s="1871"/>
      <c r="K56" s="886"/>
      <c r="L56" s="887"/>
      <c r="O56" s="474"/>
      <c r="P56" s="486"/>
      <c r="Q56" s="486"/>
      <c r="R56" s="469"/>
      <c r="Z56" s="183"/>
      <c r="AA56" s="183"/>
      <c r="AE56" s="183"/>
      <c r="AG56" s="183"/>
      <c r="AH56" s="183"/>
      <c r="AI56" s="183"/>
    </row>
    <row r="57" spans="1:35" ht="12.75" customHeight="1" thickTop="1" thickBot="1" x14ac:dyDescent="0.25">
      <c r="A57" s="38"/>
      <c r="B57" s="1856"/>
      <c r="C57" s="1857"/>
      <c r="D57" s="1857"/>
      <c r="E57" s="1857"/>
      <c r="F57" s="1858"/>
      <c r="H57" s="223"/>
      <c r="I57" s="838"/>
      <c r="J57" s="519"/>
      <c r="O57" s="1828" t="s">
        <v>501</v>
      </c>
      <c r="P57" s="1829"/>
      <c r="Q57" s="1829"/>
      <c r="R57" s="1830"/>
      <c r="Z57" s="183"/>
      <c r="AA57" s="183"/>
      <c r="AE57" s="183"/>
      <c r="AG57" s="183"/>
      <c r="AH57" s="183"/>
      <c r="AI57" s="183"/>
    </row>
    <row r="58" spans="1:35" ht="32.25" customHeight="1" thickTop="1" thickBot="1" x14ac:dyDescent="0.25">
      <c r="A58" s="38"/>
      <c r="B58" s="1816" t="s">
        <v>155</v>
      </c>
      <c r="C58" s="1817"/>
      <c r="D58" s="1817"/>
      <c r="E58" s="1817"/>
      <c r="F58" s="1817"/>
      <c r="G58" s="1817"/>
      <c r="H58" s="1817"/>
      <c r="I58" s="1817"/>
      <c r="J58" s="1817"/>
      <c r="K58" s="1817"/>
      <c r="L58" s="1817"/>
      <c r="M58" s="1817"/>
      <c r="N58" s="1817"/>
      <c r="O58" s="1828" t="s">
        <v>502</v>
      </c>
      <c r="P58" s="1829"/>
      <c r="Q58" s="1829"/>
      <c r="R58" s="1830"/>
      <c r="AA58" s="186"/>
      <c r="AE58" s="186"/>
      <c r="AG58" s="186"/>
      <c r="AH58" s="186"/>
      <c r="AI58" s="186"/>
    </row>
    <row r="59" spans="1:35" ht="12" customHeight="1" thickTop="1" thickBot="1" x14ac:dyDescent="0.25">
      <c r="A59" s="38"/>
      <c r="B59" s="1814"/>
      <c r="C59" s="1815"/>
      <c r="D59" s="1815"/>
      <c r="E59" s="1818"/>
      <c r="F59" s="1818"/>
      <c r="G59" s="1818"/>
      <c r="H59" s="1818"/>
      <c r="I59" s="1818"/>
      <c r="J59" s="1818"/>
      <c r="K59" s="1818"/>
      <c r="L59" s="1818"/>
      <c r="M59" s="1818"/>
      <c r="N59" s="1818"/>
      <c r="O59" s="474"/>
      <c r="P59" s="486"/>
      <c r="Q59" s="486"/>
      <c r="R59" s="469"/>
      <c r="Z59" s="163"/>
      <c r="AA59" s="163"/>
      <c r="AE59" s="163"/>
      <c r="AG59" s="163"/>
      <c r="AH59" s="163"/>
      <c r="AI59" s="163"/>
    </row>
    <row r="60" spans="1:35" ht="27.75" customHeight="1" thickBot="1" x14ac:dyDescent="0.3">
      <c r="A60" s="38"/>
      <c r="B60" s="1339" t="s">
        <v>156</v>
      </c>
      <c r="C60" s="1340"/>
      <c r="D60" s="1340"/>
      <c r="E60" s="1340"/>
      <c r="F60" s="1340"/>
      <c r="G60" s="1340"/>
      <c r="H60" s="1340"/>
      <c r="I60" s="1340"/>
      <c r="J60" s="1340"/>
      <c r="K60" s="1341"/>
      <c r="L60" s="844">
        <v>-2</v>
      </c>
      <c r="M60" s="844">
        <v>-2</v>
      </c>
      <c r="N60" s="844"/>
      <c r="O60" s="1828" t="s">
        <v>264</v>
      </c>
      <c r="P60" s="1829"/>
      <c r="Q60" s="1829"/>
      <c r="R60" s="1830"/>
      <c r="Z60" s="185"/>
      <c r="AA60" s="185"/>
      <c r="AE60" s="185"/>
      <c r="AG60" s="185"/>
      <c r="AH60" s="185"/>
      <c r="AI60" s="185"/>
    </row>
    <row r="61" spans="1:35" ht="24" customHeight="1" thickBot="1" x14ac:dyDescent="0.3">
      <c r="B61" s="395"/>
      <c r="C61" s="394"/>
      <c r="D61" s="394"/>
      <c r="E61" s="780" t="s">
        <v>157</v>
      </c>
      <c r="F61" s="781" t="s">
        <v>158</v>
      </c>
      <c r="G61" s="781" t="s">
        <v>159</v>
      </c>
      <c r="H61" s="781" t="s">
        <v>160</v>
      </c>
      <c r="I61" s="781" t="s">
        <v>101</v>
      </c>
      <c r="J61" s="781" t="s">
        <v>102</v>
      </c>
      <c r="K61" s="782" t="s">
        <v>103</v>
      </c>
      <c r="L61" s="339"/>
      <c r="N61" s="844"/>
      <c r="O61" s="511"/>
      <c r="P61" s="845"/>
      <c r="Q61" s="845"/>
      <c r="R61" s="222"/>
      <c r="Z61" s="18"/>
      <c r="AA61" s="18"/>
      <c r="AE61" s="18"/>
      <c r="AG61" s="18"/>
      <c r="AH61" s="18"/>
      <c r="AI61" s="18"/>
    </row>
    <row r="62" spans="1:35" ht="21" customHeight="1" x14ac:dyDescent="0.25">
      <c r="B62" s="201" t="s">
        <v>72</v>
      </c>
      <c r="E62" s="306">
        <f>AAA_AAI_AAQ_AAO!E62</f>
        <v>-1.375</v>
      </c>
      <c r="F62" s="306">
        <f>AAA_AAI_AAQ_AAO!F62</f>
        <v>-1.25</v>
      </c>
      <c r="G62" s="306">
        <f>AAA_AAI_AAQ_AAO!G62</f>
        <v>-1.125</v>
      </c>
      <c r="H62" s="306">
        <f>AAA_AAI_AAQ_AAO!H62</f>
        <v>-1</v>
      </c>
      <c r="I62" s="306">
        <f>AAA_AAI_AAQ_AAO!I62</f>
        <v>-0.875</v>
      </c>
      <c r="J62" s="306">
        <f>AAA_AAI_AAQ_AAO!J62</f>
        <v>-0.625</v>
      </c>
      <c r="K62" s="548">
        <f>AAA_AAI_AAQ_AAO!K62</f>
        <v>0.25</v>
      </c>
      <c r="L62" s="181"/>
      <c r="O62" s="512" t="s">
        <v>265</v>
      </c>
      <c r="P62" s="843"/>
      <c r="Q62" s="843"/>
      <c r="R62" s="221"/>
      <c r="W62" s="143"/>
      <c r="Y62" s="87"/>
      <c r="Z62" s="87"/>
      <c r="AA62" s="87"/>
      <c r="AE62" s="87"/>
      <c r="AG62" s="87"/>
      <c r="AH62" s="87"/>
      <c r="AI62" s="87"/>
    </row>
    <row r="63" spans="1:35" ht="24" customHeight="1" x14ac:dyDescent="0.25">
      <c r="B63" s="201" t="s">
        <v>53</v>
      </c>
      <c r="C63" s="117"/>
      <c r="D63" s="399"/>
      <c r="E63" s="306">
        <f>AAA_AAI_AAQ_AAO!E63</f>
        <v>-1.25</v>
      </c>
      <c r="F63" s="306">
        <f>AAA_AAI_AAQ_AAO!F63</f>
        <v>-1.125</v>
      </c>
      <c r="G63" s="306">
        <f>AAA_AAI_AAQ_AAO!G63</f>
        <v>-1</v>
      </c>
      <c r="H63" s="306">
        <f>AAA_AAI_AAQ_AAO!H63</f>
        <v>-0.875</v>
      </c>
      <c r="I63" s="306">
        <f>AAA_AAI_AAQ_AAO!I63</f>
        <v>-0.75</v>
      </c>
      <c r="J63" s="306">
        <f>AAA_AAI_AAQ_AAO!J63</f>
        <v>-0.5</v>
      </c>
      <c r="K63" s="548">
        <f>AAA_AAI_AAQ_AAO!K63</f>
        <v>0.375</v>
      </c>
      <c r="L63" s="181"/>
      <c r="O63" s="511"/>
      <c r="P63" s="843"/>
      <c r="Q63" s="843"/>
      <c r="R63" s="221"/>
      <c r="W63" s="184"/>
      <c r="Y63" s="188"/>
      <c r="Z63" s="188"/>
      <c r="AA63" s="188"/>
      <c r="AE63" s="188"/>
      <c r="AG63" s="188"/>
      <c r="AH63" s="188"/>
      <c r="AI63" s="188"/>
    </row>
    <row r="64" spans="1:35" ht="24" customHeight="1" x14ac:dyDescent="0.25">
      <c r="B64" s="201" t="s">
        <v>54</v>
      </c>
      <c r="C64" s="117"/>
      <c r="D64" s="399"/>
      <c r="E64" s="306">
        <f>AAA_AAI_AAQ_AAO!E64</f>
        <v>-1.125</v>
      </c>
      <c r="F64" s="306">
        <f>AAA_AAI_AAQ_AAO!F64</f>
        <v>-1</v>
      </c>
      <c r="G64" s="306">
        <f>AAA_AAI_AAQ_AAO!G64</f>
        <v>-0.875</v>
      </c>
      <c r="H64" s="306">
        <f>AAA_AAI_AAQ_AAO!H64</f>
        <v>-0.75</v>
      </c>
      <c r="I64" s="306">
        <f>AAA_AAI_AAQ_AAO!I64</f>
        <v>-0.625</v>
      </c>
      <c r="J64" s="306">
        <f>AAA_AAI_AAQ_AAO!J64</f>
        <v>-0.375</v>
      </c>
      <c r="K64" s="548">
        <f>AAA_AAI_AAQ_AAO!K64</f>
        <v>1</v>
      </c>
      <c r="L64" s="181"/>
      <c r="O64" s="512" t="s">
        <v>517</v>
      </c>
      <c r="P64" s="843"/>
      <c r="Q64" s="843"/>
      <c r="R64" s="221"/>
      <c r="W64" s="184"/>
      <c r="Y64" s="188"/>
      <c r="Z64" s="188"/>
      <c r="AA64" s="188"/>
      <c r="AE64" s="188"/>
      <c r="AG64" s="188"/>
      <c r="AH64" s="188"/>
      <c r="AI64" s="188"/>
    </row>
    <row r="65" spans="2:35" ht="20.25" customHeight="1" x14ac:dyDescent="0.25">
      <c r="B65" s="201" t="s">
        <v>55</v>
      </c>
      <c r="C65" s="117"/>
      <c r="D65" s="399"/>
      <c r="E65" s="306">
        <f>AAA_AAI_AAQ_AAO!E65</f>
        <v>-0.875</v>
      </c>
      <c r="F65" s="306">
        <f>AAA_AAI_AAQ_AAO!F65</f>
        <v>-0.875</v>
      </c>
      <c r="G65" s="306">
        <f>AAA_AAI_AAQ_AAO!G65</f>
        <v>-0.75</v>
      </c>
      <c r="H65" s="306">
        <f>AAA_AAI_AAQ_AAO!H65</f>
        <v>-0.625</v>
      </c>
      <c r="I65" s="306">
        <f>AAA_AAI_AAQ_AAO!I65</f>
        <v>-0.25</v>
      </c>
      <c r="J65" s="306">
        <f>AAA_AAI_AAQ_AAO!J65</f>
        <v>0.375</v>
      </c>
      <c r="K65" s="548">
        <f>AAA_AAI_AAQ_AAO!K65</f>
        <v>2.25</v>
      </c>
      <c r="L65" s="181"/>
      <c r="O65" s="511" t="s">
        <v>324</v>
      </c>
      <c r="P65" s="845"/>
      <c r="Q65" s="845"/>
      <c r="R65" s="222"/>
      <c r="W65" s="184"/>
      <c r="Y65" s="188"/>
      <c r="Z65" s="188"/>
      <c r="AA65" s="188"/>
      <c r="AE65" s="188"/>
      <c r="AG65" s="188"/>
      <c r="AH65" s="188"/>
      <c r="AI65" s="188"/>
    </row>
    <row r="66" spans="2:35" ht="20.25" customHeight="1" x14ac:dyDescent="0.25">
      <c r="B66" s="201" t="s">
        <v>57</v>
      </c>
      <c r="C66" s="117"/>
      <c r="D66" s="399"/>
      <c r="E66" s="306">
        <f>AAA_AAI_AAQ_AAO!E66</f>
        <v>-0.625</v>
      </c>
      <c r="F66" s="306">
        <f>AAA_AAI_AAQ_AAO!F66</f>
        <v>-0.5</v>
      </c>
      <c r="G66" s="306">
        <f>AAA_AAI_AAQ_AAO!G66</f>
        <v>-0.375</v>
      </c>
      <c r="H66" s="306">
        <f>AAA_AAI_AAQ_AAO!H66</f>
        <v>0</v>
      </c>
      <c r="I66" s="306">
        <f>AAA_AAI_AAQ_AAO!I66</f>
        <v>0.75</v>
      </c>
      <c r="J66" s="306">
        <f>AAA_AAI_AAQ_AAO!J66</f>
        <v>1.5</v>
      </c>
      <c r="K66" s="548">
        <f>AAA_AAI_AAQ_AAO!K66</f>
        <v>3</v>
      </c>
      <c r="L66" s="846"/>
      <c r="O66" s="512"/>
      <c r="P66" s="843"/>
      <c r="Q66" s="843"/>
      <c r="R66" s="221"/>
      <c r="Y66" s="188"/>
      <c r="Z66" s="188"/>
      <c r="AA66" s="188"/>
      <c r="AE66" s="188"/>
      <c r="AF66" s="188"/>
      <c r="AG66" s="188"/>
      <c r="AH66" s="188"/>
      <c r="AI66" s="188"/>
    </row>
    <row r="67" spans="2:35" ht="20.25" customHeight="1" x14ac:dyDescent="0.25">
      <c r="B67" s="201" t="s">
        <v>58</v>
      </c>
      <c r="C67" s="117"/>
      <c r="D67" s="399"/>
      <c r="E67" s="306">
        <f>AAA_AAI_AAQ_AAO!E67</f>
        <v>-0.25</v>
      </c>
      <c r="F67" s="306">
        <f>AAA_AAI_AAQ_AAO!F67</f>
        <v>0</v>
      </c>
      <c r="G67" s="306">
        <f>AAA_AAI_AAQ_AAO!G67</f>
        <v>0.375</v>
      </c>
      <c r="H67" s="306">
        <f>AAA_AAI_AAQ_AAO!H67</f>
        <v>0.875</v>
      </c>
      <c r="I67" s="306">
        <f>AAA_AAI_AAQ_AAO!I67</f>
        <v>2</v>
      </c>
      <c r="J67" s="306">
        <f>AAA_AAI_AAQ_AAO!J67</f>
        <v>3.5</v>
      </c>
      <c r="K67" s="548" t="str">
        <f>AAA_AAI_AAQ_AAO!K67</f>
        <v>N/A</v>
      </c>
      <c r="L67" s="846"/>
      <c r="O67" s="512" t="s">
        <v>434</v>
      </c>
      <c r="P67" s="843"/>
      <c r="Q67" s="843"/>
      <c r="R67" s="221"/>
    </row>
    <row r="68" spans="2:35" ht="20.25" customHeight="1" x14ac:dyDescent="0.25">
      <c r="B68" s="201" t="s">
        <v>73</v>
      </c>
      <c r="C68" s="117"/>
      <c r="D68" s="399"/>
      <c r="E68" s="306">
        <f>AAA_AAI_AAQ_AAO!E68</f>
        <v>0</v>
      </c>
      <c r="F68" s="306">
        <f>AAA_AAI_AAQ_AAO!F68</f>
        <v>0.25</v>
      </c>
      <c r="G68" s="306">
        <f>AAA_AAI_AAQ_AAO!G68</f>
        <v>0.625</v>
      </c>
      <c r="H68" s="306">
        <f>AAA_AAI_AAQ_AAO!H68</f>
        <v>1.5</v>
      </c>
      <c r="I68" s="306">
        <f>AAA_AAI_AAQ_AAO!I68</f>
        <v>3.75</v>
      </c>
      <c r="J68" s="306" t="str">
        <f>AAA_AAI_AAQ_AAO!J68</f>
        <v>N/A</v>
      </c>
      <c r="K68" s="548" t="str">
        <f>AAA_AAI_AAQ_AAO!K68</f>
        <v>N/A</v>
      </c>
      <c r="L68" s="846"/>
      <c r="O68" s="512" t="s">
        <v>435</v>
      </c>
      <c r="P68" s="845"/>
      <c r="Q68" s="845"/>
      <c r="R68" s="222"/>
    </row>
    <row r="69" spans="2:35" ht="21" customHeight="1" x14ac:dyDescent="0.25">
      <c r="B69" s="201" t="s">
        <v>113</v>
      </c>
      <c r="C69" s="117"/>
      <c r="D69" s="399"/>
      <c r="E69" s="306">
        <f>AAA_AAI_AAQ_AAO!E69</f>
        <v>0.25</v>
      </c>
      <c r="F69" s="306">
        <f>AAA_AAI_AAQ_AAO!F69</f>
        <v>0.5</v>
      </c>
      <c r="G69" s="306">
        <f>AAA_AAI_AAQ_AAO!G69</f>
        <v>1</v>
      </c>
      <c r="H69" s="306">
        <f>AAA_AAI_AAQ_AAO!H69</f>
        <v>2.5</v>
      </c>
      <c r="I69" s="306" t="str">
        <f>AAA_AAI_AAQ_AAO!I69</f>
        <v>N/A</v>
      </c>
      <c r="J69" s="306" t="str">
        <f>AAA_AAI_AAQ_AAO!J69</f>
        <v>N/A</v>
      </c>
      <c r="K69" s="548" t="str">
        <f>AAA_AAI_AAQ_AAO!K69</f>
        <v>N/A</v>
      </c>
      <c r="L69" s="846"/>
      <c r="O69" s="512" t="s">
        <v>436</v>
      </c>
      <c r="P69" s="845"/>
      <c r="Q69" s="845"/>
      <c r="R69" s="222"/>
    </row>
    <row r="70" spans="2:35" ht="21.75" customHeight="1" thickBot="1" x14ac:dyDescent="0.3">
      <c r="B70" s="201" t="s">
        <v>115</v>
      </c>
      <c r="C70" s="117"/>
      <c r="D70" s="399"/>
      <c r="E70" s="1006">
        <f>AAA_AAI_AAQ_AAO!E70</f>
        <v>0.5</v>
      </c>
      <c r="F70" s="1006">
        <f>AAA_AAI_AAQ_AAO!F70</f>
        <v>0.875</v>
      </c>
      <c r="G70" s="1006">
        <f>AAA_AAI_AAQ_AAO!G70</f>
        <v>1.5</v>
      </c>
      <c r="H70" s="1006" t="str">
        <f>AAA_AAI_AAQ_AAO!H70</f>
        <v>N/A</v>
      </c>
      <c r="I70" s="1006" t="str">
        <f>AAA_AAI_AAQ_AAO!I70</f>
        <v>N/A</v>
      </c>
      <c r="J70" s="1006" t="str">
        <f>AAA_AAI_AAQ_AAO!J70</f>
        <v>N/A</v>
      </c>
      <c r="K70" s="1007" t="str">
        <f>AAA_AAI_AAQ_AAO!K70</f>
        <v>N/A</v>
      </c>
      <c r="L70" s="846"/>
      <c r="O70" s="474"/>
      <c r="P70" s="843"/>
      <c r="Q70" s="843"/>
      <c r="R70" s="221"/>
    </row>
    <row r="71" spans="2:35" ht="25.5" customHeight="1" x14ac:dyDescent="0.25">
      <c r="B71" s="612" t="s">
        <v>666</v>
      </c>
      <c r="C71" s="916"/>
      <c r="D71" s="37"/>
      <c r="E71" s="481">
        <f>AAA_AAI_AAQ_AAO!E71</f>
        <v>0.25</v>
      </c>
      <c r="F71" s="481">
        <f>AAA_AAI_AAQ_AAO!F71</f>
        <v>0.25</v>
      </c>
      <c r="G71" s="481">
        <f>AAA_AAI_AAQ_AAO!G71</f>
        <v>0.25</v>
      </c>
      <c r="H71" s="481">
        <f>AAA_AAI_AAQ_AAO!H71</f>
        <v>0.25</v>
      </c>
      <c r="I71" s="481">
        <f>AAA_AAI_AAQ_AAO!I71</f>
        <v>0.375</v>
      </c>
      <c r="J71" s="481">
        <f>AAA_AAI_AAQ_AAO!J71</f>
        <v>0.375</v>
      </c>
      <c r="K71" s="552">
        <f>AAA_AAI_AAQ_AAO!K71</f>
        <v>0.5</v>
      </c>
      <c r="L71" s="181"/>
      <c r="O71" s="1822" t="s">
        <v>503</v>
      </c>
      <c r="P71" s="1823"/>
      <c r="Q71" s="1823"/>
      <c r="R71" s="1824"/>
    </row>
    <row r="72" spans="2:35" ht="25.5" customHeight="1" x14ac:dyDescent="0.25">
      <c r="B72" s="201" t="s">
        <v>165</v>
      </c>
      <c r="C72" s="117"/>
      <c r="D72" s="117"/>
      <c r="E72" s="306">
        <f>AAA_AAI_AAQ_AAO!E72</f>
        <v>0.125</v>
      </c>
      <c r="F72" s="306">
        <f>AAA_AAI_AAQ_AAO!F72</f>
        <v>0.25</v>
      </c>
      <c r="G72" s="306">
        <f>AAA_AAI_AAQ_AAO!G72</f>
        <v>0.5</v>
      </c>
      <c r="H72" s="306">
        <f>AAA_AAI_AAQ_AAO!H72</f>
        <v>1</v>
      </c>
      <c r="I72" s="306" t="str">
        <f>AAA_AAI_AAQ_AAO!I72</f>
        <v>N/A</v>
      </c>
      <c r="J72" s="306" t="str">
        <f>AAA_AAI_AAQ_AAO!J72</f>
        <v>N/A</v>
      </c>
      <c r="K72" s="548" t="str">
        <f>AAA_AAI_AAQ_AAO!K72</f>
        <v>N/A</v>
      </c>
      <c r="L72" s="181"/>
      <c r="O72" s="633"/>
      <c r="P72" s="847"/>
      <c r="Q72" s="847"/>
      <c r="R72" s="634"/>
    </row>
    <row r="73" spans="2:35" ht="21" customHeight="1" x14ac:dyDescent="0.25">
      <c r="B73" s="201" t="s">
        <v>167</v>
      </c>
      <c r="C73" s="117"/>
      <c r="D73" s="117"/>
      <c r="E73" s="306">
        <f>AAA_AAI_AAQ_AAO!E73</f>
        <v>0.125</v>
      </c>
      <c r="F73" s="306">
        <f>AAA_AAI_AAQ_AAO!F73</f>
        <v>0.25</v>
      </c>
      <c r="G73" s="306">
        <f>AAA_AAI_AAQ_AAO!G73</f>
        <v>0.25</v>
      </c>
      <c r="H73" s="306">
        <f>AAA_AAI_AAQ_AAO!H73</f>
        <v>0.375</v>
      </c>
      <c r="I73" s="306">
        <f>AAA_AAI_AAQ_AAO!I73</f>
        <v>0.375</v>
      </c>
      <c r="J73" s="306">
        <f>AAA_AAI_AAQ_AAO!J73</f>
        <v>0.625</v>
      </c>
      <c r="K73" s="548">
        <f>AAA_AAI_AAQ_AAO!K73</f>
        <v>0.75</v>
      </c>
      <c r="L73" s="846"/>
      <c r="O73" s="1825" t="s">
        <v>660</v>
      </c>
      <c r="P73" s="1826"/>
      <c r="Q73" s="1826"/>
      <c r="R73" s="1827"/>
    </row>
    <row r="74" spans="2:35" ht="21" customHeight="1" x14ac:dyDescent="0.25">
      <c r="B74" s="201" t="s">
        <v>624</v>
      </c>
      <c r="C74" s="117"/>
      <c r="D74" s="117"/>
      <c r="E74" s="306">
        <f>AAA_AAI_AAQ_AAO!E74</f>
        <v>0.25</v>
      </c>
      <c r="F74" s="306">
        <f>AAA_AAI_AAQ_AAO!F74</f>
        <v>0.375</v>
      </c>
      <c r="G74" s="306">
        <f>AAA_AAI_AAQ_AAO!G74</f>
        <v>0.75</v>
      </c>
      <c r="H74" s="306">
        <f>AAA_AAI_AAQ_AAO!H74</f>
        <v>1.5</v>
      </c>
      <c r="I74" s="306" t="str">
        <f>AAA_AAI_AAQ_AAO!I74</f>
        <v>N/A</v>
      </c>
      <c r="J74" s="306" t="str">
        <f>AAA_AAI_AAQ_AAO!J74</f>
        <v>N/A</v>
      </c>
      <c r="K74" s="548" t="str">
        <f>AAA_AAI_AAQ_AAO!K74</f>
        <v>N/A</v>
      </c>
      <c r="L74" s="846"/>
      <c r="N74" s="38"/>
      <c r="O74" s="1822" t="s">
        <v>325</v>
      </c>
      <c r="P74" s="1823"/>
      <c r="Q74" s="1823"/>
      <c r="R74" s="1824"/>
    </row>
    <row r="75" spans="2:35" ht="21" customHeight="1" x14ac:dyDescent="0.25">
      <c r="B75" s="201" t="s">
        <v>169</v>
      </c>
      <c r="C75" s="117"/>
      <c r="D75" s="117"/>
      <c r="E75" s="306">
        <f>AAA_AAI_AAQ_AAO!E75</f>
        <v>0.25</v>
      </c>
      <c r="F75" s="306">
        <f>AAA_AAI_AAQ_AAO!F75</f>
        <v>0.25</v>
      </c>
      <c r="G75" s="306">
        <f>AAA_AAI_AAQ_AAO!G75</f>
        <v>0.25</v>
      </c>
      <c r="H75" s="306">
        <f>AAA_AAI_AAQ_AAO!H75</f>
        <v>0.375</v>
      </c>
      <c r="I75" s="306">
        <f>AAA_AAI_AAQ_AAO!I75</f>
        <v>0.5</v>
      </c>
      <c r="J75" s="306" t="str">
        <f>AAA_AAI_AAQ_AAO!J75</f>
        <v>N/A</v>
      </c>
      <c r="K75" s="548" t="str">
        <f>AAA_AAI_AAQ_AAO!K75</f>
        <v>N/A</v>
      </c>
      <c r="L75" s="846"/>
      <c r="O75" s="512"/>
      <c r="P75" s="486"/>
      <c r="Q75" s="486"/>
      <c r="R75" s="469"/>
    </row>
    <row r="76" spans="2:35" ht="21" customHeight="1" x14ac:dyDescent="0.25">
      <c r="B76" s="201" t="s">
        <v>79</v>
      </c>
      <c r="C76" s="117"/>
      <c r="D76" s="117"/>
      <c r="E76" s="306">
        <f>AAA_AAI_AAQ_AAO!E76</f>
        <v>0.375</v>
      </c>
      <c r="F76" s="306">
        <f>AAA_AAI_AAQ_AAO!F76</f>
        <v>0.375</v>
      </c>
      <c r="G76" s="306">
        <f>AAA_AAI_AAQ_AAO!G76</f>
        <v>0.5</v>
      </c>
      <c r="H76" s="306">
        <f>AAA_AAI_AAQ_AAO!H76</f>
        <v>0.75</v>
      </c>
      <c r="I76" s="306">
        <f>AAA_AAI_AAQ_AAO!I76</f>
        <v>1</v>
      </c>
      <c r="J76" s="306">
        <f>AAA_AAI_AAQ_AAO!J76</f>
        <v>1</v>
      </c>
      <c r="K76" s="548" t="str">
        <f>AAA_AAI_AAQ_AAO!K76</f>
        <v>N/A</v>
      </c>
      <c r="L76" s="846"/>
      <c r="N76" s="38"/>
      <c r="O76" s="1828" t="s">
        <v>266</v>
      </c>
      <c r="P76" s="1829"/>
      <c r="Q76" s="1829"/>
      <c r="R76" s="1830"/>
    </row>
    <row r="77" spans="2:35" ht="21" customHeight="1" thickBot="1" x14ac:dyDescent="0.3">
      <c r="B77" s="201" t="s">
        <v>92</v>
      </c>
      <c r="C77" s="117"/>
      <c r="D77" s="117"/>
      <c r="E77" s="306">
        <f>AAA_AAI_AAQ_AAO!E77</f>
        <v>0.25</v>
      </c>
      <c r="F77" s="306">
        <f>AAA_AAI_AAQ_AAO!F77</f>
        <v>0.25</v>
      </c>
      <c r="G77" s="306">
        <f>AAA_AAI_AAQ_AAO!G77</f>
        <v>0.375</v>
      </c>
      <c r="H77" s="306">
        <f>AAA_AAI_AAQ_AAO!H77</f>
        <v>0.5</v>
      </c>
      <c r="I77" s="306">
        <f>AAA_AAI_AAQ_AAO!I77</f>
        <v>0.75</v>
      </c>
      <c r="J77" s="306" t="str">
        <f>AAA_AAI_AAQ_AAO!J77</f>
        <v>N/A</v>
      </c>
      <c r="K77" s="548" t="str">
        <f>AAA_AAI_AAQ_AAO!K77</f>
        <v>N/A</v>
      </c>
      <c r="L77" s="846"/>
      <c r="N77" s="38"/>
      <c r="O77" s="486"/>
      <c r="P77" s="486"/>
      <c r="Q77" s="486"/>
      <c r="R77" s="469"/>
    </row>
    <row r="78" spans="2:35" ht="21" customHeight="1" thickTop="1" x14ac:dyDescent="0.25">
      <c r="B78" s="201" t="s">
        <v>172</v>
      </c>
      <c r="C78" s="117"/>
      <c r="D78" s="117"/>
      <c r="E78" s="306">
        <f>AAA_AAI_AAQ_AAO!E78</f>
        <v>0.25</v>
      </c>
      <c r="F78" s="306">
        <f>AAA_AAI_AAQ_AAO!F78</f>
        <v>0.25</v>
      </c>
      <c r="G78" s="306">
        <f>AAA_AAI_AAQ_AAO!G78</f>
        <v>0.375</v>
      </c>
      <c r="H78" s="306">
        <f>AAA_AAI_AAQ_AAO!H78</f>
        <v>0.75</v>
      </c>
      <c r="I78" s="306">
        <f>AAA_AAI_AAQ_AAO!I78</f>
        <v>1</v>
      </c>
      <c r="J78" s="306">
        <f>AAA_AAI_AAQ_AAO!J78</f>
        <v>1.5</v>
      </c>
      <c r="K78" s="548" t="str">
        <f>AAA_AAI_AAQ_AAO!K78</f>
        <v>N/A</v>
      </c>
      <c r="L78" s="181"/>
      <c r="O78" s="1715" t="s">
        <v>508</v>
      </c>
      <c r="P78" s="1716"/>
      <c r="Q78" s="1716"/>
      <c r="R78" s="1717"/>
    </row>
    <row r="79" spans="2:35" ht="21" customHeight="1" thickBot="1" x14ac:dyDescent="0.3">
      <c r="B79" s="201" t="s">
        <v>78</v>
      </c>
      <c r="C79" s="117"/>
      <c r="D79" s="117"/>
      <c r="E79" s="306">
        <f>AAA_AAI_AAQ_AAO!E79</f>
        <v>0.125</v>
      </c>
      <c r="F79" s="306">
        <f>AAA_AAI_AAQ_AAO!F79</f>
        <v>0.125</v>
      </c>
      <c r="G79" s="306">
        <f>AAA_AAI_AAQ_AAO!G79</f>
        <v>0.25</v>
      </c>
      <c r="H79" s="306">
        <f>AAA_AAI_AAQ_AAO!H79</f>
        <v>0.375</v>
      </c>
      <c r="I79" s="306">
        <f>AAA_AAI_AAQ_AAO!I79</f>
        <v>0.75</v>
      </c>
      <c r="J79" s="306">
        <f>AAA_AAI_AAQ_AAO!J79</f>
        <v>1</v>
      </c>
      <c r="K79" s="548">
        <f>AAA_AAI_AAQ_AAO!K79</f>
        <v>1.25</v>
      </c>
      <c r="L79" s="181"/>
      <c r="O79" s="1718"/>
      <c r="P79" s="1719"/>
      <c r="Q79" s="1719"/>
      <c r="R79" s="1720"/>
    </row>
    <row r="80" spans="2:35" ht="21" customHeight="1" thickTop="1" thickBot="1" x14ac:dyDescent="0.3">
      <c r="B80" s="400" t="s">
        <v>539</v>
      </c>
      <c r="C80" s="14"/>
      <c r="D80" s="14"/>
      <c r="E80" s="996">
        <f>AAA_AAI_AAQ_AAO!E80</f>
        <v>0.125</v>
      </c>
      <c r="F80" s="996">
        <f>AAA_AAI_AAQ_AAO!F80</f>
        <v>0.125</v>
      </c>
      <c r="G80" s="996">
        <f>AAA_AAI_AAQ_AAO!G80</f>
        <v>0.25</v>
      </c>
      <c r="H80" s="996">
        <f>AAA_AAI_AAQ_AAO!H80</f>
        <v>0.25</v>
      </c>
      <c r="I80" s="996">
        <f>AAA_AAI_AAQ_AAO!I80</f>
        <v>0.375</v>
      </c>
      <c r="J80" s="996">
        <f>AAA_AAI_AAQ_AAO!J80</f>
        <v>0.5</v>
      </c>
      <c r="K80" s="997">
        <f>AAA_AAI_AAQ_AAO!K80</f>
        <v>0.5</v>
      </c>
      <c r="L80" s="181"/>
      <c r="N80" s="38"/>
      <c r="O80" s="529"/>
      <c r="P80" s="848"/>
      <c r="Q80" s="848"/>
      <c r="R80" s="510"/>
    </row>
    <row r="81" spans="2:27" ht="21" customHeight="1" x14ac:dyDescent="0.25">
      <c r="B81" s="201" t="s">
        <v>491</v>
      </c>
      <c r="C81" s="117"/>
      <c r="D81" s="399"/>
      <c r="E81" s="306">
        <f>AAA_AAI_AAQ_AAO!E81</f>
        <v>-1.875</v>
      </c>
      <c r="F81" s="306">
        <f>AAA_AAI_AAQ_AAO!F81</f>
        <v>-1.875</v>
      </c>
      <c r="G81" s="306">
        <f>AAA_AAI_AAQ_AAO!G81</f>
        <v>-1.75</v>
      </c>
      <c r="H81" s="306">
        <f>AAA_AAI_AAQ_AAO!H81</f>
        <v>-1.625</v>
      </c>
      <c r="I81" s="306">
        <f>AAA_AAI_AAQ_AAO!I81</f>
        <v>-1.5</v>
      </c>
      <c r="J81" s="306">
        <f>AAA_AAI_AAQ_AAO!J81</f>
        <v>-1.25</v>
      </c>
      <c r="K81" s="306">
        <f>AAA_AAI_AAQ_AAO!K81</f>
        <v>0.15</v>
      </c>
      <c r="L81" s="846"/>
      <c r="N81" s="38"/>
      <c r="O81" s="1820" t="s">
        <v>538</v>
      </c>
      <c r="P81" s="1820"/>
      <c r="Q81" s="1820"/>
      <c r="R81" s="1821"/>
    </row>
    <row r="82" spans="2:27" ht="16.5" customHeight="1" x14ac:dyDescent="0.25">
      <c r="B82" s="201" t="s">
        <v>518</v>
      </c>
      <c r="C82" s="117"/>
      <c r="D82" s="399"/>
      <c r="E82" s="306">
        <f>AAA_AAI_AAQ_AAO!E82</f>
        <v>-2.25</v>
      </c>
      <c r="F82" s="306">
        <f>AAA_AAI_AAQ_AAO!F82</f>
        <v>-2.25</v>
      </c>
      <c r="G82" s="306">
        <f>AAA_AAI_AAQ_AAO!G82</f>
        <v>-2.125</v>
      </c>
      <c r="H82" s="306">
        <f>AAA_AAI_AAQ_AAO!H82</f>
        <v>-2.125</v>
      </c>
      <c r="I82" s="306">
        <f>AAA_AAI_AAQ_AAO!I82</f>
        <v>-2</v>
      </c>
      <c r="J82" s="306">
        <f>AAA_AAI_AAQ_AAO!J82</f>
        <v>-1.75</v>
      </c>
      <c r="K82" s="306">
        <f>AAA_AAI_AAQ_AAO!K82</f>
        <v>-0.35</v>
      </c>
      <c r="L82" s="846"/>
      <c r="O82" s="513"/>
      <c r="P82" s="848"/>
      <c r="Q82" s="848"/>
      <c r="R82" s="510"/>
    </row>
    <row r="83" spans="2:27" ht="21" customHeight="1" x14ac:dyDescent="0.3">
      <c r="B83" s="201" t="s">
        <v>507</v>
      </c>
      <c r="C83" s="25"/>
      <c r="D83" s="530"/>
      <c r="E83" s="306">
        <f>AAA_AAI_AAQ_AAO!E83</f>
        <v>-2.375</v>
      </c>
      <c r="F83" s="306">
        <f>AAA_AAI_AAQ_AAO!F83</f>
        <v>-2.375</v>
      </c>
      <c r="G83" s="306">
        <f>AAA_AAI_AAQ_AAO!G83</f>
        <v>-2.25</v>
      </c>
      <c r="H83" s="306">
        <f>AAA_AAI_AAQ_AAO!H83</f>
        <v>-2</v>
      </c>
      <c r="I83" s="306">
        <f>AAA_AAI_AAQ_AAO!I83</f>
        <v>-1.75</v>
      </c>
      <c r="J83" s="306">
        <f>AAA_AAI_AAQ_AAO!J83</f>
        <v>-1.625</v>
      </c>
      <c r="K83" s="306" t="str">
        <f>AAA_AAI_AAQ_AAO!K83</f>
        <v>N/A</v>
      </c>
      <c r="L83" s="846"/>
      <c r="O83" s="1819" t="s">
        <v>509</v>
      </c>
      <c r="P83" s="1820"/>
      <c r="Q83" s="1820"/>
      <c r="R83" s="1821"/>
    </row>
    <row r="84" spans="2:27" ht="21" customHeight="1" x14ac:dyDescent="0.25">
      <c r="B84" s="201" t="s">
        <v>90</v>
      </c>
      <c r="C84" s="117"/>
      <c r="D84" s="399"/>
      <c r="E84" s="306">
        <f>AAA_AAI_AAQ_AAO!E84</f>
        <v>-1.625</v>
      </c>
      <c r="F84" s="306">
        <f>AAA_AAI_AAQ_AAO!F84</f>
        <v>-1.5</v>
      </c>
      <c r="G84" s="306">
        <f>AAA_AAI_AAQ_AAO!G84</f>
        <v>-1.5</v>
      </c>
      <c r="H84" s="306">
        <f>AAA_AAI_AAQ_AAO!H84</f>
        <v>-1.375</v>
      </c>
      <c r="I84" s="306">
        <f>AAA_AAI_AAQ_AAO!I84</f>
        <v>-1</v>
      </c>
      <c r="J84" s="306">
        <f>AAA_AAI_AAQ_AAO!J84</f>
        <v>-0.625</v>
      </c>
      <c r="K84" s="306">
        <f>AAA_AAI_AAQ_AAO!K84</f>
        <v>2.25</v>
      </c>
      <c r="L84" s="846"/>
      <c r="O84" s="1819" t="s">
        <v>510</v>
      </c>
      <c r="P84" s="1820"/>
      <c r="Q84" s="1820"/>
      <c r="R84" s="1821"/>
      <c r="U84" s="483"/>
      <c r="V84" s="483"/>
      <c r="W84" s="483"/>
      <c r="X84" s="483"/>
      <c r="Y84" s="483"/>
      <c r="Z84" s="483"/>
      <c r="AA84" s="483"/>
    </row>
    <row r="85" spans="2:27" ht="21" customHeight="1" x14ac:dyDescent="0.25">
      <c r="B85" s="201" t="s">
        <v>80</v>
      </c>
      <c r="C85" s="117"/>
      <c r="D85" s="399"/>
      <c r="E85" s="306">
        <f>AAA_AAI_AAQ_AAO!E85</f>
        <v>-2.25</v>
      </c>
      <c r="F85" s="306">
        <f>AAA_AAI_AAQ_AAO!F85</f>
        <v>-2.25</v>
      </c>
      <c r="G85" s="306">
        <f>AAA_AAI_AAQ_AAO!G85</f>
        <v>-2.125</v>
      </c>
      <c r="H85" s="306">
        <f>AAA_AAI_AAQ_AAO!H85</f>
        <v>-2.125</v>
      </c>
      <c r="I85" s="306">
        <f>AAA_AAI_AAQ_AAO!I85</f>
        <v>-2</v>
      </c>
      <c r="J85" s="306">
        <f>AAA_AAI_AAQ_AAO!J85</f>
        <v>-1.75</v>
      </c>
      <c r="K85" s="306">
        <f>AAA_AAI_AAQ_AAO!K85</f>
        <v>1.75</v>
      </c>
      <c r="L85" s="181"/>
      <c r="O85" s="1819" t="s">
        <v>511</v>
      </c>
      <c r="P85" s="1820"/>
      <c r="Q85" s="1820"/>
      <c r="R85" s="1821"/>
      <c r="W85" s="27"/>
    </row>
    <row r="86" spans="2:27" ht="21" customHeight="1" x14ac:dyDescent="0.25">
      <c r="B86" s="466">
        <v>1099</v>
      </c>
      <c r="C86" s="117"/>
      <c r="D86" s="399"/>
      <c r="E86" s="306">
        <f>AAA_AAI_AAQ_AAO!E86</f>
        <v>-1.1000000000000001</v>
      </c>
      <c r="F86" s="306">
        <f>AAA_AAI_AAQ_AAO!F86</f>
        <v>-0.97499999999999998</v>
      </c>
      <c r="G86" s="306">
        <f>AAA_AAI_AAQ_AAO!G86</f>
        <v>-0.97499999999999998</v>
      </c>
      <c r="H86" s="306">
        <f>AAA_AAI_AAQ_AAO!H86</f>
        <v>-0.875</v>
      </c>
      <c r="I86" s="306">
        <f>AAA_AAI_AAQ_AAO!I86</f>
        <v>-0.5</v>
      </c>
      <c r="J86" s="306">
        <f>AAA_AAI_AAQ_AAO!J86</f>
        <v>0</v>
      </c>
      <c r="K86" s="306" t="str">
        <f>AAA_AAI_AAQ_AAO!K86</f>
        <v>N/A</v>
      </c>
      <c r="L86" s="181"/>
      <c r="O86" s="1819" t="s">
        <v>512</v>
      </c>
      <c r="P86" s="1820"/>
      <c r="Q86" s="1820"/>
      <c r="R86" s="1821"/>
      <c r="U86" s="483"/>
      <c r="V86" s="483"/>
      <c r="W86" s="483"/>
      <c r="X86" s="483"/>
      <c r="Y86" s="483"/>
      <c r="Z86" s="483"/>
    </row>
    <row r="87" spans="2:27" ht="15.75" customHeight="1" thickBot="1" x14ac:dyDescent="0.3">
      <c r="B87" s="201" t="s">
        <v>175</v>
      </c>
      <c r="C87" s="117"/>
      <c r="D87" s="399"/>
      <c r="E87" s="306">
        <f>AAA_AAI_AAQ_AAO!E87</f>
        <v>0.5</v>
      </c>
      <c r="F87" s="306">
        <f>AAA_AAI_AAQ_AAO!F87</f>
        <v>0.75</v>
      </c>
      <c r="G87" s="306">
        <f>AAA_AAI_AAQ_AAO!G87</f>
        <v>0.75</v>
      </c>
      <c r="H87" s="306">
        <f>AAA_AAI_AAQ_AAO!H87</f>
        <v>1</v>
      </c>
      <c r="I87" s="306">
        <f>AAA_AAI_AAQ_AAO!I87</f>
        <v>1.25</v>
      </c>
      <c r="J87" s="306">
        <f>AAA_AAI_AAQ_AAO!J87</f>
        <v>1.5</v>
      </c>
      <c r="K87" s="306" t="str">
        <f>AAA_AAI_AAQ_AAO!K87</f>
        <v>N/A</v>
      </c>
      <c r="O87" s="513"/>
      <c r="P87" s="848"/>
      <c r="Q87" s="848"/>
      <c r="R87" s="510"/>
      <c r="U87" s="483"/>
      <c r="V87" s="483"/>
      <c r="W87" s="483"/>
      <c r="X87" s="483"/>
      <c r="Y87" s="483"/>
      <c r="Z87" s="483"/>
    </row>
    <row r="88" spans="2:27" ht="25.5" customHeight="1" x14ac:dyDescent="0.25">
      <c r="B88" s="531" t="s">
        <v>535</v>
      </c>
      <c r="C88" s="37"/>
      <c r="D88" s="37"/>
      <c r="E88" s="481">
        <f>AAA_AAI_AAQ_AAO!E88</f>
        <v>1</v>
      </c>
      <c r="F88" s="481">
        <f>AAA_AAI_AAQ_AAO!F88</f>
        <v>1.125</v>
      </c>
      <c r="G88" s="481">
        <f>AAA_AAI_AAQ_AAO!G88</f>
        <v>1.25</v>
      </c>
      <c r="H88" s="481">
        <f>AAA_AAI_AAQ_AAO!H88</f>
        <v>1.625</v>
      </c>
      <c r="I88" s="481">
        <f>AAA_AAI_AAQ_AAO!I88</f>
        <v>2</v>
      </c>
      <c r="J88" s="481">
        <f>AAA_AAI_AAQ_AAO!J88</f>
        <v>2.5</v>
      </c>
      <c r="K88" s="552" t="str">
        <f>AAA_AAI_AAQ_AAO!K88</f>
        <v>N/A</v>
      </c>
      <c r="O88" s="1819" t="s">
        <v>513</v>
      </c>
      <c r="P88" s="1820"/>
      <c r="Q88" s="1820"/>
      <c r="R88" s="1821"/>
    </row>
    <row r="89" spans="2:27" ht="21" customHeight="1" x14ac:dyDescent="0.25">
      <c r="B89" s="466" t="s">
        <v>536</v>
      </c>
      <c r="C89" s="117"/>
      <c r="D89" s="117"/>
      <c r="E89" s="306">
        <f>AAA_AAI_AAQ_AAO!E89</f>
        <v>1.75</v>
      </c>
      <c r="F89" s="306">
        <f>AAA_AAI_AAQ_AAO!F89</f>
        <v>2</v>
      </c>
      <c r="G89" s="306">
        <f>AAA_AAI_AAQ_AAO!G89</f>
        <v>2.25</v>
      </c>
      <c r="H89" s="306">
        <f>AAA_AAI_AAQ_AAO!H89</f>
        <v>2.5</v>
      </c>
      <c r="I89" s="306">
        <f>AAA_AAI_AAQ_AAO!I89</f>
        <v>3</v>
      </c>
      <c r="J89" s="306">
        <f>AAA_AAI_AAQ_AAO!J89</f>
        <v>3.5</v>
      </c>
      <c r="K89" s="548" t="str">
        <f>AAA_AAI_AAQ_AAO!K89</f>
        <v>N/A</v>
      </c>
      <c r="O89" s="1819" t="s">
        <v>514</v>
      </c>
      <c r="P89" s="1820"/>
      <c r="Q89" s="1820"/>
      <c r="R89" s="1821"/>
      <c r="V89" s="17"/>
      <c r="W89" s="17"/>
    </row>
    <row r="90" spans="2:27" ht="21" customHeight="1" thickBot="1" x14ac:dyDescent="0.3">
      <c r="B90" s="468" t="s">
        <v>519</v>
      </c>
      <c r="C90" s="14"/>
      <c r="D90" s="14"/>
      <c r="E90" s="996">
        <f>AAA_AAI_AAQ_AAO!E90</f>
        <v>2.125</v>
      </c>
      <c r="F90" s="996">
        <f>AAA_AAI_AAQ_AAO!F90</f>
        <v>2.375</v>
      </c>
      <c r="G90" s="996">
        <f>AAA_AAI_AAQ_AAO!G90</f>
        <v>2.75</v>
      </c>
      <c r="H90" s="996">
        <f>AAA_AAI_AAQ_AAO!H90</f>
        <v>3</v>
      </c>
      <c r="I90" s="996">
        <f>AAA_AAI_AAQ_AAO!I90</f>
        <v>3.5</v>
      </c>
      <c r="J90" s="996">
        <f>AAA_AAI_AAQ_AAO!J90</f>
        <v>4.25</v>
      </c>
      <c r="K90" s="997" t="str">
        <f>AAA_AAI_AAQ_AAO!K90</f>
        <v>N/A</v>
      </c>
      <c r="O90" s="1819" t="s">
        <v>515</v>
      </c>
      <c r="P90" s="1820"/>
      <c r="Q90" s="1820"/>
      <c r="R90" s="1821"/>
      <c r="V90" s="17"/>
      <c r="W90" s="17"/>
    </row>
    <row r="91" spans="2:27" ht="21" customHeight="1" thickBot="1" x14ac:dyDescent="0.25">
      <c r="B91" s="1772" t="s">
        <v>504</v>
      </c>
      <c r="C91" s="1773"/>
      <c r="D91" s="1773"/>
      <c r="E91" s="1773"/>
      <c r="F91" s="1773"/>
      <c r="G91" s="1773"/>
      <c r="H91" s="1773"/>
      <c r="I91" s="1774"/>
      <c r="O91" s="509"/>
      <c r="P91" s="848"/>
      <c r="Q91" s="848"/>
      <c r="R91" s="510"/>
      <c r="U91" s="1518"/>
      <c r="V91" s="1518"/>
      <c r="W91" s="1518"/>
    </row>
    <row r="92" spans="2:27" ht="21" customHeight="1" thickBot="1" x14ac:dyDescent="0.3">
      <c r="B92" s="637" t="s">
        <v>91</v>
      </c>
      <c r="C92" s="638"/>
      <c r="D92" s="220"/>
      <c r="E92" s="37"/>
      <c r="F92" s="37"/>
      <c r="G92" s="37"/>
      <c r="H92" s="37"/>
      <c r="I92" s="830">
        <v>0.25</v>
      </c>
      <c r="O92" s="1712" t="s">
        <v>516</v>
      </c>
      <c r="P92" s="1713"/>
      <c r="Q92" s="1713"/>
      <c r="R92" s="1714"/>
      <c r="U92" s="1253"/>
      <c r="V92" s="1253"/>
      <c r="W92" s="1253"/>
    </row>
    <row r="93" spans="2:27" ht="21" customHeight="1" thickBot="1" x14ac:dyDescent="0.3">
      <c r="B93" s="177" t="s">
        <v>168</v>
      </c>
      <c r="C93" s="846"/>
      <c r="D93" s="27"/>
      <c r="I93" s="74">
        <v>1</v>
      </c>
      <c r="K93" s="1008"/>
      <c r="R93" s="38"/>
      <c r="U93" s="1831"/>
      <c r="V93" s="1831"/>
      <c r="W93" s="1831"/>
    </row>
    <row r="94" spans="2:27" ht="21" customHeight="1" x14ac:dyDescent="0.25">
      <c r="B94" s="177" t="s">
        <v>267</v>
      </c>
      <c r="C94" s="846"/>
      <c r="D94" s="27"/>
      <c r="I94" s="94">
        <v>-0.125</v>
      </c>
      <c r="O94" s="823" t="s">
        <v>347</v>
      </c>
      <c r="P94" s="824"/>
      <c r="Q94" s="824"/>
      <c r="R94" s="825"/>
    </row>
    <row r="95" spans="2:27" ht="21" customHeight="1" x14ac:dyDescent="0.25">
      <c r="B95" s="177" t="s">
        <v>170</v>
      </c>
      <c r="C95" s="846"/>
      <c r="D95" s="27"/>
      <c r="I95" s="74">
        <v>0.75</v>
      </c>
      <c r="J95" s="1170"/>
      <c r="K95" s="1170"/>
      <c r="L95" s="1170"/>
      <c r="M95" s="1170"/>
      <c r="O95" s="95"/>
      <c r="Q95" s="821" t="s">
        <v>162</v>
      </c>
      <c r="R95" s="822"/>
    </row>
    <row r="96" spans="2:27" ht="21" customHeight="1" x14ac:dyDescent="0.25">
      <c r="B96" s="177" t="s">
        <v>171</v>
      </c>
      <c r="C96" s="846"/>
      <c r="D96" s="27"/>
      <c r="H96" s="87"/>
      <c r="I96" s="132">
        <v>0.25</v>
      </c>
      <c r="J96" s="1170"/>
      <c r="K96" s="1170"/>
      <c r="L96" s="1170"/>
      <c r="M96" s="1170"/>
      <c r="O96" s="73" t="s">
        <v>109</v>
      </c>
      <c r="P96" s="27"/>
      <c r="R96" s="74">
        <v>0</v>
      </c>
    </row>
    <row r="97" spans="1:34" ht="21" customHeight="1" x14ac:dyDescent="0.25">
      <c r="B97" s="177" t="s">
        <v>173</v>
      </c>
      <c r="C97" s="846"/>
      <c r="D97" s="27"/>
      <c r="H97" s="27"/>
      <c r="I97" s="132">
        <v>0.375</v>
      </c>
      <c r="J97" s="2015"/>
      <c r="K97" s="2015"/>
      <c r="L97" s="2015"/>
      <c r="M97" s="2015"/>
      <c r="O97" s="75" t="s">
        <v>111</v>
      </c>
      <c r="P97" s="27"/>
      <c r="R97" s="74">
        <v>0.125</v>
      </c>
    </row>
    <row r="98" spans="1:34" ht="21" customHeight="1" x14ac:dyDescent="0.25">
      <c r="B98" s="97" t="s">
        <v>174</v>
      </c>
      <c r="C98" s="846"/>
      <c r="D98" s="27"/>
      <c r="I98" s="132">
        <v>0.125</v>
      </c>
      <c r="J98" s="2012"/>
      <c r="K98" s="2012"/>
      <c r="L98" s="2012"/>
      <c r="M98" s="2012"/>
      <c r="O98" s="75" t="s">
        <v>112</v>
      </c>
      <c r="P98" s="27"/>
      <c r="R98" s="74">
        <v>0.25</v>
      </c>
    </row>
    <row r="99" spans="1:34" ht="21" customHeight="1" thickBot="1" x14ac:dyDescent="0.35">
      <c r="B99" s="177" t="s">
        <v>460</v>
      </c>
      <c r="D99" s="455"/>
      <c r="H99" s="33"/>
      <c r="I99" s="94">
        <v>-1.5</v>
      </c>
      <c r="J99" s="1912"/>
      <c r="K99" s="1912"/>
      <c r="L99" s="1912"/>
      <c r="M99" s="1912"/>
      <c r="O99" s="76" t="s">
        <v>163</v>
      </c>
      <c r="P99" s="78"/>
      <c r="Q99" s="14"/>
      <c r="R99" s="79">
        <v>0.375</v>
      </c>
    </row>
    <row r="100" spans="1:34" ht="21" customHeight="1" thickBot="1" x14ac:dyDescent="0.3">
      <c r="B100" s="177" t="s">
        <v>461</v>
      </c>
      <c r="D100" s="181"/>
      <c r="I100" s="94">
        <v>-1</v>
      </c>
      <c r="J100" s="1915"/>
      <c r="K100" s="1915"/>
      <c r="L100" s="1915"/>
      <c r="M100" s="1915"/>
      <c r="R100" s="38"/>
    </row>
    <row r="101" spans="1:34" ht="21" customHeight="1" thickBot="1" x14ac:dyDescent="0.3">
      <c r="B101" s="177" t="s">
        <v>367</v>
      </c>
      <c r="D101" s="181"/>
      <c r="H101" s="849"/>
      <c r="I101" s="94">
        <v>-0.5</v>
      </c>
      <c r="J101" s="1253"/>
      <c r="K101" s="1253"/>
      <c r="L101" s="1253"/>
      <c r="M101" s="1253"/>
      <c r="O101" s="826" t="s">
        <v>370</v>
      </c>
      <c r="P101" s="827"/>
      <c r="Q101" s="827"/>
      <c r="R101" s="828"/>
    </row>
    <row r="102" spans="1:34" ht="21" customHeight="1" x14ac:dyDescent="0.25">
      <c r="A102" s="38"/>
      <c r="B102" s="177" t="s">
        <v>164</v>
      </c>
      <c r="D102" s="181"/>
      <c r="I102" s="94">
        <v>0.5</v>
      </c>
      <c r="O102" s="636" t="s">
        <v>207</v>
      </c>
      <c r="R102" s="464">
        <v>0.25</v>
      </c>
    </row>
    <row r="103" spans="1:34" ht="21" customHeight="1" thickBot="1" x14ac:dyDescent="0.3">
      <c r="A103" s="38"/>
      <c r="B103" s="645" t="s">
        <v>166</v>
      </c>
      <c r="I103" s="94">
        <v>1</v>
      </c>
      <c r="N103" s="850"/>
      <c r="O103" s="829"/>
      <c r="P103" s="14"/>
      <c r="Q103" s="14"/>
      <c r="R103" s="405"/>
    </row>
    <row r="104" spans="1:34" ht="21" customHeight="1" x14ac:dyDescent="0.25">
      <c r="A104" s="38"/>
      <c r="B104" s="966" t="s">
        <v>646</v>
      </c>
      <c r="C104" s="15"/>
      <c r="D104" s="15"/>
      <c r="E104" s="15"/>
      <c r="F104" s="15"/>
      <c r="G104" s="15"/>
      <c r="H104" s="15"/>
      <c r="I104" s="1197">
        <v>0</v>
      </c>
      <c r="N104" s="850"/>
      <c r="O104" s="114"/>
      <c r="R104" s="130"/>
    </row>
    <row r="105" spans="1:34" ht="21" customHeight="1" thickBot="1" x14ac:dyDescent="0.3">
      <c r="A105" s="38"/>
      <c r="B105" s="1184" t="s">
        <v>753</v>
      </c>
      <c r="C105" s="1185"/>
      <c r="D105" s="1185"/>
      <c r="E105" s="1185"/>
      <c r="F105" s="1186"/>
      <c r="G105" s="1186"/>
      <c r="H105" s="1186"/>
      <c r="I105" s="1187">
        <v>-0.125</v>
      </c>
      <c r="N105" s="850"/>
      <c r="O105" s="114"/>
      <c r="R105" s="130"/>
    </row>
    <row r="106" spans="1:34" ht="19.5" customHeight="1" thickBot="1" x14ac:dyDescent="0.25">
      <c r="A106" s="38"/>
      <c r="B106" s="1773"/>
      <c r="C106" s="1773"/>
      <c r="D106" s="1773"/>
      <c r="E106" s="1773"/>
      <c r="F106" s="1773"/>
      <c r="G106" s="1773"/>
      <c r="H106" s="1773"/>
      <c r="I106" s="1774"/>
      <c r="R106" s="38"/>
    </row>
    <row r="107" spans="1:34" ht="26.25" customHeight="1" thickBot="1" x14ac:dyDescent="0.25">
      <c r="A107" s="38"/>
      <c r="B107" s="1188" t="s">
        <v>741</v>
      </c>
      <c r="C107" s="846"/>
      <c r="D107" s="167"/>
      <c r="E107" s="51"/>
      <c r="F107" s="51"/>
      <c r="G107" s="51"/>
      <c r="H107" s="51"/>
      <c r="I107" s="1171">
        <v>-0.25</v>
      </c>
      <c r="R107" s="38"/>
      <c r="AH107" s="38"/>
    </row>
    <row r="108" spans="1:34" ht="24" customHeight="1" thickBot="1" x14ac:dyDescent="0.45">
      <c r="A108" s="38"/>
      <c r="B108" s="1189" t="s">
        <v>129</v>
      </c>
      <c r="C108" s="1372" t="s">
        <v>350</v>
      </c>
      <c r="D108" s="1373"/>
      <c r="E108" s="1373"/>
      <c r="F108" s="1373"/>
      <c r="G108" s="1373"/>
      <c r="H108" s="1373"/>
      <c r="I108" s="1373"/>
      <c r="J108" s="1373"/>
      <c r="K108" s="1373"/>
      <c r="L108" s="1374"/>
      <c r="N108" s="1579" t="s">
        <v>570</v>
      </c>
      <c r="O108" s="1580"/>
      <c r="P108" s="1580"/>
      <c r="Q108" s="1580"/>
      <c r="R108" s="1581"/>
      <c r="S108" s="430"/>
      <c r="AH108" s="120"/>
    </row>
    <row r="109" spans="1:34" ht="24" customHeight="1" thickBot="1" x14ac:dyDescent="0.45">
      <c r="A109" s="38"/>
      <c r="B109" s="592" t="s">
        <v>176</v>
      </c>
      <c r="C109" s="917" t="s">
        <v>662</v>
      </c>
      <c r="D109" s="916"/>
      <c r="E109" s="220"/>
      <c r="F109" s="220"/>
      <c r="G109" s="220"/>
      <c r="H109" s="441"/>
      <c r="I109" s="37"/>
      <c r="J109" s="140"/>
      <c r="L109" s="38"/>
      <c r="N109" s="472" t="s">
        <v>88</v>
      </c>
      <c r="O109" s="624"/>
      <c r="P109" s="37"/>
      <c r="Q109" s="37"/>
      <c r="R109" s="464">
        <v>0.75</v>
      </c>
      <c r="S109" s="430"/>
      <c r="AH109" s="120"/>
    </row>
    <row r="110" spans="1:34" ht="24" customHeight="1" thickBot="1" x14ac:dyDescent="0.45">
      <c r="B110" s="526" t="s">
        <v>177</v>
      </c>
      <c r="C110" s="1372" t="s">
        <v>371</v>
      </c>
      <c r="D110" s="1373"/>
      <c r="E110" s="1373"/>
      <c r="F110" s="1373"/>
      <c r="G110" s="1373"/>
      <c r="H110" s="1373"/>
      <c r="I110" s="1373"/>
      <c r="J110" s="1373"/>
      <c r="K110" s="1373"/>
      <c r="L110" s="1374"/>
      <c r="N110" s="636" t="s">
        <v>89</v>
      </c>
      <c r="O110" s="114"/>
      <c r="R110" s="130">
        <v>1</v>
      </c>
      <c r="S110" s="430"/>
      <c r="AH110" s="120"/>
    </row>
    <row r="111" spans="1:34" ht="24" customHeight="1" thickBot="1" x14ac:dyDescent="0.45">
      <c r="B111" s="527" t="s">
        <v>176</v>
      </c>
      <c r="C111" s="29" t="s">
        <v>663</v>
      </c>
      <c r="D111" s="431"/>
      <c r="E111" s="431"/>
      <c r="F111" s="431"/>
      <c r="G111" s="431"/>
      <c r="H111" s="431"/>
      <c r="I111" s="14"/>
      <c r="J111" s="14"/>
      <c r="K111" s="14"/>
      <c r="L111" s="48"/>
      <c r="N111" s="473" t="s">
        <v>188</v>
      </c>
      <c r="O111" s="404"/>
      <c r="P111" s="14"/>
      <c r="Q111" s="14"/>
      <c r="R111" s="405">
        <v>1.5</v>
      </c>
      <c r="S111" s="430"/>
      <c r="AH111" s="120"/>
    </row>
    <row r="112" spans="1:34" ht="24" customHeight="1" thickBot="1" x14ac:dyDescent="0.35">
      <c r="B112" s="526" t="s">
        <v>206</v>
      </c>
      <c r="C112" s="1372" t="s">
        <v>462</v>
      </c>
      <c r="D112" s="1373"/>
      <c r="E112" s="1373"/>
      <c r="F112" s="1373"/>
      <c r="G112" s="1373"/>
      <c r="H112" s="1373"/>
      <c r="I112" s="1373"/>
      <c r="J112" s="1373"/>
      <c r="K112" s="1373"/>
      <c r="L112" s="1374"/>
      <c r="R112" s="38"/>
      <c r="T112" s="17"/>
      <c r="U112" s="17"/>
      <c r="AH112" s="120"/>
    </row>
    <row r="113" spans="2:36" ht="17.25" thickBot="1" x14ac:dyDescent="0.3">
      <c r="B113" s="528" t="s">
        <v>176</v>
      </c>
      <c r="C113" s="465" t="s">
        <v>661</v>
      </c>
      <c r="D113" s="431"/>
      <c r="E113" s="431"/>
      <c r="F113" s="431"/>
      <c r="G113" s="431"/>
      <c r="H113" s="431"/>
      <c r="I113" s="14"/>
      <c r="J113" s="407"/>
      <c r="K113" s="14"/>
      <c r="L113" s="48"/>
      <c r="M113" s="14"/>
      <c r="N113" s="14"/>
      <c r="O113" s="14"/>
      <c r="P113" s="14"/>
      <c r="Q113" s="14"/>
      <c r="R113" s="48"/>
      <c r="T113" s="17"/>
      <c r="U113" s="17"/>
      <c r="AH113" s="120"/>
    </row>
    <row r="114" spans="2:36" ht="21" customHeight="1" x14ac:dyDescent="0.3">
      <c r="B114" s="1250" t="s">
        <v>678</v>
      </c>
      <c r="C114" s="1251"/>
      <c r="D114" s="1251"/>
      <c r="E114" s="1251"/>
      <c r="F114" s="1251"/>
      <c r="G114" s="1251"/>
      <c r="H114" s="1251"/>
      <c r="I114" s="1251"/>
      <c r="J114" s="1251"/>
      <c r="K114" s="1251"/>
      <c r="L114" s="1251"/>
      <c r="M114" s="1251"/>
      <c r="N114" s="1251"/>
      <c r="O114" s="1251"/>
      <c r="P114" s="1251"/>
      <c r="Q114" s="1251"/>
      <c r="R114" s="1252"/>
      <c r="U114" s="129"/>
      <c r="V114" s="164"/>
      <c r="W114" s="164"/>
      <c r="X114" s="164"/>
      <c r="Y114" s="165"/>
      <c r="AA114" s="128"/>
      <c r="AB114" s="128"/>
      <c r="AD114" s="128"/>
      <c r="AE114" s="128"/>
      <c r="AF114" s="128"/>
      <c r="AG114" s="128"/>
      <c r="AH114" s="128"/>
      <c r="AI114" s="128"/>
      <c r="AJ114" s="128"/>
    </row>
    <row r="115" spans="2:36" ht="18.75" customHeight="1" x14ac:dyDescent="0.3">
      <c r="B115" s="1812" t="s">
        <v>10</v>
      </c>
      <c r="C115" s="1253"/>
      <c r="D115" s="1253"/>
      <c r="E115" s="1253"/>
      <c r="F115" s="1253"/>
      <c r="G115" s="1253"/>
      <c r="H115" s="1253"/>
      <c r="I115" s="1253"/>
      <c r="J115" s="1253"/>
      <c r="K115" s="1253"/>
      <c r="L115" s="1253"/>
      <c r="M115" s="1253"/>
      <c r="N115" s="1253"/>
      <c r="O115" s="1253"/>
      <c r="P115" s="1253"/>
      <c r="Q115" s="1253"/>
      <c r="R115" s="1813"/>
      <c r="U115" s="129"/>
      <c r="V115" s="164"/>
      <c r="W115" s="164"/>
      <c r="X115" s="164"/>
      <c r="Y115" s="154"/>
      <c r="AA115" s="128"/>
      <c r="AB115" s="128"/>
      <c r="AC115" s="166"/>
      <c r="AD115" s="128"/>
      <c r="AE115" s="128"/>
      <c r="AF115" s="128"/>
      <c r="AG115" s="128"/>
      <c r="AH115" s="128"/>
      <c r="AI115" s="128"/>
      <c r="AJ115" s="128"/>
    </row>
    <row r="116" spans="2:36" ht="20.25" customHeight="1" thickBot="1" x14ac:dyDescent="0.35">
      <c r="B116" s="383"/>
      <c r="C116" s="384"/>
      <c r="D116" s="384"/>
      <c r="E116" s="14"/>
      <c r="F116" s="384"/>
      <c r="G116" s="384"/>
      <c r="H116" s="136" t="s">
        <v>23</v>
      </c>
      <c r="I116" s="384"/>
      <c r="J116" s="384"/>
      <c r="K116" s="384"/>
      <c r="L116" s="384"/>
      <c r="M116" s="384"/>
      <c r="N116" s="384"/>
      <c r="O116" s="384"/>
      <c r="P116" s="384"/>
      <c r="Q116" s="384"/>
      <c r="R116" s="385"/>
      <c r="U116" s="152"/>
      <c r="AG116" s="128"/>
      <c r="AH116" s="128"/>
      <c r="AI116" s="128"/>
      <c r="AJ116" s="128"/>
    </row>
    <row r="117" spans="2:36" x14ac:dyDescent="0.2">
      <c r="G117" s="37"/>
      <c r="H117" s="37"/>
      <c r="I117" s="37"/>
      <c r="J117" s="37"/>
    </row>
    <row r="119" spans="2:36" ht="15" x14ac:dyDescent="0.25"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</sheetData>
  <mergeCells count="162">
    <mergeCell ref="F7:I7"/>
    <mergeCell ref="K7:L7"/>
    <mergeCell ref="B9:R10"/>
    <mergeCell ref="K11:N11"/>
    <mergeCell ref="O11:R11"/>
    <mergeCell ref="B12:R12"/>
    <mergeCell ref="B2:D2"/>
    <mergeCell ref="P2:R2"/>
    <mergeCell ref="B3:D3"/>
    <mergeCell ref="B4:D4"/>
    <mergeCell ref="B5:D5"/>
    <mergeCell ref="B6:D6"/>
    <mergeCell ref="M20:N20"/>
    <mergeCell ref="B21:C21"/>
    <mergeCell ref="E21:G21"/>
    <mergeCell ref="I21:K21"/>
    <mergeCell ref="M21:N21"/>
    <mergeCell ref="O21:R21"/>
    <mergeCell ref="B13:R13"/>
    <mergeCell ref="B14:R15"/>
    <mergeCell ref="B17:R17"/>
    <mergeCell ref="B19:C19"/>
    <mergeCell ref="E19:G19"/>
    <mergeCell ref="I19:K19"/>
    <mergeCell ref="O19:R20"/>
    <mergeCell ref="B20:C20"/>
    <mergeCell ref="E20:G20"/>
    <mergeCell ref="I20:K20"/>
    <mergeCell ref="O23:R23"/>
    <mergeCell ref="B24:C24"/>
    <mergeCell ref="E24:G24"/>
    <mergeCell ref="I24:K24"/>
    <mergeCell ref="O24:R24"/>
    <mergeCell ref="E25:G25"/>
    <mergeCell ref="I25:K25"/>
    <mergeCell ref="O25:R25"/>
    <mergeCell ref="B22:C22"/>
    <mergeCell ref="E22:G22"/>
    <mergeCell ref="I22:K22"/>
    <mergeCell ref="M22:N22"/>
    <mergeCell ref="B23:C23"/>
    <mergeCell ref="E23:G23"/>
    <mergeCell ref="I23:K23"/>
    <mergeCell ref="E28:G28"/>
    <mergeCell ref="I28:K28"/>
    <mergeCell ref="O28:R28"/>
    <mergeCell ref="O29:R29"/>
    <mergeCell ref="E30:G30"/>
    <mergeCell ref="I30:K30"/>
    <mergeCell ref="O30:R30"/>
    <mergeCell ref="E26:G26"/>
    <mergeCell ref="I26:K26"/>
    <mergeCell ref="O26:R26"/>
    <mergeCell ref="E27:G27"/>
    <mergeCell ref="I27:K27"/>
    <mergeCell ref="O27:R27"/>
    <mergeCell ref="E33:G33"/>
    <mergeCell ref="I33:K33"/>
    <mergeCell ref="O33:R33"/>
    <mergeCell ref="E34:G34"/>
    <mergeCell ref="I34:K34"/>
    <mergeCell ref="O34:R34"/>
    <mergeCell ref="E31:G31"/>
    <mergeCell ref="I31:K31"/>
    <mergeCell ref="O31:R31"/>
    <mergeCell ref="E32:G32"/>
    <mergeCell ref="I32:K32"/>
    <mergeCell ref="O32:R32"/>
    <mergeCell ref="E38:G38"/>
    <mergeCell ref="E39:G39"/>
    <mergeCell ref="O39:R40"/>
    <mergeCell ref="E40:G40"/>
    <mergeCell ref="E41:G41"/>
    <mergeCell ref="O41:R41"/>
    <mergeCell ref="E35:G35"/>
    <mergeCell ref="O35:R35"/>
    <mergeCell ref="E36:G36"/>
    <mergeCell ref="I36:K36"/>
    <mergeCell ref="O36:R36"/>
    <mergeCell ref="E37:G37"/>
    <mergeCell ref="I37:K37"/>
    <mergeCell ref="O37:R37"/>
    <mergeCell ref="E45:G45"/>
    <mergeCell ref="H45:I45"/>
    <mergeCell ref="J45:L45"/>
    <mergeCell ref="O45:R45"/>
    <mergeCell ref="E46:G46"/>
    <mergeCell ref="H46:I46"/>
    <mergeCell ref="J46:L46"/>
    <mergeCell ref="E42:G42"/>
    <mergeCell ref="E43:G43"/>
    <mergeCell ref="H43:L43"/>
    <mergeCell ref="O43:R43"/>
    <mergeCell ref="E44:G44"/>
    <mergeCell ref="H44:I44"/>
    <mergeCell ref="J44:L44"/>
    <mergeCell ref="O44:R44"/>
    <mergeCell ref="K50:L50"/>
    <mergeCell ref="K51:L51"/>
    <mergeCell ref="O51:R52"/>
    <mergeCell ref="B52:C53"/>
    <mergeCell ref="D52:F53"/>
    <mergeCell ref="K52:L52"/>
    <mergeCell ref="K53:L53"/>
    <mergeCell ref="O53:R53"/>
    <mergeCell ref="E47:G47"/>
    <mergeCell ref="H47:I47"/>
    <mergeCell ref="J47:L47"/>
    <mergeCell ref="O47:R47"/>
    <mergeCell ref="O48:R48"/>
    <mergeCell ref="B49:F49"/>
    <mergeCell ref="H49:I54"/>
    <mergeCell ref="K49:L49"/>
    <mergeCell ref="B50:C51"/>
    <mergeCell ref="D50:F51"/>
    <mergeCell ref="B60:K60"/>
    <mergeCell ref="O60:R60"/>
    <mergeCell ref="O71:R71"/>
    <mergeCell ref="O73:R73"/>
    <mergeCell ref="O74:R74"/>
    <mergeCell ref="O76:R76"/>
    <mergeCell ref="O55:R55"/>
    <mergeCell ref="B56:F57"/>
    <mergeCell ref="O57:R57"/>
    <mergeCell ref="B58:N58"/>
    <mergeCell ref="O58:R58"/>
    <mergeCell ref="B59:D59"/>
    <mergeCell ref="E59:G59"/>
    <mergeCell ref="H59:J59"/>
    <mergeCell ref="K59:N59"/>
    <mergeCell ref="B54:C55"/>
    <mergeCell ref="D54:F55"/>
    <mergeCell ref="K54:L54"/>
    <mergeCell ref="H55:I56"/>
    <mergeCell ref="J55:J56"/>
    <mergeCell ref="K55:L55"/>
    <mergeCell ref="O88:R88"/>
    <mergeCell ref="O89:R89"/>
    <mergeCell ref="O90:R90"/>
    <mergeCell ref="U91:W91"/>
    <mergeCell ref="O92:R92"/>
    <mergeCell ref="U92:W92"/>
    <mergeCell ref="O78:R79"/>
    <mergeCell ref="O81:R81"/>
    <mergeCell ref="O83:R83"/>
    <mergeCell ref="O84:R84"/>
    <mergeCell ref="O85:R85"/>
    <mergeCell ref="O86:R86"/>
    <mergeCell ref="B91:I91"/>
    <mergeCell ref="N108:R108"/>
    <mergeCell ref="B114:R114"/>
    <mergeCell ref="B115:R115"/>
    <mergeCell ref="U93:W93"/>
    <mergeCell ref="B106:I106"/>
    <mergeCell ref="C108:L108"/>
    <mergeCell ref="C110:L110"/>
    <mergeCell ref="C112:L112"/>
    <mergeCell ref="J97:M97"/>
    <mergeCell ref="J98:M98"/>
    <mergeCell ref="J99:M99"/>
    <mergeCell ref="J100:M100"/>
    <mergeCell ref="J101:M101"/>
  </mergeCells>
  <hyperlinks>
    <hyperlink ref="B6" r:id="rId1" xr:uid="{0AF93B0E-B198-404A-B24C-D312D78F956B}"/>
    <hyperlink ref="I19:K19" r:id="rId2" display="Click for Guideline" xr:uid="{34010EF4-EDCD-412E-B8D2-4303ADF2DC89}"/>
    <hyperlink ref="D29:G29" r:id="rId3" display="Click For Guideline" xr:uid="{DA5770D0-325A-444D-A050-F4992841381A}"/>
  </hyperlinks>
  <printOptions horizontalCentered="1" verticalCentered="1"/>
  <pageMargins left="0.1" right="0.1" top="0.1" bottom="0.1" header="0.1" footer="0.1"/>
  <pageSetup paperSize="5" scale="41" orientation="portrait" r:id="rId4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DC44-02CD-4CBA-B499-FBB155237058}">
  <sheetPr codeName="Sheet12">
    <pageSetUpPr fitToPage="1"/>
  </sheetPr>
  <dimension ref="A1:AF115"/>
  <sheetViews>
    <sheetView zoomScale="70" zoomScaleNormal="70" workbookViewId="0">
      <selection activeCell="L63" sqref="L63"/>
    </sheetView>
  </sheetViews>
  <sheetFormatPr defaultRowHeight="14.25" x14ac:dyDescent="0.2"/>
  <cols>
    <col min="1" max="1" width="9.140625" style="5"/>
    <col min="2" max="2" width="16.140625" style="5" customWidth="1"/>
    <col min="3" max="4" width="13.28515625" style="5" customWidth="1"/>
    <col min="5" max="5" width="13.42578125" style="5" customWidth="1"/>
    <col min="6" max="6" width="14" style="5" customWidth="1"/>
    <col min="7" max="7" width="13.42578125" style="5" customWidth="1"/>
    <col min="8" max="8" width="16" style="5" customWidth="1"/>
    <col min="9" max="9" width="14" style="5" customWidth="1"/>
    <col min="10" max="10" width="34.140625" style="5" customWidth="1"/>
    <col min="11" max="11" width="13.5703125" style="5" customWidth="1"/>
    <col min="12" max="12" width="13.140625" style="5" customWidth="1"/>
    <col min="13" max="13" width="12.42578125" style="5" customWidth="1"/>
    <col min="14" max="14" width="12.7109375" style="5" customWidth="1"/>
    <col min="15" max="15" width="11.28515625" style="5" customWidth="1"/>
    <col min="16" max="16" width="12.28515625" style="5" customWidth="1"/>
    <col min="17" max="17" width="9.140625" style="5"/>
    <col min="18" max="18" width="14.42578125" style="5" bestFit="1" customWidth="1"/>
    <col min="19" max="19" width="9.140625" style="5"/>
    <col min="20" max="22" width="10" style="5" bestFit="1" customWidth="1"/>
    <col min="23" max="24" width="9.28515625" style="5" bestFit="1" customWidth="1"/>
    <col min="25" max="16384" width="9.140625" style="5"/>
  </cols>
  <sheetData>
    <row r="1" spans="1:17" ht="15" customHeight="1" x14ac:dyDescent="0.25">
      <c r="P1" s="327" t="s">
        <v>727</v>
      </c>
    </row>
    <row r="2" spans="1:17" ht="18.75" customHeight="1" x14ac:dyDescent="0.25">
      <c r="A2" s="149"/>
      <c r="B2" s="1953" t="s">
        <v>0</v>
      </c>
      <c r="C2" s="1954"/>
      <c r="D2" s="1955"/>
      <c r="E2" s="27"/>
      <c r="F2" s="117"/>
      <c r="G2" s="27"/>
      <c r="H2" s="27"/>
      <c r="I2" s="27"/>
      <c r="J2" s="27"/>
      <c r="K2" s="27"/>
      <c r="L2" s="27"/>
      <c r="M2" s="27"/>
      <c r="N2" s="1964"/>
      <c r="O2" s="1965"/>
      <c r="P2" s="1966"/>
    </row>
    <row r="3" spans="1:17" ht="17.25" customHeight="1" x14ac:dyDescent="0.25">
      <c r="A3" s="149"/>
      <c r="B3" s="1272" t="s">
        <v>1</v>
      </c>
      <c r="C3" s="1273"/>
      <c r="D3" s="1274"/>
      <c r="E3" s="27"/>
      <c r="F3" s="27"/>
      <c r="G3" s="27"/>
      <c r="H3" s="27"/>
      <c r="I3" s="27"/>
      <c r="J3" s="27"/>
      <c r="K3" s="27"/>
      <c r="L3" s="27"/>
      <c r="M3" s="27"/>
      <c r="N3" s="309"/>
      <c r="O3" s="167"/>
      <c r="P3" s="310"/>
    </row>
    <row r="4" spans="1:17" ht="18.75" customHeight="1" x14ac:dyDescent="0.25">
      <c r="A4" s="149"/>
      <c r="B4" s="1272" t="s">
        <v>2</v>
      </c>
      <c r="C4" s="1273"/>
      <c r="D4" s="1274"/>
      <c r="E4" s="27"/>
      <c r="F4" s="27"/>
      <c r="G4" s="27"/>
      <c r="H4" s="27"/>
      <c r="I4" s="27"/>
      <c r="J4" s="27"/>
      <c r="K4" s="27"/>
      <c r="L4" s="27"/>
      <c r="M4" s="27"/>
      <c r="N4" s="309"/>
      <c r="O4" s="167"/>
      <c r="P4" s="310"/>
    </row>
    <row r="5" spans="1:17" ht="15" customHeight="1" x14ac:dyDescent="0.25">
      <c r="A5" s="149"/>
      <c r="B5" s="1272" t="s">
        <v>3</v>
      </c>
      <c r="C5" s="1273"/>
      <c r="D5" s="1274"/>
      <c r="E5" s="27"/>
      <c r="F5" s="27"/>
      <c r="G5" s="27"/>
      <c r="H5" s="27"/>
      <c r="I5" s="27"/>
      <c r="J5" s="27"/>
      <c r="K5" s="27"/>
      <c r="L5" s="27"/>
      <c r="M5" s="27"/>
      <c r="N5" s="309"/>
      <c r="O5" s="167"/>
      <c r="P5" s="310"/>
    </row>
    <row r="6" spans="1:17" ht="17.25" customHeight="1" x14ac:dyDescent="0.25">
      <c r="A6" s="149"/>
      <c r="B6" s="1266" t="s">
        <v>4</v>
      </c>
      <c r="C6" s="1585"/>
      <c r="D6" s="1586"/>
      <c r="E6" s="27"/>
      <c r="F6" s="27"/>
      <c r="G6" s="27"/>
      <c r="H6" s="27"/>
      <c r="I6" s="27"/>
      <c r="J6" s="27"/>
      <c r="K6" s="27"/>
      <c r="L6" s="27"/>
      <c r="M6" s="27"/>
      <c r="N6" s="311"/>
      <c r="O6" s="135"/>
      <c r="P6" s="312"/>
    </row>
    <row r="7" spans="1:17" ht="18.75" customHeight="1" thickBot="1" x14ac:dyDescent="0.3">
      <c r="B7" s="328"/>
      <c r="C7" s="328"/>
      <c r="D7" s="328"/>
      <c r="E7" s="27"/>
      <c r="F7" s="117" t="s">
        <v>5</v>
      </c>
      <c r="G7" s="117"/>
      <c r="H7" s="117"/>
      <c r="I7" s="117"/>
      <c r="J7" s="327" t="s">
        <v>6</v>
      </c>
      <c r="K7" s="315">
        <f>'3 SPRING SPECIAL_AAA_AAB'!M7</f>
        <v>45950</v>
      </c>
      <c r="L7" s="576" t="str">
        <f>'3 SPRING SPECIAL_AAA_AAB'!N7</f>
        <v>8:00 AM PST</v>
      </c>
      <c r="M7" s="27"/>
      <c r="N7" s="167"/>
      <c r="O7" s="167"/>
      <c r="P7" s="329"/>
    </row>
    <row r="8" spans="1:17" ht="12" customHeight="1" x14ac:dyDescent="0.2">
      <c r="B8" s="1579" t="s">
        <v>38</v>
      </c>
      <c r="C8" s="1580"/>
      <c r="D8" s="1580"/>
      <c r="E8" s="1580"/>
      <c r="F8" s="1580"/>
      <c r="G8" s="1580"/>
      <c r="H8" s="1580"/>
      <c r="I8" s="1580"/>
      <c r="J8" s="1580"/>
      <c r="K8" s="1580"/>
      <c r="L8" s="1580"/>
      <c r="M8" s="1580"/>
      <c r="N8" s="1580"/>
      <c r="O8" s="1580"/>
      <c r="P8" s="1581"/>
    </row>
    <row r="9" spans="1:17" ht="9" customHeight="1" thickBot="1" x14ac:dyDescent="0.25">
      <c r="B9" s="1582"/>
      <c r="C9" s="1583"/>
      <c r="D9" s="1583"/>
      <c r="E9" s="1583"/>
      <c r="F9" s="1583"/>
      <c r="G9" s="1583"/>
      <c r="H9" s="1583"/>
      <c r="I9" s="1583"/>
      <c r="J9" s="1583"/>
      <c r="K9" s="1583"/>
      <c r="L9" s="1583"/>
      <c r="M9" s="1583"/>
      <c r="N9" s="1583"/>
      <c r="O9" s="1583"/>
      <c r="P9" s="1584"/>
    </row>
    <row r="10" spans="1:17" ht="21" customHeight="1" thickBot="1" x14ac:dyDescent="0.3">
      <c r="B10" s="1959" t="s">
        <v>8</v>
      </c>
      <c r="C10" s="1960"/>
      <c r="D10" s="330" t="s">
        <v>351</v>
      </c>
      <c r="E10" s="331"/>
      <c r="F10" s="331"/>
      <c r="G10" s="264"/>
      <c r="H10" s="581" t="s">
        <v>353</v>
      </c>
      <c r="I10" s="581"/>
      <c r="J10" s="580" t="s">
        <v>352</v>
      </c>
      <c r="L10" s="1534" t="s">
        <v>626</v>
      </c>
      <c r="M10" s="1534"/>
      <c r="N10" s="1534"/>
      <c r="O10" s="1534"/>
      <c r="P10" s="1535"/>
      <c r="Q10" s="23"/>
    </row>
    <row r="11" spans="1:17" ht="4.5" customHeight="1" thickBot="1" x14ac:dyDescent="0.25">
      <c r="B11" s="81"/>
      <c r="C11" s="796"/>
      <c r="D11" s="141"/>
      <c r="E11" s="142"/>
      <c r="F11" s="142"/>
      <c r="H11" s="797"/>
      <c r="I11" s="797"/>
      <c r="J11" s="797"/>
      <c r="K11" s="582"/>
      <c r="L11" s="797"/>
      <c r="M11" s="797"/>
      <c r="N11" s="82"/>
      <c r="O11" s="82"/>
      <c r="P11" s="83"/>
      <c r="Q11" s="23"/>
    </row>
    <row r="12" spans="1:17" ht="24.75" customHeight="1" x14ac:dyDescent="0.2">
      <c r="B12" s="1579" t="s">
        <v>11</v>
      </c>
      <c r="C12" s="1580"/>
      <c r="D12" s="1580"/>
      <c r="E12" s="1580"/>
      <c r="F12" s="1580"/>
      <c r="G12" s="1580"/>
      <c r="H12" s="1580"/>
      <c r="I12" s="1580"/>
      <c r="J12" s="1580"/>
      <c r="K12" s="1580"/>
      <c r="L12" s="1580"/>
      <c r="M12" s="1580"/>
      <c r="N12" s="1580"/>
      <c r="O12" s="1580"/>
      <c r="P12" s="1581"/>
    </row>
    <row r="13" spans="1:17" ht="14.25" customHeight="1" x14ac:dyDescent="0.2">
      <c r="B13" s="1961"/>
      <c r="C13" s="1962"/>
      <c r="D13" s="1962"/>
      <c r="E13" s="1962"/>
      <c r="F13" s="1962"/>
      <c r="G13" s="1962"/>
      <c r="H13" s="1962"/>
      <c r="I13" s="1962"/>
      <c r="J13" s="1962"/>
      <c r="K13" s="1962"/>
      <c r="L13" s="1962"/>
      <c r="M13" s="1962"/>
      <c r="N13" s="1962"/>
      <c r="O13" s="1962"/>
      <c r="P13" s="1963"/>
    </row>
    <row r="14" spans="1:17" ht="7.5" customHeight="1" x14ac:dyDescent="0.2">
      <c r="B14" s="1961"/>
      <c r="C14" s="1962"/>
      <c r="D14" s="1962"/>
      <c r="E14" s="1962"/>
      <c r="F14" s="1962"/>
      <c r="G14" s="1962"/>
      <c r="H14" s="1962"/>
      <c r="I14" s="1962"/>
      <c r="J14" s="1962"/>
      <c r="K14" s="1962"/>
      <c r="L14" s="1962"/>
      <c r="M14" s="1962"/>
      <c r="N14" s="1962"/>
      <c r="O14" s="1962"/>
      <c r="P14" s="1963"/>
    </row>
    <row r="15" spans="1:17" ht="3" customHeight="1" thickBot="1" x14ac:dyDescent="0.3">
      <c r="B15" s="84"/>
      <c r="C15" s="798"/>
      <c r="D15" s="798"/>
      <c r="E15" s="798"/>
      <c r="F15" s="798"/>
      <c r="G15" s="798"/>
      <c r="H15" s="798"/>
      <c r="I15" s="798"/>
      <c r="J15" s="798"/>
      <c r="K15" s="798"/>
      <c r="L15" s="798"/>
      <c r="M15" s="798"/>
      <c r="N15" s="798"/>
      <c r="O15" s="798"/>
      <c r="P15" s="85"/>
    </row>
    <row r="16" spans="1:17" ht="25.5" customHeight="1" x14ac:dyDescent="0.2">
      <c r="B16" s="1956" t="s">
        <v>181</v>
      </c>
      <c r="C16" s="1957"/>
      <c r="D16" s="1957"/>
      <c r="E16" s="1957"/>
      <c r="F16" s="1957"/>
      <c r="G16" s="1957"/>
      <c r="H16" s="1957"/>
      <c r="I16" s="1957"/>
      <c r="J16" s="1957"/>
      <c r="K16" s="1957"/>
      <c r="L16" s="1957"/>
      <c r="M16" s="1957"/>
      <c r="N16" s="1957"/>
      <c r="O16" s="1957"/>
      <c r="P16" s="1958"/>
    </row>
    <row r="17" spans="2:25" ht="2.25" customHeight="1" x14ac:dyDescent="0.2">
      <c r="B17" s="1122"/>
      <c r="C17" s="799"/>
      <c r="D17" s="1123"/>
      <c r="E17" s="799"/>
      <c r="F17" s="1123"/>
      <c r="G17" s="1123"/>
      <c r="H17" s="1123"/>
      <c r="I17" s="1123"/>
      <c r="J17" s="1123"/>
      <c r="K17" s="1123"/>
      <c r="L17" s="1123"/>
      <c r="M17" s="1123"/>
      <c r="N17" s="1123"/>
      <c r="O17" s="1123"/>
      <c r="P17" s="1124"/>
    </row>
    <row r="18" spans="2:25" ht="8.25" customHeight="1" thickBot="1" x14ac:dyDescent="0.25">
      <c r="B18" s="95"/>
      <c r="P18" s="38"/>
    </row>
    <row r="19" spans="2:25" ht="24.75" customHeight="1" thickBot="1" x14ac:dyDescent="0.25">
      <c r="B19" s="1927" t="s">
        <v>250</v>
      </c>
      <c r="C19" s="1928"/>
      <c r="D19" s="1928"/>
      <c r="E19" s="1928"/>
      <c r="F19" s="1928"/>
      <c r="G19" s="1928"/>
      <c r="H19" s="1928"/>
      <c r="I19" s="1928"/>
      <c r="J19" s="1928"/>
      <c r="K19" s="1928"/>
      <c r="L19" s="1928"/>
      <c r="M19" s="1928"/>
      <c r="N19" s="1928"/>
      <c r="O19" s="1928"/>
      <c r="P19" s="1929"/>
    </row>
    <row r="20" spans="2:25" ht="25.5" customHeight="1" thickBot="1" x14ac:dyDescent="0.25">
      <c r="B20" s="2002" t="s">
        <v>380</v>
      </c>
      <c r="C20" s="2003"/>
      <c r="D20" s="2003"/>
      <c r="E20" s="2003"/>
      <c r="F20" s="2003"/>
      <c r="G20" s="2003"/>
      <c r="H20" s="2003"/>
      <c r="I20" s="2003"/>
      <c r="J20" s="2003"/>
      <c r="K20" s="2003"/>
      <c r="L20" s="2003"/>
      <c r="M20" s="2003"/>
      <c r="N20" s="2003"/>
      <c r="O20" s="2003"/>
      <c r="P20" s="2004"/>
    </row>
    <row r="21" spans="2:25" ht="21" customHeight="1" x14ac:dyDescent="0.2">
      <c r="B21" s="1787" t="s">
        <v>381</v>
      </c>
      <c r="C21" s="1967"/>
      <c r="E21" s="1787" t="s">
        <v>389</v>
      </c>
      <c r="F21" s="1967"/>
      <c r="G21" s="990"/>
      <c r="H21" s="2005" t="s">
        <v>41</v>
      </c>
      <c r="I21" s="2006"/>
      <c r="J21" s="2007"/>
      <c r="K21" s="1579" t="s">
        <v>336</v>
      </c>
      <c r="L21" s="1580"/>
      <c r="M21" s="1580"/>
      <c r="N21" s="1580"/>
      <c r="O21" s="1580"/>
      <c r="P21" s="1581"/>
    </row>
    <row r="22" spans="2:25" ht="21" customHeight="1" thickBot="1" x14ac:dyDescent="0.25">
      <c r="B22" s="1789" t="s">
        <v>382</v>
      </c>
      <c r="C22" s="2021"/>
      <c r="E22" s="1968" t="s">
        <v>382</v>
      </c>
      <c r="F22" s="1969"/>
      <c r="G22" s="990"/>
      <c r="H22" s="2022"/>
      <c r="I22" s="2023"/>
      <c r="J22" s="2024"/>
      <c r="K22" s="1582"/>
      <c r="L22" s="1583"/>
      <c r="M22" s="1583"/>
      <c r="N22" s="1583"/>
      <c r="O22" s="1583"/>
      <c r="P22" s="1584"/>
    </row>
    <row r="23" spans="2:25" ht="21" customHeight="1" x14ac:dyDescent="0.3">
      <c r="B23" s="189" t="s">
        <v>14</v>
      </c>
      <c r="C23" s="386" t="s">
        <v>670</v>
      </c>
      <c r="E23" s="199" t="s">
        <v>14</v>
      </c>
      <c r="F23" s="993" t="s">
        <v>670</v>
      </c>
      <c r="G23" s="991"/>
      <c r="H23" s="476" t="s">
        <v>469</v>
      </c>
      <c r="I23" s="695"/>
      <c r="J23" s="736">
        <v>-3</v>
      </c>
      <c r="K23" s="955" t="s">
        <v>463</v>
      </c>
      <c r="L23" s="992" t="s">
        <v>465</v>
      </c>
      <c r="M23" s="992"/>
      <c r="N23" s="992"/>
      <c r="O23" s="992"/>
      <c r="P23" s="956"/>
      <c r="Y23" s="89"/>
    </row>
    <row r="24" spans="2:25" ht="21" customHeight="1" x14ac:dyDescent="0.3">
      <c r="B24" s="104">
        <v>5.75</v>
      </c>
      <c r="C24" s="94">
        <f>100-VLOOKUP(B24,'[1]Pricing '!$A$1943:$K$1972,11,FALSE)-0.375</f>
        <v>5.9399999999999977</v>
      </c>
      <c r="E24" s="104">
        <f>B24</f>
        <v>5.75</v>
      </c>
      <c r="F24" s="94">
        <f>100-VLOOKUP(E24,'[1]Pricing '!$A$1943:$K$1972,11,FALSE)-0.375</f>
        <v>5.9399999999999977</v>
      </c>
      <c r="G24" s="93"/>
      <c r="H24" s="104" t="s">
        <v>470</v>
      </c>
      <c r="I24" s="223"/>
      <c r="J24" s="305">
        <v>-2.75</v>
      </c>
      <c r="K24" s="955" t="s">
        <v>464</v>
      </c>
      <c r="L24" s="992" t="s">
        <v>466</v>
      </c>
      <c r="M24" s="992"/>
      <c r="N24" s="992"/>
      <c r="O24" s="992"/>
      <c r="P24" s="956"/>
      <c r="Y24" s="89"/>
    </row>
    <row r="25" spans="2:25" ht="21" customHeight="1" x14ac:dyDescent="0.3">
      <c r="B25" s="104">
        <f>B24+0.125</f>
        <v>5.875</v>
      </c>
      <c r="C25" s="94">
        <f>100-VLOOKUP(B25,'[1]Pricing '!$A$1943:$K$1972,11,FALSE)-0.375</f>
        <v>5.3149999999999977</v>
      </c>
      <c r="E25" s="104">
        <f>B25</f>
        <v>5.875</v>
      </c>
      <c r="F25" s="94">
        <f>100-VLOOKUP(E25,'[1]Pricing '!$A$1943:$K$1972,11,FALSE)-0.375</f>
        <v>5.3149999999999977</v>
      </c>
      <c r="G25" s="93"/>
      <c r="H25" s="104" t="s">
        <v>471</v>
      </c>
      <c r="I25" s="223"/>
      <c r="J25" s="305">
        <v>-2.75</v>
      </c>
      <c r="K25" s="955" t="s">
        <v>188</v>
      </c>
      <c r="L25" s="992" t="s">
        <v>189</v>
      </c>
      <c r="M25" s="992"/>
      <c r="N25" s="992"/>
      <c r="O25" s="992"/>
      <c r="P25" s="956"/>
      <c r="Y25" s="89"/>
    </row>
    <row r="26" spans="2:25" ht="21" customHeight="1" x14ac:dyDescent="0.3">
      <c r="B26" s="104">
        <f t="shared" ref="B26:B44" si="0">B25+0.125</f>
        <v>6</v>
      </c>
      <c r="C26" s="94">
        <f>100-VLOOKUP(B26,'[1]Pricing '!$A$1943:$K$1972,11,FALSE)-0.375</f>
        <v>4.6899999999999977</v>
      </c>
      <c r="E26" s="104">
        <f t="shared" ref="E26:E44" si="1">E25+0.125</f>
        <v>6</v>
      </c>
      <c r="F26" s="94">
        <f>100-VLOOKUP(E26,'[1]Pricing '!$A$1943:$K$1972,11,FALSE)-0.375</f>
        <v>4.6899999999999977</v>
      </c>
      <c r="G26" s="93"/>
      <c r="H26" s="104" t="s">
        <v>668</v>
      </c>
      <c r="I26" s="223"/>
      <c r="J26" s="305">
        <v>-2.25</v>
      </c>
      <c r="K26" s="955" t="s">
        <v>89</v>
      </c>
      <c r="L26" s="992" t="s">
        <v>191</v>
      </c>
      <c r="M26" s="992"/>
      <c r="N26" s="992"/>
      <c r="O26" s="992"/>
      <c r="P26" s="956"/>
      <c r="R26" s="483"/>
      <c r="Y26" s="89"/>
    </row>
    <row r="27" spans="2:25" ht="21" customHeight="1" x14ac:dyDescent="0.25">
      <c r="B27" s="104">
        <f t="shared" si="0"/>
        <v>6.125</v>
      </c>
      <c r="C27" s="94">
        <f>100-VLOOKUP(B27,'[1]Pricing '!$A$1943:$K$1972,11,FALSE)-0.375</f>
        <v>4.1899999999999977</v>
      </c>
      <c r="E27" s="104">
        <f t="shared" si="1"/>
        <v>6.125</v>
      </c>
      <c r="F27" s="94">
        <f>100-VLOOKUP(E27,'[1]Pricing '!$A$1943:$K$1972,11,FALSE)-0.375</f>
        <v>4.1899999999999977</v>
      </c>
      <c r="G27" s="93"/>
      <c r="H27" s="104" t="s">
        <v>202</v>
      </c>
      <c r="I27" s="223"/>
      <c r="J27" s="305">
        <v>-1.75</v>
      </c>
      <c r="K27" s="955" t="s">
        <v>88</v>
      </c>
      <c r="L27" s="992" t="s">
        <v>193</v>
      </c>
      <c r="M27" s="992"/>
      <c r="N27" s="992"/>
      <c r="O27" s="992"/>
      <c r="P27" s="956"/>
      <c r="T27" s="972"/>
      <c r="U27" s="960"/>
      <c r="V27" s="960"/>
      <c r="W27" s="960"/>
      <c r="X27" s="960"/>
      <c r="Y27" s="960"/>
    </row>
    <row r="28" spans="2:25" ht="21" customHeight="1" thickBot="1" x14ac:dyDescent="0.3">
      <c r="B28" s="104">
        <f t="shared" si="0"/>
        <v>6.25</v>
      </c>
      <c r="C28" s="94">
        <f>100-VLOOKUP(B28,'[1]Pricing '!$A$1943:$K$1972,11,FALSE)-0.375</f>
        <v>3.6899999999999977</v>
      </c>
      <c r="E28" s="104">
        <f t="shared" si="1"/>
        <v>6.25</v>
      </c>
      <c r="F28" s="94">
        <f>100-VLOOKUP(E28,'[1]Pricing '!$A$1943:$K$1972,11,FALSE)-0.375</f>
        <v>3.6899999999999977</v>
      </c>
      <c r="G28" s="93"/>
      <c r="H28" s="388" t="s">
        <v>669</v>
      </c>
      <c r="I28" s="772"/>
      <c r="J28" s="346">
        <v>-1</v>
      </c>
      <c r="K28" s="957" t="s">
        <v>195</v>
      </c>
      <c r="L28" s="958" t="s">
        <v>196</v>
      </c>
      <c r="M28" s="958"/>
      <c r="N28" s="958"/>
      <c r="O28" s="958"/>
      <c r="P28" s="959"/>
      <c r="T28" s="973"/>
      <c r="U28" s="1995"/>
      <c r="V28" s="1995"/>
      <c r="W28" s="1995"/>
      <c r="X28" s="1995"/>
      <c r="Y28" s="1995"/>
    </row>
    <row r="29" spans="2:25" ht="21" customHeight="1" thickBot="1" x14ac:dyDescent="0.35">
      <c r="B29" s="104">
        <f t="shared" si="0"/>
        <v>6.375</v>
      </c>
      <c r="C29" s="94">
        <f>100-VLOOKUP(B29,'[1]Pricing '!$A$1943:$K$1972,11,FALSE)-0.375</f>
        <v>3.1899999999999977</v>
      </c>
      <c r="E29" s="104">
        <f t="shared" si="1"/>
        <v>6.375</v>
      </c>
      <c r="F29" s="94">
        <f>100-VLOOKUP(E29,'[1]Pricing '!$A$1943:$K$1972,11,FALSE)-0.375</f>
        <v>3.1899999999999977</v>
      </c>
      <c r="G29" s="93"/>
      <c r="P29" s="38"/>
      <c r="Y29" s="89"/>
    </row>
    <row r="30" spans="2:25" ht="21" customHeight="1" x14ac:dyDescent="0.3">
      <c r="B30" s="104">
        <f t="shared" si="0"/>
        <v>6.5</v>
      </c>
      <c r="C30" s="94">
        <f>100-VLOOKUP(B30,'[1]Pricing '!$A$1943:$K$1972,11,FALSE)-0.375</f>
        <v>2.8149999999999977</v>
      </c>
      <c r="E30" s="104">
        <f t="shared" si="1"/>
        <v>6.5</v>
      </c>
      <c r="F30" s="94">
        <f>100-VLOOKUP(E30,'[1]Pricing '!$A$1943:$K$1972,11,FALSE)-0.375</f>
        <v>2.8149999999999977</v>
      </c>
      <c r="G30" s="93"/>
      <c r="H30" s="2005" t="s">
        <v>659</v>
      </c>
      <c r="I30" s="2006"/>
      <c r="J30" s="2007"/>
      <c r="K30" s="1579" t="s">
        <v>29</v>
      </c>
      <c r="L30" s="1580"/>
      <c r="M30" s="1580"/>
      <c r="N30" s="1580"/>
      <c r="O30" s="1580"/>
      <c r="P30" s="1581"/>
      <c r="T30" s="20"/>
      <c r="X30" s="88"/>
      <c r="Y30" s="24"/>
    </row>
    <row r="31" spans="2:25" ht="21" customHeight="1" thickBot="1" x14ac:dyDescent="0.35">
      <c r="B31" s="104">
        <f t="shared" si="0"/>
        <v>6.625</v>
      </c>
      <c r="C31" s="94">
        <f>100-VLOOKUP(B31,'[1]Pricing '!$A$1943:$K$1972,11,FALSE)-0.375</f>
        <v>2.4399999999999977</v>
      </c>
      <c r="E31" s="104">
        <f t="shared" si="1"/>
        <v>6.625</v>
      </c>
      <c r="F31" s="94">
        <f>100-VLOOKUP(E31,'[1]Pricing '!$A$1943:$K$1972,11,FALSE)-0.375</f>
        <v>2.4399999999999977</v>
      </c>
      <c r="G31" s="93"/>
      <c r="H31" s="2008"/>
      <c r="I31" s="2009"/>
      <c r="J31" s="2010"/>
      <c r="K31" s="1582"/>
      <c r="L31" s="1583"/>
      <c r="M31" s="1583"/>
      <c r="N31" s="1583"/>
      <c r="O31" s="1583"/>
      <c r="P31" s="1584"/>
      <c r="S31" s="17"/>
      <c r="T31" s="89"/>
    </row>
    <row r="32" spans="2:25" ht="21" customHeight="1" x14ac:dyDescent="0.3">
      <c r="B32" s="104">
        <f t="shared" si="0"/>
        <v>6.75</v>
      </c>
      <c r="C32" s="94">
        <f>100-VLOOKUP(B32,'[1]Pricing '!$A$1943:$K$1972,11,FALSE)-0.375</f>
        <v>2.0649999999999977</v>
      </c>
      <c r="E32" s="104">
        <f t="shared" si="1"/>
        <v>6.75</v>
      </c>
      <c r="F32" s="94">
        <f>100-VLOOKUP(E32,'[1]Pricing '!$A$1943:$K$1972,11,FALSE)-0.375</f>
        <v>2.0649999999999977</v>
      </c>
      <c r="G32" s="93"/>
      <c r="H32" s="104" t="s">
        <v>471</v>
      </c>
      <c r="I32" s="223"/>
      <c r="J32" s="132" t="s">
        <v>576</v>
      </c>
      <c r="K32" s="2017" t="s">
        <v>31</v>
      </c>
      <c r="L32" s="2018"/>
      <c r="M32" s="2018"/>
      <c r="N32" s="2019">
        <v>0.04</v>
      </c>
      <c r="O32" s="2019"/>
      <c r="P32" s="2020"/>
      <c r="S32" s="17"/>
      <c r="T32" s="24"/>
    </row>
    <row r="33" spans="2:25" ht="21" customHeight="1" x14ac:dyDescent="0.25">
      <c r="B33" s="104">
        <f t="shared" si="0"/>
        <v>6.875</v>
      </c>
      <c r="C33" s="94">
        <f>100-VLOOKUP(B33,'[1]Pricing '!$A$1943:$K$1972,11,FALSE)-0.375</f>
        <v>1.6899999999999977</v>
      </c>
      <c r="E33" s="104">
        <f t="shared" si="1"/>
        <v>6.875</v>
      </c>
      <c r="F33" s="94">
        <f>100-VLOOKUP(E33,'[1]Pricing '!$A$1943:$K$1972,11,FALSE)-0.375</f>
        <v>1.6899999999999977</v>
      </c>
      <c r="G33" s="93"/>
      <c r="H33" s="104" t="s">
        <v>470</v>
      </c>
      <c r="I33" s="223"/>
      <c r="J33" s="305">
        <v>-0.25</v>
      </c>
      <c r="K33" s="1909" t="s">
        <v>254</v>
      </c>
      <c r="L33" s="1910"/>
      <c r="M33" s="1910"/>
      <c r="N33" s="2025">
        <f>AAA_AAI_AAQ_AAO!D52</f>
        <v>3.6719000000000002E-2</v>
      </c>
      <c r="O33" s="2025"/>
      <c r="P33" s="2026"/>
      <c r="S33" s="17"/>
    </row>
    <row r="34" spans="2:25" ht="21" customHeight="1" x14ac:dyDescent="0.3">
      <c r="B34" s="104">
        <f t="shared" si="0"/>
        <v>7</v>
      </c>
      <c r="C34" s="94">
        <f>100-VLOOKUP(B34,'[1]Pricing '!$A$1943:$K$1972,11,FALSE)-0.375</f>
        <v>1.3149999999999977</v>
      </c>
      <c r="E34" s="104">
        <f t="shared" si="1"/>
        <v>7</v>
      </c>
      <c r="F34" s="94">
        <f>100-VLOOKUP(E34,'[1]Pricing '!$A$1943:$K$1972,11,FALSE)-0.375</f>
        <v>1.3149999999999977</v>
      </c>
      <c r="G34" s="93"/>
      <c r="H34" s="104" t="s">
        <v>469</v>
      </c>
      <c r="I34" s="223"/>
      <c r="J34" s="305">
        <v>-0.5</v>
      </c>
      <c r="K34" s="1309" t="s">
        <v>184</v>
      </c>
      <c r="L34" s="1315"/>
      <c r="M34" s="1315"/>
      <c r="N34" s="1315"/>
      <c r="O34" s="1315"/>
      <c r="P34" s="1310"/>
      <c r="S34" s="17"/>
      <c r="T34" s="24"/>
      <c r="W34" s="88"/>
    </row>
    <row r="35" spans="2:25" ht="21" customHeight="1" thickBot="1" x14ac:dyDescent="0.35">
      <c r="B35" s="104">
        <f t="shared" si="0"/>
        <v>7.125</v>
      </c>
      <c r="C35" s="94">
        <f>100-VLOOKUP(B35,'[1]Pricing '!$A$1943:$K$1972,11,FALSE)-0.375</f>
        <v>0.93999999999999773</v>
      </c>
      <c r="E35" s="104">
        <f t="shared" si="1"/>
        <v>7.125</v>
      </c>
      <c r="F35" s="94">
        <f>100-VLOOKUP(E35,'[1]Pricing '!$A$1943:$K$1972,11,FALSE)-0.375</f>
        <v>0.93999999999999773</v>
      </c>
      <c r="G35" s="93"/>
      <c r="H35" s="987"/>
      <c r="I35" s="988"/>
      <c r="J35" s="950"/>
      <c r="K35" s="1323" t="s">
        <v>185</v>
      </c>
      <c r="L35" s="1324"/>
      <c r="M35" s="1324"/>
      <c r="N35" s="1324"/>
      <c r="O35" s="1324"/>
      <c r="P35" s="1325"/>
      <c r="S35" s="17"/>
      <c r="T35" s="24"/>
      <c r="U35" s="1908"/>
      <c r="W35" s="88"/>
    </row>
    <row r="36" spans="2:25" ht="21" customHeight="1" thickBot="1" x14ac:dyDescent="0.3">
      <c r="B36" s="104">
        <f t="shared" si="0"/>
        <v>7.25</v>
      </c>
      <c r="C36" s="94">
        <f>100-VLOOKUP(B36,'[1]Pricing '!$A$1943:$K$1972,11,FALSE)-0.375</f>
        <v>0.56499999999999773</v>
      </c>
      <c r="E36" s="104">
        <f t="shared" si="1"/>
        <v>7.25</v>
      </c>
      <c r="F36" s="94">
        <f>100-VLOOKUP(E36,'[1]Pricing '!$A$1943:$K$1972,11,FALSE)-0.375</f>
        <v>0.56499999999999773</v>
      </c>
      <c r="P36" s="38"/>
      <c r="S36" s="17"/>
      <c r="U36" s="1908"/>
      <c r="W36" s="88"/>
    </row>
    <row r="37" spans="2:25" ht="21" customHeight="1" thickBot="1" x14ac:dyDescent="0.35">
      <c r="B37" s="104">
        <f t="shared" si="0"/>
        <v>7.375</v>
      </c>
      <c r="C37" s="94">
        <f>100-VLOOKUP(B37,'[1]Pricing '!$A$1943:$K$1972,11,FALSE)-0.375</f>
        <v>0.18999999999999773</v>
      </c>
      <c r="E37" s="104">
        <f t="shared" si="1"/>
        <v>7.375</v>
      </c>
      <c r="F37" s="94">
        <f>100-VLOOKUP(E37,'[1]Pricing '!$A$1943:$K$1972,11,FALSE)-0.375</f>
        <v>0.18999999999999773</v>
      </c>
      <c r="G37" s="1165"/>
      <c r="H37" s="1166"/>
      <c r="I37" s="1166"/>
      <c r="J37" s="1167"/>
      <c r="K37" s="1930" t="s">
        <v>337</v>
      </c>
      <c r="L37" s="1930"/>
      <c r="M37" s="1930"/>
      <c r="N37" s="1930"/>
      <c r="O37" s="1930"/>
      <c r="P37" s="1931"/>
      <c r="S37" s="17"/>
      <c r="T37" s="24"/>
      <c r="U37" s="144"/>
      <c r="W37" s="88"/>
    </row>
    <row r="38" spans="2:25" ht="21" customHeight="1" x14ac:dyDescent="0.55000000000000004">
      <c r="B38" s="104">
        <f t="shared" si="0"/>
        <v>7.5</v>
      </c>
      <c r="C38" s="94">
        <f>100-VLOOKUP(B38,'[1]Pricing '!$A$1943:$K$1972,11,FALSE)-0.375</f>
        <v>-0.16200000000000614</v>
      </c>
      <c r="E38" s="104">
        <f t="shared" si="1"/>
        <v>7.5</v>
      </c>
      <c r="F38" s="94">
        <f>100-VLOOKUP(E38,'[1]Pricing '!$A$1943:$K$1972,11,FALSE)-0.375</f>
        <v>-0.16200000000000614</v>
      </c>
      <c r="G38" s="95"/>
      <c r="H38" s="1168"/>
      <c r="I38" s="1168"/>
      <c r="J38" s="1169"/>
      <c r="K38" s="989" t="s">
        <v>208</v>
      </c>
      <c r="L38" s="989"/>
      <c r="M38" s="989"/>
      <c r="N38" s="989"/>
      <c r="O38" s="989"/>
      <c r="P38" s="952"/>
      <c r="S38" s="17"/>
      <c r="T38" s="24"/>
      <c r="U38" s="332"/>
      <c r="W38" s="88"/>
    </row>
    <row r="39" spans="2:25" ht="21" customHeight="1" x14ac:dyDescent="0.25">
      <c r="B39" s="104">
        <f t="shared" si="0"/>
        <v>7.625</v>
      </c>
      <c r="C39" s="94">
        <f>100-VLOOKUP(B39,'[1]Pricing '!$A$1943:$K$1972,11,FALSE)-0.375</f>
        <v>-0.49000000000000909</v>
      </c>
      <c r="E39" s="104">
        <f t="shared" si="1"/>
        <v>7.625</v>
      </c>
      <c r="F39" s="94">
        <f>100-VLOOKUP(E39,'[1]Pricing '!$A$1943:$K$1972,11,FALSE)-0.375</f>
        <v>-0.49000000000000909</v>
      </c>
      <c r="G39" s="2014"/>
      <c r="H39" s="2015"/>
      <c r="I39" s="2015"/>
      <c r="J39" s="2016"/>
      <c r="K39" s="989" t="s">
        <v>210</v>
      </c>
      <c r="L39" s="989"/>
      <c r="M39" s="989"/>
      <c r="N39" s="989"/>
      <c r="O39" s="989"/>
      <c r="P39" s="952"/>
      <c r="S39" s="17"/>
      <c r="U39" s="144"/>
      <c r="W39" s="88"/>
    </row>
    <row r="40" spans="2:25" ht="21" customHeight="1" x14ac:dyDescent="0.25">
      <c r="B40" s="104">
        <f t="shared" si="0"/>
        <v>7.75</v>
      </c>
      <c r="C40" s="94">
        <f>100-VLOOKUP(B40,'[1]Pricing '!$A$1943:$K$1972,11,FALSE)-0.375</f>
        <v>-0.79399999999999693</v>
      </c>
      <c r="E40" s="104">
        <f t="shared" si="1"/>
        <v>7.75</v>
      </c>
      <c r="F40" s="94">
        <f>100-VLOOKUP(E40,'[1]Pricing '!$A$1943:$K$1972,11,FALSE)-0.375</f>
        <v>-0.79399999999999693</v>
      </c>
      <c r="G40" s="2011"/>
      <c r="H40" s="2012"/>
      <c r="I40" s="2012"/>
      <c r="J40" s="2013"/>
      <c r="K40" s="989" t="s">
        <v>212</v>
      </c>
      <c r="L40" s="989"/>
      <c r="M40" s="989"/>
      <c r="N40" s="989"/>
      <c r="O40" s="989"/>
      <c r="P40" s="952"/>
      <c r="S40" s="17"/>
      <c r="U40" s="333"/>
      <c r="W40" s="88"/>
      <c r="X40" s="18"/>
      <c r="Y40" s="18"/>
    </row>
    <row r="41" spans="2:25" ht="21" customHeight="1" x14ac:dyDescent="0.25">
      <c r="B41" s="104">
        <f t="shared" si="0"/>
        <v>7.875</v>
      </c>
      <c r="C41" s="94">
        <f>100-VLOOKUP(B41,'[1]Pricing '!$A$1943:$K$1972,11,FALSE)-0.375</f>
        <v>-1.0760000000000076</v>
      </c>
      <c r="E41" s="104">
        <f t="shared" si="1"/>
        <v>7.875</v>
      </c>
      <c r="F41" s="94">
        <f>100-VLOOKUP(E41,'[1]Pricing '!$A$1943:$K$1972,11,FALSE)-0.375</f>
        <v>-1.0760000000000076</v>
      </c>
      <c r="G41" s="1911"/>
      <c r="H41" s="1912"/>
      <c r="I41" s="1912"/>
      <c r="J41" s="1913"/>
      <c r="K41" s="989" t="s">
        <v>214</v>
      </c>
      <c r="L41" s="989"/>
      <c r="M41" s="989"/>
      <c r="N41" s="989"/>
      <c r="O41" s="989"/>
      <c r="P41" s="952"/>
      <c r="S41" s="17"/>
      <c r="U41" s="144"/>
      <c r="W41" s="88"/>
      <c r="X41" s="18"/>
      <c r="Y41" s="18"/>
    </row>
    <row r="42" spans="2:25" ht="21" customHeight="1" x14ac:dyDescent="0.25">
      <c r="B42" s="104">
        <f t="shared" si="0"/>
        <v>8</v>
      </c>
      <c r="C42" s="94">
        <f>100-VLOOKUP(B42,'[1]Pricing '!$A$1943:$K$1972,11,FALSE)-0.375</f>
        <v>-1.3329999999999984</v>
      </c>
      <c r="E42" s="104">
        <f t="shared" si="1"/>
        <v>8</v>
      </c>
      <c r="F42" s="94">
        <f>100-VLOOKUP(E42,'[1]Pricing '!$A$1943:$K$1972,11,FALSE)-0.375</f>
        <v>-1.3329999999999984</v>
      </c>
      <c r="G42" s="1914"/>
      <c r="H42" s="1915"/>
      <c r="I42" s="1915"/>
      <c r="J42" s="1916"/>
      <c r="K42" s="989" t="s">
        <v>215</v>
      </c>
      <c r="L42" s="989"/>
      <c r="M42" s="989"/>
      <c r="N42" s="989"/>
      <c r="O42" s="989"/>
      <c r="P42" s="952"/>
      <c r="S42" s="17"/>
      <c r="U42" s="144"/>
      <c r="X42" s="90"/>
      <c r="Y42" s="90"/>
    </row>
    <row r="43" spans="2:25" ht="21" customHeight="1" x14ac:dyDescent="0.25">
      <c r="B43" s="104">
        <f t="shared" si="0"/>
        <v>8.125</v>
      </c>
      <c r="C43" s="94">
        <f>100-VLOOKUP(B43,'[1]Pricing '!$A$1943:$K$1972,11,FALSE)-0.375</f>
        <v>-1.5679999999999978</v>
      </c>
      <c r="E43" s="104">
        <f t="shared" si="1"/>
        <v>8.125</v>
      </c>
      <c r="F43" s="94">
        <f>100-VLOOKUP(E43,'[1]Pricing '!$A$1943:$K$1972,11,FALSE)-0.375</f>
        <v>-1.5679999999999978</v>
      </c>
      <c r="G43" s="97"/>
      <c r="H43" s="339"/>
      <c r="I43" s="339"/>
      <c r="J43" s="1164"/>
      <c r="K43" s="989" t="s">
        <v>209</v>
      </c>
      <c r="L43" s="989"/>
      <c r="M43" s="989"/>
      <c r="N43" s="989"/>
      <c r="O43" s="989"/>
      <c r="P43" s="952"/>
      <c r="S43" s="17"/>
      <c r="X43" s="90"/>
      <c r="Y43" s="90"/>
    </row>
    <row r="44" spans="2:25" ht="21" customHeight="1" thickBot="1" x14ac:dyDescent="0.3">
      <c r="B44" s="388">
        <f t="shared" si="0"/>
        <v>8.25</v>
      </c>
      <c r="C44" s="256">
        <f>100-VLOOKUP(B44,'[1]Pricing '!$A$1943:$K$1972,11,FALSE)-0.375</f>
        <v>-1.7789999999999964</v>
      </c>
      <c r="E44" s="388">
        <f t="shared" si="1"/>
        <v>8.25</v>
      </c>
      <c r="F44" s="256">
        <f>100-VLOOKUP(E44,'[1]Pricing '!$A$1943:$K$1972,11,FALSE)-0.375</f>
        <v>-1.7789999999999964</v>
      </c>
      <c r="G44" s="1275"/>
      <c r="H44" s="1276"/>
      <c r="I44" s="1276"/>
      <c r="J44" s="1277"/>
      <c r="K44" s="989" t="s">
        <v>213</v>
      </c>
      <c r="L44" s="989"/>
      <c r="M44" s="989"/>
      <c r="N44" s="989"/>
      <c r="O44" s="989"/>
      <c r="P44" s="952"/>
      <c r="T44" s="18"/>
      <c r="U44" s="332"/>
    </row>
    <row r="45" spans="2:25" ht="21" customHeight="1" thickBot="1" x14ac:dyDescent="0.3">
      <c r="B45" s="139"/>
      <c r="C45" s="14"/>
      <c r="D45" s="14"/>
      <c r="E45" s="14"/>
      <c r="F45" s="14"/>
      <c r="G45" s="14"/>
      <c r="H45" s="14"/>
      <c r="I45" s="14"/>
      <c r="J45" s="14"/>
      <c r="K45" s="800" t="s">
        <v>211</v>
      </c>
      <c r="L45" s="953"/>
      <c r="M45" s="953"/>
      <c r="N45" s="953"/>
      <c r="O45" s="953"/>
      <c r="P45" s="954"/>
      <c r="T45" s="18"/>
      <c r="U45" s="332"/>
    </row>
    <row r="46" spans="2:25" ht="21" customHeight="1" x14ac:dyDescent="0.25">
      <c r="B46" s="1996" t="s">
        <v>675</v>
      </c>
      <c r="C46" s="1997"/>
      <c r="D46" s="1997"/>
      <c r="E46" s="1997"/>
      <c r="F46" s="1997"/>
      <c r="G46" s="1997"/>
      <c r="H46" s="1997"/>
      <c r="I46" s="1997"/>
      <c r="J46" s="1997"/>
      <c r="K46" s="1997"/>
      <c r="L46" s="1997"/>
      <c r="M46" s="1997"/>
      <c r="N46" s="1997"/>
      <c r="O46" s="1997"/>
      <c r="P46" s="1998"/>
      <c r="T46" s="18"/>
    </row>
    <row r="47" spans="2:25" ht="15" customHeight="1" x14ac:dyDescent="0.25">
      <c r="B47" s="1999"/>
      <c r="C47" s="2000"/>
      <c r="D47" s="2000"/>
      <c r="E47" s="2000"/>
      <c r="F47" s="2000"/>
      <c r="G47" s="2000"/>
      <c r="H47" s="2000"/>
      <c r="I47" s="2000"/>
      <c r="J47" s="2000"/>
      <c r="K47" s="2000"/>
      <c r="L47" s="2000"/>
      <c r="M47" s="2000"/>
      <c r="N47" s="2000"/>
      <c r="O47" s="2000"/>
      <c r="P47" s="2001"/>
      <c r="T47" s="18"/>
    </row>
    <row r="48" spans="2:25" ht="10.5" customHeight="1" thickBot="1" x14ac:dyDescent="0.3">
      <c r="B48" s="95"/>
      <c r="P48" s="38"/>
      <c r="T48" s="18"/>
    </row>
    <row r="49" spans="1:32" ht="24.75" customHeight="1" thickBot="1" x14ac:dyDescent="0.3">
      <c r="B49" s="1579" t="s">
        <v>672</v>
      </c>
      <c r="C49" s="1580"/>
      <c r="D49" s="1580"/>
      <c r="E49" s="1581"/>
      <c r="F49" s="1579" t="s">
        <v>673</v>
      </c>
      <c r="G49" s="1580"/>
      <c r="H49" s="1580"/>
      <c r="I49" s="1581"/>
      <c r="J49" s="1580" t="s">
        <v>671</v>
      </c>
      <c r="K49" s="1580"/>
      <c r="L49" s="1580"/>
      <c r="M49" s="1580"/>
      <c r="N49" s="1580"/>
      <c r="O49" s="1580"/>
      <c r="P49" s="1581"/>
      <c r="T49" s="18"/>
    </row>
    <row r="50" spans="1:32" ht="21.75" customHeight="1" thickBot="1" x14ac:dyDescent="0.3">
      <c r="B50" s="95"/>
      <c r="E50" s="38"/>
      <c r="F50" s="95"/>
      <c r="I50" s="38"/>
      <c r="J50" s="982" t="s">
        <v>199</v>
      </c>
      <c r="K50" s="977" t="s">
        <v>157</v>
      </c>
      <c r="L50" s="977" t="s">
        <v>158</v>
      </c>
      <c r="M50" s="977" t="s">
        <v>159</v>
      </c>
      <c r="N50" s="977" t="s">
        <v>160</v>
      </c>
      <c r="O50" s="977" t="s">
        <v>101</v>
      </c>
      <c r="P50" s="978" t="s">
        <v>102</v>
      </c>
    </row>
    <row r="51" spans="1:32" ht="21.75" customHeight="1" x14ac:dyDescent="0.25">
      <c r="B51" s="97" t="s">
        <v>91</v>
      </c>
      <c r="C51" s="27"/>
      <c r="D51" s="27"/>
      <c r="E51" s="74">
        <v>0.25</v>
      </c>
      <c r="F51" s="979" t="s">
        <v>469</v>
      </c>
      <c r="G51" s="980"/>
      <c r="I51" s="94">
        <v>-1.25</v>
      </c>
      <c r="J51" s="983" t="s">
        <v>72</v>
      </c>
      <c r="K51" s="358">
        <f>AIA_AIP!K51</f>
        <v>-1.375</v>
      </c>
      <c r="L51" s="358">
        <f>AIA_AIP!L51</f>
        <v>-1.25</v>
      </c>
      <c r="M51" s="358">
        <f>AIA_AIP!M51</f>
        <v>-1.25</v>
      </c>
      <c r="N51" s="358">
        <f>AIA_AIP!N51</f>
        <v>-1.25</v>
      </c>
      <c r="O51" s="358">
        <f>AIA_AIP!O51</f>
        <v>-1</v>
      </c>
      <c r="P51" s="336">
        <f>AIA_AIP!P51</f>
        <v>-0.5</v>
      </c>
    </row>
    <row r="52" spans="1:32" ht="21.75" customHeight="1" x14ac:dyDescent="0.25">
      <c r="B52" s="97" t="s">
        <v>170</v>
      </c>
      <c r="C52" s="27"/>
      <c r="D52" s="27"/>
      <c r="E52" s="74">
        <v>0.75</v>
      </c>
      <c r="F52" s="979" t="s">
        <v>470</v>
      </c>
      <c r="G52" s="980"/>
      <c r="I52" s="94">
        <v>-0.875</v>
      </c>
      <c r="J52" s="983" t="s">
        <v>53</v>
      </c>
      <c r="K52" s="358">
        <f>AIA_AIP!K52</f>
        <v>-1.25</v>
      </c>
      <c r="L52" s="358">
        <f>AIA_AIP!L52</f>
        <v>-1.125</v>
      </c>
      <c r="M52" s="358">
        <f>AIA_AIP!M52</f>
        <v>-1.125</v>
      </c>
      <c r="N52" s="358">
        <f>AIA_AIP!N52</f>
        <v>-1.125</v>
      </c>
      <c r="O52" s="358">
        <f>AIA_AIP!O52</f>
        <v>-0.875</v>
      </c>
      <c r="P52" s="336">
        <f>AIA_AIP!P52</f>
        <v>-0.375</v>
      </c>
    </row>
    <row r="53" spans="1:32" ht="21.75" customHeight="1" x14ac:dyDescent="0.25">
      <c r="B53" s="97" t="s">
        <v>203</v>
      </c>
      <c r="C53" s="27"/>
      <c r="D53" s="27"/>
      <c r="E53" s="74">
        <v>0.375</v>
      </c>
      <c r="F53" s="979" t="s">
        <v>471</v>
      </c>
      <c r="G53" s="980"/>
      <c r="I53" s="94">
        <v>-0.6</v>
      </c>
      <c r="J53" s="1125" t="s">
        <v>54</v>
      </c>
      <c r="K53" s="358">
        <f>AIA_AIP!K53</f>
        <v>-1.125</v>
      </c>
      <c r="L53" s="358">
        <f>AIA_AIP!L53</f>
        <v>-1</v>
      </c>
      <c r="M53" s="358">
        <f>AIA_AIP!M53</f>
        <v>-1</v>
      </c>
      <c r="N53" s="358">
        <f>AIA_AIP!N53</f>
        <v>-1</v>
      </c>
      <c r="O53" s="358">
        <f>AIA_AIP!O53</f>
        <v>-0.75</v>
      </c>
      <c r="P53" s="336">
        <f>AIA_AIP!P53</f>
        <v>-0.25</v>
      </c>
    </row>
    <row r="54" spans="1:32" ht="21.75" customHeight="1" x14ac:dyDescent="0.25">
      <c r="B54" s="97" t="s">
        <v>204</v>
      </c>
      <c r="C54" s="27"/>
      <c r="D54" s="27"/>
      <c r="E54" s="74">
        <v>0.5</v>
      </c>
      <c r="F54" s="979" t="s">
        <v>668</v>
      </c>
      <c r="G54" s="980"/>
      <c r="I54" s="94">
        <v>0</v>
      </c>
      <c r="J54" s="1125" t="s">
        <v>55</v>
      </c>
      <c r="K54" s="358">
        <f>AIA_AIP!K54</f>
        <v>-1</v>
      </c>
      <c r="L54" s="358">
        <f>AIA_AIP!L54</f>
        <v>-0.875</v>
      </c>
      <c r="M54" s="358">
        <f>AIA_AIP!M54</f>
        <v>-0.75</v>
      </c>
      <c r="N54" s="358">
        <f>AIA_AIP!N54</f>
        <v>-0.625</v>
      </c>
      <c r="O54" s="358">
        <f>AIA_AIP!O54</f>
        <v>-0.25</v>
      </c>
      <c r="P54" s="336">
        <f>AIA_AIP!P54</f>
        <v>0.375</v>
      </c>
    </row>
    <row r="55" spans="1:32" ht="21.75" customHeight="1" x14ac:dyDescent="0.25">
      <c r="B55" s="97" t="s">
        <v>755</v>
      </c>
      <c r="C55" s="27"/>
      <c r="D55" s="27"/>
      <c r="E55" s="74">
        <v>1</v>
      </c>
      <c r="F55" s="979" t="s">
        <v>202</v>
      </c>
      <c r="G55" s="980"/>
      <c r="I55" s="94">
        <v>0.5</v>
      </c>
      <c r="J55" s="1125" t="s">
        <v>57</v>
      </c>
      <c r="K55" s="358">
        <f>AIA_AIP!K55</f>
        <v>-0.75</v>
      </c>
      <c r="L55" s="358">
        <f>AIA_AIP!L55</f>
        <v>-0.625</v>
      </c>
      <c r="M55" s="358">
        <f>AIA_AIP!M55</f>
        <v>-0.25</v>
      </c>
      <c r="N55" s="358">
        <f>AIA_AIP!N55</f>
        <v>0.25</v>
      </c>
      <c r="O55" s="358">
        <f>AIA_AIP!O55</f>
        <v>0.75</v>
      </c>
      <c r="P55" s="336">
        <f>AIA_AIP!P55</f>
        <v>2</v>
      </c>
      <c r="S55" s="90"/>
    </row>
    <row r="56" spans="1:32" ht="21.75" customHeight="1" x14ac:dyDescent="0.25">
      <c r="B56" s="177" t="s">
        <v>369</v>
      </c>
      <c r="C56" s="27"/>
      <c r="E56" s="74">
        <v>0.25</v>
      </c>
      <c r="F56" s="979" t="s">
        <v>669</v>
      </c>
      <c r="G56" s="980"/>
      <c r="I56" s="94">
        <v>1.5</v>
      </c>
      <c r="J56" s="1125" t="s">
        <v>58</v>
      </c>
      <c r="K56" s="358">
        <f>AIA_AIP!K56</f>
        <v>-0.375</v>
      </c>
      <c r="L56" s="358">
        <f>AIA_AIP!L56</f>
        <v>-0.125</v>
      </c>
      <c r="M56" s="358">
        <f>AIA_AIP!M56</f>
        <v>0.5</v>
      </c>
      <c r="N56" s="358">
        <f>AIA_AIP!N56</f>
        <v>1</v>
      </c>
      <c r="O56" s="358">
        <f>AIA_AIP!O56</f>
        <v>1.875</v>
      </c>
      <c r="P56" s="336" t="str">
        <f>AIA_AIP!P56</f>
        <v>N/A</v>
      </c>
      <c r="Q56" s="98"/>
      <c r="R56" s="98"/>
      <c r="S56" s="18"/>
    </row>
    <row r="57" spans="1:32" ht="21.75" customHeight="1" x14ac:dyDescent="0.25">
      <c r="B57" s="97" t="s">
        <v>174</v>
      </c>
      <c r="C57" s="117"/>
      <c r="E57" s="132">
        <v>0.125</v>
      </c>
      <c r="F57" s="95"/>
      <c r="I57" s="38"/>
      <c r="J57" s="1125" t="s">
        <v>73</v>
      </c>
      <c r="K57" s="358">
        <f>AIA_AIP!K57</f>
        <v>0.125</v>
      </c>
      <c r="L57" s="358">
        <f>AIA_AIP!L57</f>
        <v>0.375</v>
      </c>
      <c r="M57" s="358">
        <f>AIA_AIP!M57</f>
        <v>1.375</v>
      </c>
      <c r="N57" s="358">
        <f>AIA_AIP!N57</f>
        <v>2.125</v>
      </c>
      <c r="O57" s="358">
        <f>AIA_AIP!O57</f>
        <v>3.375</v>
      </c>
      <c r="P57" s="336" t="str">
        <f>AIA_AIP!P57</f>
        <v>N/A</v>
      </c>
    </row>
    <row r="58" spans="1:32" ht="21.75" customHeight="1" thickBot="1" x14ac:dyDescent="0.3">
      <c r="A58" s="38"/>
      <c r="B58" s="1172" t="s">
        <v>741</v>
      </c>
      <c r="C58" s="1172"/>
      <c r="D58" s="188"/>
      <c r="E58" s="94">
        <v>-0.25</v>
      </c>
      <c r="F58" s="139"/>
      <c r="G58" s="14"/>
      <c r="H58" s="14"/>
      <c r="I58" s="48"/>
      <c r="J58" s="1125" t="s">
        <v>113</v>
      </c>
      <c r="K58" s="358">
        <f>AIA_AIP!K58</f>
        <v>0.5</v>
      </c>
      <c r="L58" s="358">
        <f>AIA_AIP!L58</f>
        <v>1</v>
      </c>
      <c r="M58" s="358">
        <f>AIA_AIP!M58</f>
        <v>2.375</v>
      </c>
      <c r="N58" s="358">
        <f>AIA_AIP!N58</f>
        <v>2.875</v>
      </c>
      <c r="O58" s="358" t="str">
        <f>AIA_AIP!O58</f>
        <v>N/A</v>
      </c>
      <c r="P58" s="336" t="str">
        <f>AIA_AIP!P58</f>
        <v>N/A</v>
      </c>
      <c r="Q58" s="223"/>
    </row>
    <row r="59" spans="1:32" ht="23.25" customHeight="1" thickBot="1" x14ac:dyDescent="0.3">
      <c r="A59" s="38"/>
      <c r="B59" s="1190" t="s">
        <v>753</v>
      </c>
      <c r="C59" s="1182"/>
      <c r="D59" s="1182"/>
      <c r="E59" s="1183">
        <v>-0.125</v>
      </c>
      <c r="F59" s="1906" t="s">
        <v>570</v>
      </c>
      <c r="G59" s="1907"/>
      <c r="H59" s="1907"/>
      <c r="I59" s="1970"/>
      <c r="J59" s="984" t="s">
        <v>115</v>
      </c>
      <c r="K59" s="358">
        <f>AIA_AIP!K59</f>
        <v>1.125</v>
      </c>
      <c r="L59" s="358">
        <f>AIA_AIP!L59</f>
        <v>1.875</v>
      </c>
      <c r="M59" s="358" t="str">
        <f>AIA_AIP!M59</f>
        <v>N/A</v>
      </c>
      <c r="N59" s="358" t="str">
        <f>AIA_AIP!N59</f>
        <v>N/A</v>
      </c>
      <c r="O59" s="358" t="str">
        <f>AIA_AIP!O59</f>
        <v>N/A</v>
      </c>
      <c r="P59" s="336" t="str">
        <f>AIA_AIP!P59</f>
        <v>N/A</v>
      </c>
    </row>
    <row r="60" spans="1:32" ht="23.25" customHeight="1" x14ac:dyDescent="0.25">
      <c r="A60" s="38"/>
      <c r="B60" s="1580" t="s">
        <v>573</v>
      </c>
      <c r="C60" s="1580"/>
      <c r="D60" s="1580"/>
      <c r="E60" s="1581"/>
      <c r="F60" s="97" t="s">
        <v>88</v>
      </c>
      <c r="I60" s="74">
        <v>0.75</v>
      </c>
      <c r="J60" s="1503" t="s">
        <v>674</v>
      </c>
      <c r="K60" s="1504"/>
      <c r="L60" s="1504"/>
      <c r="M60" s="1504"/>
      <c r="N60" s="1504"/>
      <c r="O60" s="1504"/>
      <c r="P60" s="1505"/>
    </row>
    <row r="61" spans="1:32" ht="20.25" customHeight="1" x14ac:dyDescent="0.4">
      <c r="A61" s="38"/>
      <c r="B61" s="850" t="s">
        <v>207</v>
      </c>
      <c r="C61" s="114"/>
      <c r="E61" s="130">
        <v>0.25</v>
      </c>
      <c r="F61" s="97" t="s">
        <v>89</v>
      </c>
      <c r="I61" s="74">
        <v>1</v>
      </c>
      <c r="J61" s="1126" t="s">
        <v>666</v>
      </c>
      <c r="K61" s="358">
        <f>AIA_AIP!K61</f>
        <v>0.25</v>
      </c>
      <c r="L61" s="358">
        <f>AIA_AIP!L61</f>
        <v>0.25</v>
      </c>
      <c r="M61" s="358">
        <f>AIA_AIP!M61</f>
        <v>0.25</v>
      </c>
      <c r="N61" s="358">
        <f>AIA_AIP!N61</f>
        <v>0.25</v>
      </c>
      <c r="O61" s="358">
        <f>AIA_AIP!O61</f>
        <v>0.375</v>
      </c>
      <c r="P61" s="336">
        <f>AIA_AIP!P61</f>
        <v>0.375</v>
      </c>
      <c r="X61" s="951"/>
      <c r="Y61" s="951"/>
    </row>
    <row r="62" spans="1:32" ht="23.25" customHeight="1" x14ac:dyDescent="0.25">
      <c r="A62" s="38"/>
      <c r="E62" s="38"/>
      <c r="F62" s="97" t="s">
        <v>188</v>
      </c>
      <c r="I62" s="74">
        <v>1.5</v>
      </c>
      <c r="J62" s="1125" t="s">
        <v>248</v>
      </c>
      <c r="K62" s="358">
        <f>AIA_AIP!K62</f>
        <v>-2.875</v>
      </c>
      <c r="L62" s="358">
        <f>AIA_AIP!L62</f>
        <v>-2.875</v>
      </c>
      <c r="M62" s="358">
        <f>AIA_AIP!M62</f>
        <v>-2.75</v>
      </c>
      <c r="N62" s="358">
        <f>AIA_AIP!N62</f>
        <v>-2.75</v>
      </c>
      <c r="O62" s="358">
        <f>AIA_AIP!O62</f>
        <v>-2.25</v>
      </c>
      <c r="P62" s="336">
        <f>AIA_AIP!P62</f>
        <v>-1.375</v>
      </c>
      <c r="T62" s="18"/>
      <c r="X62" s="339"/>
      <c r="AE62" s="22"/>
      <c r="AF62" s="22"/>
    </row>
    <row r="63" spans="1:32" ht="21" customHeight="1" thickBot="1" x14ac:dyDescent="0.45">
      <c r="B63" s="139"/>
      <c r="C63" s="14"/>
      <c r="D63" s="14"/>
      <c r="E63" s="48"/>
      <c r="F63" s="139"/>
      <c r="G63" s="14"/>
      <c r="H63" s="14"/>
      <c r="I63" s="48"/>
      <c r="J63" s="1125" t="s">
        <v>252</v>
      </c>
      <c r="K63" s="358">
        <f>AIA_AIP!K63</f>
        <v>-2.875</v>
      </c>
      <c r="L63" s="358">
        <f>AIA_AIP!L63</f>
        <v>-2.75</v>
      </c>
      <c r="M63" s="358">
        <f>AIA_AIP!M63</f>
        <v>-2.375</v>
      </c>
      <c r="N63" s="358">
        <f>AIA_AIP!N63</f>
        <v>-2.375</v>
      </c>
      <c r="O63" s="358">
        <f>AIA_AIP!O63</f>
        <v>-2.25</v>
      </c>
      <c r="P63" s="336">
        <f>AIA_AIP!P63</f>
        <v>-1</v>
      </c>
      <c r="R63" s="613"/>
      <c r="S63" s="951"/>
      <c r="T63" s="951"/>
      <c r="U63" s="951"/>
      <c r="V63" s="951"/>
      <c r="W63" s="951"/>
      <c r="X63" s="951"/>
      <c r="Y63" s="951"/>
      <c r="AE63" s="22"/>
      <c r="AF63" s="22"/>
    </row>
    <row r="64" spans="1:32" ht="21" customHeight="1" thickBot="1" x14ac:dyDescent="0.3">
      <c r="B64" s="986" t="s">
        <v>129</v>
      </c>
      <c r="C64" s="2219" t="s">
        <v>355</v>
      </c>
      <c r="D64" s="2219"/>
      <c r="E64" s="2219"/>
      <c r="F64" s="2219"/>
      <c r="G64" s="2219"/>
      <c r="H64" s="2219"/>
      <c r="I64" s="2219"/>
      <c r="J64" s="1125" t="s">
        <v>200</v>
      </c>
      <c r="K64" s="358">
        <f>AIA_AIP!K64</f>
        <v>-2</v>
      </c>
      <c r="L64" s="358">
        <f>AIA_AIP!L64</f>
        <v>-1.875</v>
      </c>
      <c r="M64" s="358">
        <f>AIA_AIP!M64</f>
        <v>-1.375</v>
      </c>
      <c r="N64" s="358">
        <f>AIA_AIP!N64</f>
        <v>0.25</v>
      </c>
      <c r="O64" s="358">
        <f>AIA_AIP!O64</f>
        <v>0.75</v>
      </c>
      <c r="P64" s="336" t="str">
        <f>AIA_AIP!P64</f>
        <v>N/A</v>
      </c>
      <c r="R64" s="339"/>
      <c r="S64" s="87"/>
      <c r="T64" s="87"/>
      <c r="U64" s="27"/>
      <c r="V64" s="27"/>
      <c r="W64" s="27"/>
      <c r="X64" s="87"/>
      <c r="AE64" s="22"/>
      <c r="AF64" s="22"/>
    </row>
    <row r="65" spans="2:32" ht="21" customHeight="1" x14ac:dyDescent="0.4">
      <c r="B65" s="975" t="s">
        <v>176</v>
      </c>
      <c r="C65" s="635" t="s">
        <v>665</v>
      </c>
      <c r="E65" s="27"/>
      <c r="F65" s="27"/>
      <c r="G65" s="27"/>
      <c r="H65" s="339"/>
      <c r="J65" s="1127" t="s">
        <v>165</v>
      </c>
      <c r="K65" s="358">
        <f>AIA_AIP!K65</f>
        <v>0.25</v>
      </c>
      <c r="L65" s="358">
        <f>AIA_AIP!L65</f>
        <v>0.25</v>
      </c>
      <c r="M65" s="358">
        <f>AIA_AIP!M65</f>
        <v>0.5</v>
      </c>
      <c r="N65" s="358">
        <f>AIA_AIP!N65</f>
        <v>0.875</v>
      </c>
      <c r="O65" s="358" t="str">
        <f>AIA_AIP!O65</f>
        <v>N/A</v>
      </c>
      <c r="P65" s="336" t="str">
        <f>AIA_AIP!P65</f>
        <v>N/A</v>
      </c>
      <c r="R65" s="613"/>
      <c r="S65" s="951"/>
      <c r="T65" s="951"/>
      <c r="U65" s="951"/>
      <c r="V65" s="951"/>
      <c r="W65" s="951"/>
      <c r="X65" s="951"/>
      <c r="Y65" s="614"/>
      <c r="AE65" s="21"/>
      <c r="AF65" s="21"/>
    </row>
    <row r="66" spans="2:32" ht="21" customHeight="1" thickBot="1" x14ac:dyDescent="0.35">
      <c r="B66" s="616"/>
      <c r="C66" s="465" t="s">
        <v>664</v>
      </c>
      <c r="D66" s="14"/>
      <c r="E66" s="78"/>
      <c r="F66" s="78"/>
      <c r="G66" s="14"/>
      <c r="H66" s="14"/>
      <c r="I66" s="14"/>
      <c r="J66" s="1127" t="s">
        <v>201</v>
      </c>
      <c r="K66" s="358">
        <f>AIA_AIP!K66</f>
        <v>0.125</v>
      </c>
      <c r="L66" s="358">
        <f>AIA_AIP!L66</f>
        <v>0.125</v>
      </c>
      <c r="M66" s="358">
        <f>AIA_AIP!M66</f>
        <v>0.25</v>
      </c>
      <c r="N66" s="358">
        <f>AIA_AIP!N66</f>
        <v>0.25</v>
      </c>
      <c r="O66" s="358">
        <f>AIA_AIP!O66</f>
        <v>0.375</v>
      </c>
      <c r="P66" s="336">
        <f>AIA_AIP!P66</f>
        <v>0.375</v>
      </c>
      <c r="R66" s="339"/>
      <c r="S66" s="87"/>
      <c r="T66" s="87"/>
      <c r="U66" s="87"/>
      <c r="V66" s="87"/>
      <c r="W66" s="87"/>
      <c r="X66" s="87"/>
      <c r="Z66" s="962"/>
      <c r="AA66" s="963"/>
      <c r="AB66" s="963"/>
      <c r="AC66" s="963"/>
      <c r="AE66" s="21"/>
      <c r="AF66" s="21"/>
    </row>
    <row r="67" spans="2:32" ht="21" customHeight="1" thickBot="1" x14ac:dyDescent="0.45">
      <c r="B67" s="617" t="s">
        <v>177</v>
      </c>
      <c r="C67" s="2218" t="s">
        <v>372</v>
      </c>
      <c r="D67" s="1923"/>
      <c r="E67" s="1923"/>
      <c r="F67" s="1923"/>
      <c r="G67" s="1923"/>
      <c r="H67" s="1923"/>
      <c r="I67" s="1923"/>
      <c r="J67" s="1128" t="s">
        <v>169</v>
      </c>
      <c r="K67" s="358">
        <f>AIA_AIP!K67</f>
        <v>0.25</v>
      </c>
      <c r="L67" s="358">
        <f>AIA_AIP!L67</f>
        <v>0.25</v>
      </c>
      <c r="M67" s="358">
        <f>AIA_AIP!M67</f>
        <v>0.25</v>
      </c>
      <c r="N67" s="358">
        <f>AIA_AIP!N67</f>
        <v>0.375</v>
      </c>
      <c r="O67" s="358" t="str">
        <f>AIA_AIP!O67</f>
        <v>N/A</v>
      </c>
      <c r="P67" s="336" t="str">
        <f>AIA_AIP!P67</f>
        <v>N/A</v>
      </c>
      <c r="R67" s="613"/>
      <c r="S67" s="951"/>
      <c r="T67" s="951"/>
      <c r="U67" s="951"/>
      <c r="V67" s="951"/>
      <c r="W67" s="951"/>
      <c r="X67" s="964"/>
      <c r="Y67" s="964"/>
      <c r="Z67" s="964"/>
      <c r="AA67" s="964"/>
      <c r="AB67" s="964"/>
      <c r="AC67" s="964"/>
      <c r="AE67" s="20"/>
      <c r="AF67" s="20"/>
    </row>
    <row r="68" spans="2:32" ht="21" customHeight="1" thickBot="1" x14ac:dyDescent="0.35">
      <c r="B68" s="615" t="s">
        <v>176</v>
      </c>
      <c r="C68" s="603" t="s">
        <v>663</v>
      </c>
      <c r="D68" s="407"/>
      <c r="E68" s="29"/>
      <c r="F68" s="29"/>
      <c r="G68" s="29"/>
      <c r="H68" s="29"/>
      <c r="I68" s="407"/>
      <c r="J68" s="1128" t="s">
        <v>79</v>
      </c>
      <c r="K68" s="358">
        <f>AIA_AIP!K68</f>
        <v>0.5</v>
      </c>
      <c r="L68" s="358">
        <f>AIA_AIP!L68</f>
        <v>0.5</v>
      </c>
      <c r="M68" s="358">
        <f>AIA_AIP!M68</f>
        <v>0.5</v>
      </c>
      <c r="N68" s="358">
        <f>AIA_AIP!N68</f>
        <v>0.5</v>
      </c>
      <c r="O68" s="358">
        <f>AIA_AIP!O68</f>
        <v>0.625</v>
      </c>
      <c r="P68" s="336">
        <f>AIA_AIP!P68</f>
        <v>0.75</v>
      </c>
      <c r="R68" s="339"/>
      <c r="S68" s="87"/>
      <c r="T68" s="87"/>
      <c r="U68" s="87"/>
      <c r="V68" s="87"/>
      <c r="W68" s="87"/>
      <c r="X68" s="965"/>
      <c r="Z68" s="966"/>
      <c r="AA68" s="966"/>
      <c r="AB68" s="966"/>
      <c r="AC68" s="966"/>
      <c r="AD68" s="963"/>
      <c r="AE68" s="963"/>
      <c r="AF68" s="963"/>
    </row>
    <row r="69" spans="2:32" ht="24.75" customHeight="1" thickBot="1" x14ac:dyDescent="0.3">
      <c r="B69" s="617" t="s">
        <v>206</v>
      </c>
      <c r="C69" s="2218" t="s">
        <v>462</v>
      </c>
      <c r="D69" s="1923"/>
      <c r="E69" s="1923"/>
      <c r="F69" s="1923"/>
      <c r="G69" s="1923"/>
      <c r="H69" s="1924"/>
      <c r="I69" s="976" t="s">
        <v>450</v>
      </c>
      <c r="J69" s="1128" t="s">
        <v>92</v>
      </c>
      <c r="K69" s="358">
        <f>AIA_AIP!K69</f>
        <v>0.25</v>
      </c>
      <c r="L69" s="358">
        <f>AIA_AIP!L69</f>
        <v>0.25</v>
      </c>
      <c r="M69" s="358">
        <f>AIA_AIP!M69</f>
        <v>0.375</v>
      </c>
      <c r="N69" s="358">
        <f>AIA_AIP!N69</f>
        <v>0.5</v>
      </c>
      <c r="O69" s="358">
        <f>AIA_AIP!O69</f>
        <v>0.75</v>
      </c>
      <c r="P69" s="336" t="str">
        <f>AIA_AIP!P69</f>
        <v>N/A</v>
      </c>
      <c r="R69" s="964"/>
      <c r="S69" s="964"/>
      <c r="T69" s="964"/>
      <c r="U69" s="964"/>
      <c r="V69" s="964"/>
      <c r="W69" s="964"/>
      <c r="X69" s="965"/>
      <c r="Z69" s="967"/>
      <c r="AA69" s="967"/>
      <c r="AB69" s="967"/>
      <c r="AC69" s="967"/>
      <c r="AD69" s="964"/>
      <c r="AE69" s="964"/>
      <c r="AF69" s="964"/>
    </row>
    <row r="70" spans="2:32" ht="21.75" customHeight="1" thickBot="1" x14ac:dyDescent="0.3">
      <c r="B70" s="616" t="s">
        <v>176</v>
      </c>
      <c r="C70" s="465" t="s">
        <v>661</v>
      </c>
      <c r="D70" s="14"/>
      <c r="E70" s="431"/>
      <c r="F70" s="431"/>
      <c r="G70" s="431"/>
      <c r="H70" s="431"/>
      <c r="I70" s="48"/>
      <c r="J70" s="1128" t="s">
        <v>539</v>
      </c>
      <c r="K70" s="358">
        <f>AIA_AIP!K70</f>
        <v>0.125</v>
      </c>
      <c r="L70" s="358">
        <f>AIA_AIP!L70</f>
        <v>0.125</v>
      </c>
      <c r="M70" s="358">
        <f>AIA_AIP!M70</f>
        <v>0.25</v>
      </c>
      <c r="N70" s="358">
        <f>AIA_AIP!N70</f>
        <v>0.25</v>
      </c>
      <c r="O70" s="358">
        <f>AIA_AIP!O70</f>
        <v>0.375</v>
      </c>
      <c r="P70" s="336">
        <f>AIA_AIP!P70</f>
        <v>0.5</v>
      </c>
      <c r="R70" s="27"/>
      <c r="X70" s="965"/>
      <c r="Z70" s="966"/>
      <c r="AA70" s="966"/>
      <c r="AB70" s="966"/>
      <c r="AC70" s="966"/>
      <c r="AD70" s="966"/>
      <c r="AE70" s="966"/>
      <c r="AF70" s="966"/>
    </row>
    <row r="71" spans="2:32" ht="24" thickBot="1" x14ac:dyDescent="0.3">
      <c r="B71" s="95"/>
      <c r="J71" s="1121" t="s">
        <v>740</v>
      </c>
      <c r="K71" s="115">
        <f>AIA_AIP!K71</f>
        <v>0.5</v>
      </c>
      <c r="L71" s="115">
        <f>AIA_AIP!L71</f>
        <v>0.5</v>
      </c>
      <c r="M71" s="115">
        <f>AIA_AIP!M71</f>
        <v>0.625</v>
      </c>
      <c r="N71" s="115">
        <f>AIA_AIP!N71</f>
        <v>0.75</v>
      </c>
      <c r="O71" s="115">
        <f>AIA_AIP!O71</f>
        <v>0.75</v>
      </c>
      <c r="P71" s="225" t="str">
        <f>AIA_AIP!P71</f>
        <v>N/A</v>
      </c>
      <c r="R71" s="27"/>
      <c r="Z71" s="961"/>
      <c r="AA71" s="961"/>
      <c r="AB71" s="961"/>
      <c r="AC71" s="961"/>
      <c r="AD71" s="967"/>
      <c r="AE71" s="967"/>
      <c r="AF71" s="967"/>
    </row>
    <row r="72" spans="2:32" ht="8.25" customHeight="1" x14ac:dyDescent="0.25">
      <c r="B72" s="95"/>
      <c r="J72" s="37"/>
      <c r="P72" s="38"/>
      <c r="R72" s="27"/>
      <c r="Z72" s="966"/>
      <c r="AA72" s="966"/>
      <c r="AB72" s="966"/>
      <c r="AC72" s="966"/>
      <c r="AD72" s="966"/>
      <c r="AE72" s="966"/>
      <c r="AF72" s="966"/>
    </row>
    <row r="73" spans="2:32" ht="8.25" customHeight="1" x14ac:dyDescent="0.3">
      <c r="B73" s="95"/>
      <c r="P73" s="38"/>
      <c r="R73" s="27"/>
      <c r="Z73" s="13"/>
      <c r="AA73" s="19"/>
      <c r="AB73" s="19"/>
      <c r="AC73" s="19"/>
      <c r="AD73" s="961"/>
      <c r="AE73" s="961"/>
      <c r="AF73" s="961"/>
    </row>
    <row r="74" spans="2:32" ht="8.25" customHeight="1" thickBot="1" x14ac:dyDescent="0.35">
      <c r="B74" s="139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48"/>
      <c r="R74" s="27"/>
      <c r="X74" s="20"/>
      <c r="Y74" s="20"/>
      <c r="Z74" s="13"/>
      <c r="AA74" s="19"/>
      <c r="AB74" s="19"/>
      <c r="AC74" s="19"/>
      <c r="AD74" s="966"/>
      <c r="AE74" s="966"/>
      <c r="AF74" s="966"/>
    </row>
    <row r="75" spans="2:32" ht="1.5" customHeight="1" thickBot="1" x14ac:dyDescent="0.35">
      <c r="B75" s="474"/>
      <c r="C75" s="486"/>
      <c r="D75" s="486"/>
      <c r="E75" s="486"/>
      <c r="F75" s="486"/>
      <c r="G75" s="486"/>
      <c r="H75" s="486"/>
      <c r="I75" s="486"/>
      <c r="J75" s="486"/>
      <c r="K75" s="486"/>
      <c r="L75" s="486"/>
      <c r="M75" s="486"/>
      <c r="N75" s="486"/>
      <c r="O75" s="486"/>
      <c r="P75" s="469"/>
      <c r="U75" s="163"/>
      <c r="X75" s="968"/>
      <c r="Y75" s="968"/>
      <c r="Z75" s="13"/>
      <c r="AA75" s="19"/>
      <c r="AB75" s="19"/>
      <c r="AC75" s="19"/>
      <c r="AD75" s="19"/>
      <c r="AE75" s="19"/>
      <c r="AF75" s="19"/>
    </row>
    <row r="76" spans="2:32" ht="16.5" hidden="1" customHeight="1" thickTop="1" x14ac:dyDescent="0.3">
      <c r="B76" s="1974" t="s">
        <v>333</v>
      </c>
      <c r="C76" s="1975"/>
      <c r="D76" s="1975"/>
      <c r="E76" s="1975"/>
      <c r="F76" s="1975"/>
      <c r="G76" s="1975"/>
      <c r="H76" s="1975"/>
      <c r="I76" s="1975"/>
      <c r="J76" s="1975"/>
      <c r="K76" s="1975"/>
      <c r="L76" s="1975"/>
      <c r="M76" s="1975"/>
      <c r="N76" s="1975"/>
      <c r="O76" s="1975"/>
      <c r="P76" s="1976"/>
      <c r="U76" s="163"/>
      <c r="W76" s="20"/>
      <c r="X76" s="968"/>
      <c r="Y76" s="968"/>
      <c r="Z76" s="13"/>
      <c r="AA76" s="19"/>
      <c r="AB76" s="19"/>
      <c r="AC76" s="19"/>
      <c r="AD76" s="19"/>
      <c r="AE76" s="19"/>
      <c r="AF76" s="19"/>
    </row>
    <row r="77" spans="2:32" ht="11.25" hidden="1" customHeight="1" thickBot="1" x14ac:dyDescent="0.35">
      <c r="B77" s="1977"/>
      <c r="C77" s="1978"/>
      <c r="D77" s="1978"/>
      <c r="E77" s="1978"/>
      <c r="F77" s="1978"/>
      <c r="G77" s="1978"/>
      <c r="H77" s="1978"/>
      <c r="I77" s="1978"/>
      <c r="J77" s="1978"/>
      <c r="K77" s="1978"/>
      <c r="L77" s="1978"/>
      <c r="M77" s="1978"/>
      <c r="N77" s="1978"/>
      <c r="O77" s="1978"/>
      <c r="P77" s="1979"/>
      <c r="U77" s="163"/>
      <c r="W77" s="968"/>
      <c r="X77" s="13"/>
      <c r="Y77" s="13"/>
      <c r="Z77" s="970"/>
      <c r="AA77" s="19"/>
      <c r="AB77" s="19"/>
      <c r="AC77" s="19"/>
      <c r="AD77" s="19"/>
      <c r="AE77" s="19"/>
      <c r="AF77" s="19"/>
    </row>
    <row r="78" spans="2:32" ht="6" hidden="1" customHeight="1" thickBot="1" x14ac:dyDescent="0.35">
      <c r="B78" s="95"/>
      <c r="P78" s="38"/>
      <c r="U78" s="163"/>
      <c r="V78" s="143"/>
      <c r="W78" s="968"/>
      <c r="X78" s="971"/>
      <c r="Y78" s="971"/>
      <c r="Z78" s="971"/>
      <c r="AA78" s="19"/>
      <c r="AB78" s="19"/>
      <c r="AC78" s="19"/>
      <c r="AD78" s="19"/>
      <c r="AE78" s="19"/>
      <c r="AF78" s="19"/>
    </row>
    <row r="79" spans="2:32" ht="27" hidden="1" customHeight="1" thickTop="1" thickBot="1" x14ac:dyDescent="0.35">
      <c r="B79" s="1932" t="s">
        <v>250</v>
      </c>
      <c r="C79" s="1933"/>
      <c r="D79" s="1933"/>
      <c r="E79" s="1934"/>
      <c r="F79" s="1935" t="s">
        <v>96</v>
      </c>
      <c r="G79" s="1936"/>
      <c r="H79" s="1936"/>
      <c r="I79" s="1937"/>
      <c r="J79" s="1950" t="s">
        <v>198</v>
      </c>
      <c r="K79" s="1951"/>
      <c r="L79" s="1951"/>
      <c r="M79" s="1951"/>
      <c r="N79" s="1951"/>
      <c r="O79" s="1951"/>
      <c r="P79" s="1952"/>
      <c r="T79" s="969"/>
      <c r="U79" s="969"/>
      <c r="V79" s="13"/>
      <c r="W79" s="25"/>
      <c r="X79" s="19"/>
      <c r="Y79" s="19"/>
      <c r="Z79" s="13"/>
      <c r="AA79" s="19"/>
      <c r="AB79" s="19"/>
      <c r="AC79" s="19"/>
      <c r="AD79" s="19"/>
      <c r="AE79" s="19"/>
      <c r="AF79" s="19"/>
    </row>
    <row r="80" spans="2:32" ht="21.75" hidden="1" customHeight="1" x14ac:dyDescent="0.3">
      <c r="B80" s="1988" t="s">
        <v>383</v>
      </c>
      <c r="C80" s="1989"/>
      <c r="D80" s="1989"/>
      <c r="E80" s="1990"/>
      <c r="F80" s="1938" t="s">
        <v>338</v>
      </c>
      <c r="G80" s="1939"/>
      <c r="H80" s="1939"/>
      <c r="I80" s="1940"/>
      <c r="J80" s="471" t="s">
        <v>199</v>
      </c>
      <c r="K80" s="334" t="s">
        <v>157</v>
      </c>
      <c r="L80" s="334" t="s">
        <v>158</v>
      </c>
      <c r="M80" s="334" t="s">
        <v>159</v>
      </c>
      <c r="N80" s="334" t="s">
        <v>160</v>
      </c>
      <c r="O80" s="334" t="s">
        <v>101</v>
      </c>
      <c r="P80" s="335" t="s">
        <v>102</v>
      </c>
      <c r="T80" s="969"/>
      <c r="U80" s="969"/>
      <c r="V80" s="86"/>
      <c r="W80" s="971"/>
      <c r="AD80" s="19"/>
      <c r="AE80" s="19"/>
      <c r="AF80" s="19"/>
    </row>
    <row r="81" spans="2:32" ht="20.25" hidden="1" customHeight="1" thickBot="1" x14ac:dyDescent="0.35">
      <c r="B81" s="1991"/>
      <c r="C81" s="1992"/>
      <c r="D81" s="1992"/>
      <c r="E81" s="1993"/>
      <c r="F81" s="1944" t="s">
        <v>339</v>
      </c>
      <c r="G81" s="1945"/>
      <c r="H81" s="1945"/>
      <c r="I81" s="1946"/>
      <c r="J81" s="1125" t="s">
        <v>161</v>
      </c>
      <c r="K81" s="1095">
        <v>-1</v>
      </c>
      <c r="L81" s="1095">
        <v>-0.75</v>
      </c>
      <c r="M81" s="1095">
        <v>0.125</v>
      </c>
      <c r="N81" s="1095" t="s">
        <v>56</v>
      </c>
      <c r="O81" s="1095" t="s">
        <v>56</v>
      </c>
      <c r="P81" s="1096" t="s">
        <v>56</v>
      </c>
      <c r="T81" s="19"/>
      <c r="U81" s="19"/>
      <c r="V81" s="19"/>
      <c r="W81" s="19"/>
      <c r="AD81" s="19"/>
      <c r="AE81" s="19"/>
      <c r="AF81" s="19"/>
    </row>
    <row r="82" spans="2:32" ht="21.75" hidden="1" customHeight="1" x14ac:dyDescent="0.25">
      <c r="B82" s="432"/>
      <c r="C82" s="1917" t="s">
        <v>386</v>
      </c>
      <c r="D82" s="1920" t="s">
        <v>388</v>
      </c>
      <c r="E82" s="1985" t="s">
        <v>387</v>
      </c>
      <c r="F82" s="1944" t="s">
        <v>340</v>
      </c>
      <c r="G82" s="1945"/>
      <c r="H82" s="1945"/>
      <c r="I82" s="1946"/>
      <c r="J82" s="1125" t="s">
        <v>54</v>
      </c>
      <c r="K82" s="1095">
        <v>-0.875</v>
      </c>
      <c r="L82" s="1095">
        <v>-0.625</v>
      </c>
      <c r="M82" s="1095">
        <v>0.25</v>
      </c>
      <c r="N82" s="1095" t="s">
        <v>56</v>
      </c>
      <c r="O82" s="1095" t="s">
        <v>56</v>
      </c>
      <c r="P82" s="1129" t="s">
        <v>56</v>
      </c>
    </row>
    <row r="83" spans="2:32" ht="22.5" hidden="1" customHeight="1" thickBot="1" x14ac:dyDescent="0.3">
      <c r="B83" s="95"/>
      <c r="C83" s="1918"/>
      <c r="D83" s="1921"/>
      <c r="E83" s="1986"/>
      <c r="F83" s="1941" t="s">
        <v>341</v>
      </c>
      <c r="G83" s="1942"/>
      <c r="H83" s="1942"/>
      <c r="I83" s="1943"/>
      <c r="J83" s="1125" t="s">
        <v>55</v>
      </c>
      <c r="K83" s="1095">
        <v>-0.625</v>
      </c>
      <c r="L83" s="1095">
        <v>-0.375</v>
      </c>
      <c r="M83" s="1095">
        <v>0.375</v>
      </c>
      <c r="N83" s="1095" t="s">
        <v>56</v>
      </c>
      <c r="O83" s="1095" t="s">
        <v>56</v>
      </c>
      <c r="P83" s="336" t="s">
        <v>56</v>
      </c>
    </row>
    <row r="84" spans="2:32" ht="24.75" hidden="1" customHeight="1" thickBot="1" x14ac:dyDescent="0.4">
      <c r="B84" s="139"/>
      <c r="C84" s="1919"/>
      <c r="D84" s="1922"/>
      <c r="E84" s="1987"/>
      <c r="F84" s="1947" t="s">
        <v>29</v>
      </c>
      <c r="G84" s="1948"/>
      <c r="H84" s="1948"/>
      <c r="I84" s="1949"/>
      <c r="J84" s="1125" t="s">
        <v>57</v>
      </c>
      <c r="K84" s="1095">
        <v>-0.25</v>
      </c>
      <c r="L84" s="1095">
        <v>0</v>
      </c>
      <c r="M84" s="1095">
        <v>0.875</v>
      </c>
      <c r="N84" s="1095" t="s">
        <v>56</v>
      </c>
      <c r="O84" s="1095" t="s">
        <v>56</v>
      </c>
      <c r="P84" s="1096" t="s">
        <v>56</v>
      </c>
    </row>
    <row r="85" spans="2:32" ht="20.25" hidden="1" customHeight="1" x14ac:dyDescent="0.3">
      <c r="B85" s="189" t="s">
        <v>14</v>
      </c>
      <c r="C85" s="433" t="s">
        <v>15</v>
      </c>
      <c r="D85" s="433" t="s">
        <v>15</v>
      </c>
      <c r="E85" s="434" t="s">
        <v>15</v>
      </c>
      <c r="F85" s="1909" t="s">
        <v>31</v>
      </c>
      <c r="G85" s="1910"/>
      <c r="H85" s="487">
        <v>0.04</v>
      </c>
      <c r="I85" s="108"/>
      <c r="J85" s="1125" t="s">
        <v>58</v>
      </c>
      <c r="K85" s="1095">
        <v>0</v>
      </c>
      <c r="L85" s="1095">
        <v>0.75</v>
      </c>
      <c r="M85" s="1095">
        <v>1.75</v>
      </c>
      <c r="N85" s="1095" t="s">
        <v>56</v>
      </c>
      <c r="O85" s="1095" t="s">
        <v>56</v>
      </c>
      <c r="P85" s="1096" t="s">
        <v>56</v>
      </c>
    </row>
    <row r="86" spans="2:32" ht="22.5" hidden="1" customHeight="1" x14ac:dyDescent="0.25">
      <c r="B86" s="95"/>
      <c r="E86" s="38"/>
      <c r="F86" s="1909" t="s">
        <v>254</v>
      </c>
      <c r="G86" s="1910"/>
      <c r="H86" s="488">
        <f>AAA_AAI_AAQ_AAO!D52</f>
        <v>3.6719000000000002E-2</v>
      </c>
      <c r="I86" s="453"/>
      <c r="J86" s="1125" t="s">
        <v>73</v>
      </c>
      <c r="K86" s="1095">
        <v>1</v>
      </c>
      <c r="L86" s="1095">
        <v>1.75</v>
      </c>
      <c r="M86" s="1095">
        <v>2.75</v>
      </c>
      <c r="N86" s="1095" t="s">
        <v>56</v>
      </c>
      <c r="O86" s="1095" t="s">
        <v>56</v>
      </c>
      <c r="P86" s="1096" t="s">
        <v>56</v>
      </c>
    </row>
    <row r="87" spans="2:32" ht="20.25" hidden="1" customHeight="1" x14ac:dyDescent="0.25">
      <c r="B87" s="104">
        <f>MIN('[1]Pricing '!$A$2919:$A$2939)</f>
        <v>7.125</v>
      </c>
      <c r="C87" s="181">
        <f>-VLOOKUP($B87,[1]!AIP_71,11,FALSE)+100</f>
        <v>2.7150000000000034</v>
      </c>
      <c r="D87" s="131">
        <f>-VLOOKUP($B87,[1]!AIP_15,11,FALSE)+100</f>
        <v>2.7150000000000034</v>
      </c>
      <c r="E87" s="137">
        <f>-VLOOKUP($B87,[1]!AIP_30,11,FALSE)+100</f>
        <v>2.7150000000000034</v>
      </c>
      <c r="F87" s="1909" t="s">
        <v>455</v>
      </c>
      <c r="G87" s="1910"/>
      <c r="H87" s="489" t="s">
        <v>458</v>
      </c>
      <c r="I87" s="108"/>
      <c r="J87" s="1125" t="s">
        <v>113</v>
      </c>
      <c r="K87" s="1130">
        <v>1.5</v>
      </c>
      <c r="L87" s="1130">
        <v>2.5</v>
      </c>
      <c r="M87" s="1130" t="s">
        <v>56</v>
      </c>
      <c r="N87" s="1130" t="s">
        <v>56</v>
      </c>
      <c r="O87" s="1130" t="s">
        <v>56</v>
      </c>
      <c r="P87" s="1129" t="s">
        <v>56</v>
      </c>
    </row>
    <row r="88" spans="2:32" ht="19.5" hidden="1" customHeight="1" thickBot="1" x14ac:dyDescent="0.3">
      <c r="B88" s="104">
        <f t="shared" ref="B88:B96" si="2">B87+0.125</f>
        <v>7.25</v>
      </c>
      <c r="C88" s="181">
        <f>-VLOOKUP($B88,[1]!AIP_71,11,FALSE)+100</f>
        <v>2.0900000000000034</v>
      </c>
      <c r="D88" s="131">
        <f>-VLOOKUP($B88,[1]!AIP_15,11,FALSE)+100</f>
        <v>2.0900000000000034</v>
      </c>
      <c r="E88" s="137">
        <f>-VLOOKUP($B88,[1]!AIP_30,11,FALSE)+100</f>
        <v>2.0900000000000034</v>
      </c>
      <c r="F88" s="1980" t="s">
        <v>456</v>
      </c>
      <c r="G88" s="1981"/>
      <c r="H88" s="490" t="s">
        <v>457</v>
      </c>
      <c r="I88" s="454"/>
      <c r="J88" s="1131" t="s">
        <v>666</v>
      </c>
      <c r="K88" s="1132">
        <v>0.25</v>
      </c>
      <c r="L88" s="1132">
        <v>0.25</v>
      </c>
      <c r="M88" s="1132">
        <v>0.25</v>
      </c>
      <c r="N88" s="1132">
        <v>0.25</v>
      </c>
      <c r="O88" s="1132">
        <v>0.375</v>
      </c>
      <c r="P88" s="1133">
        <v>0.375</v>
      </c>
    </row>
    <row r="89" spans="2:32" ht="26.25" hidden="1" customHeight="1" x14ac:dyDescent="0.25">
      <c r="B89" s="104">
        <f t="shared" si="2"/>
        <v>7.375</v>
      </c>
      <c r="C89" s="181">
        <f>-VLOOKUP($B89,[1]!AIP_71,11,FALSE)+100</f>
        <v>1.5900000000000034</v>
      </c>
      <c r="D89" s="131">
        <f>-VLOOKUP($B89,[1]!AIP_15,11,FALSE)+100</f>
        <v>1.5900000000000034</v>
      </c>
      <c r="E89" s="137">
        <f>-VLOOKUP($B89,[1]!AIP_30,11,FALSE)+100</f>
        <v>1.5900000000000034</v>
      </c>
      <c r="F89" s="1906" t="s">
        <v>187</v>
      </c>
      <c r="G89" s="1907"/>
      <c r="H89" s="1907"/>
      <c r="I89" s="1907"/>
      <c r="J89" s="561" t="s">
        <v>165</v>
      </c>
      <c r="K89" s="401">
        <v>0.25</v>
      </c>
      <c r="L89" s="401">
        <v>0.75</v>
      </c>
      <c r="M89" s="401">
        <v>1.5</v>
      </c>
      <c r="N89" s="401" t="s">
        <v>56</v>
      </c>
      <c r="O89" s="401" t="s">
        <v>56</v>
      </c>
      <c r="P89" s="445" t="s">
        <v>56</v>
      </c>
    </row>
    <row r="90" spans="2:32" ht="22.5" hidden="1" customHeight="1" x14ac:dyDescent="0.25">
      <c r="B90" s="104">
        <f t="shared" si="2"/>
        <v>7.5</v>
      </c>
      <c r="C90" s="181">
        <f>-VLOOKUP($B90,[1]!AIP_71,11,FALSE)+100</f>
        <v>1.2150000000000034</v>
      </c>
      <c r="D90" s="131">
        <f>-VLOOKUP($B90,[1]!AIP_15,11,FALSE)+100</f>
        <v>1.2150000000000034</v>
      </c>
      <c r="E90" s="137">
        <f>-VLOOKUP($B90,[1]!AIP_30,11,FALSE)+100</f>
        <v>1.2150000000000034</v>
      </c>
      <c r="F90" s="1925" t="s">
        <v>652</v>
      </c>
      <c r="G90" s="1926"/>
      <c r="H90" s="1926"/>
      <c r="I90" s="1926"/>
      <c r="J90" s="1127" t="s">
        <v>201</v>
      </c>
      <c r="K90" s="1095">
        <v>0.125</v>
      </c>
      <c r="L90" s="1095">
        <v>0.25</v>
      </c>
      <c r="M90" s="1095">
        <v>0.5</v>
      </c>
      <c r="N90" s="1095" t="s">
        <v>56</v>
      </c>
      <c r="O90" s="1095" t="s">
        <v>56</v>
      </c>
      <c r="P90" s="1096" t="s">
        <v>56</v>
      </c>
    </row>
    <row r="91" spans="2:32" ht="20.25" hidden="1" customHeight="1" x14ac:dyDescent="0.25">
      <c r="B91" s="104">
        <f t="shared" si="2"/>
        <v>7.625</v>
      </c>
      <c r="C91" s="181">
        <f>-VLOOKUP($B91,[1]!AIP_71,11,FALSE)+100</f>
        <v>0.84000000000000341</v>
      </c>
      <c r="D91" s="131">
        <f>-VLOOKUP($B91,[1]!AIP_15,11,FALSE)+100</f>
        <v>0.84000000000000341</v>
      </c>
      <c r="E91" s="137">
        <f>-VLOOKUP($B91,[1]!AIP_30,11,FALSE)+100</f>
        <v>0.84000000000000341</v>
      </c>
      <c r="F91" s="1309" t="s">
        <v>467</v>
      </c>
      <c r="G91" s="1315"/>
      <c r="H91" s="1315"/>
      <c r="I91" s="1315"/>
      <c r="J91" s="1134" t="s">
        <v>169</v>
      </c>
      <c r="K91" s="1095">
        <v>0.25</v>
      </c>
      <c r="L91" s="1095">
        <v>0.375</v>
      </c>
      <c r="M91" s="1095">
        <v>0.5</v>
      </c>
      <c r="N91" s="1095" t="s">
        <v>56</v>
      </c>
      <c r="O91" s="1095" t="s">
        <v>56</v>
      </c>
      <c r="P91" s="1096" t="s">
        <v>56</v>
      </c>
    </row>
    <row r="92" spans="2:32" ht="20.25" hidden="1" customHeight="1" x14ac:dyDescent="0.25">
      <c r="B92" s="104">
        <f t="shared" si="2"/>
        <v>7.75</v>
      </c>
      <c r="C92" s="181">
        <f>-VLOOKUP($B92,[1]!AIP_71,11,FALSE)+100</f>
        <v>0.46500000000000341</v>
      </c>
      <c r="D92" s="131">
        <f>-VLOOKUP($B92,[1]!AIP_15,11,FALSE)+100</f>
        <v>0.46500000000000341</v>
      </c>
      <c r="E92" s="137">
        <f>-VLOOKUP($B92,[1]!AIP_30,11,FALSE)+100</f>
        <v>0.46500000000000341</v>
      </c>
      <c r="F92" s="1925" t="s">
        <v>653</v>
      </c>
      <c r="G92" s="1926"/>
      <c r="H92" s="1926"/>
      <c r="I92" s="1926"/>
      <c r="J92" s="1134" t="s">
        <v>79</v>
      </c>
      <c r="K92" s="1095">
        <v>0.5</v>
      </c>
      <c r="L92" s="1095">
        <v>0.625</v>
      </c>
      <c r="M92" s="1095">
        <v>0.75</v>
      </c>
      <c r="N92" s="1095" t="s">
        <v>56</v>
      </c>
      <c r="O92" s="1095" t="s">
        <v>56</v>
      </c>
      <c r="P92" s="1096" t="s">
        <v>56</v>
      </c>
    </row>
    <row r="93" spans="2:32" ht="20.25" hidden="1" customHeight="1" x14ac:dyDescent="0.25">
      <c r="B93" s="104">
        <f t="shared" si="2"/>
        <v>7.875</v>
      </c>
      <c r="C93" s="181">
        <f>-VLOOKUP($B93,[1]!AIP_71,11,FALSE)+100</f>
        <v>0.21500000000000341</v>
      </c>
      <c r="D93" s="131">
        <f>-VLOOKUP($B93,[1]!AIP_15,11,FALSE)+100</f>
        <v>0.21500000000000341</v>
      </c>
      <c r="E93" s="137">
        <f>-VLOOKUP($B93,[1]!AIP_30,11,FALSE)+100</f>
        <v>0.21500000000000341</v>
      </c>
      <c r="F93" s="1309" t="s">
        <v>468</v>
      </c>
      <c r="G93" s="1315"/>
      <c r="H93" s="1315"/>
      <c r="I93" s="1315"/>
      <c r="J93" s="1134" t="s">
        <v>92</v>
      </c>
      <c r="K93" s="1095">
        <v>0.25</v>
      </c>
      <c r="L93" s="1095">
        <v>0.5</v>
      </c>
      <c r="M93" s="1095">
        <v>1</v>
      </c>
      <c r="N93" s="1095" t="s">
        <v>56</v>
      </c>
      <c r="O93" s="1095" t="s">
        <v>56</v>
      </c>
      <c r="P93" s="1096" t="s">
        <v>56</v>
      </c>
    </row>
    <row r="94" spans="2:32" ht="20.25" hidden="1" customHeight="1" x14ac:dyDescent="0.25">
      <c r="B94" s="104">
        <f t="shared" si="2"/>
        <v>8</v>
      </c>
      <c r="C94" s="181">
        <f>-VLOOKUP($B94,[1]!AIP_71,11,FALSE)+100</f>
        <v>-3.4999999999996589E-2</v>
      </c>
      <c r="D94" s="131">
        <f>-VLOOKUP($B94,[1]!AIP_15,11,FALSE)+100</f>
        <v>-3.4999999999996589E-2</v>
      </c>
      <c r="E94" s="137">
        <f>-VLOOKUP($B94,[1]!AIP_30,11,FALSE)+100</f>
        <v>-3.4999999999996589E-2</v>
      </c>
      <c r="F94" s="1925" t="s">
        <v>654</v>
      </c>
      <c r="G94" s="1926"/>
      <c r="H94" s="1926"/>
      <c r="I94" s="1926"/>
      <c r="J94" s="1128" t="s">
        <v>539</v>
      </c>
      <c r="K94" s="1095">
        <v>0.125</v>
      </c>
      <c r="L94" s="1095">
        <v>0.125</v>
      </c>
      <c r="M94" s="1095">
        <v>0.25</v>
      </c>
      <c r="N94" s="1095" t="s">
        <v>56</v>
      </c>
      <c r="O94" s="1095" t="s">
        <v>56</v>
      </c>
      <c r="P94" s="1096" t="s">
        <v>56</v>
      </c>
    </row>
    <row r="95" spans="2:32" ht="20.25" hidden="1" customHeight="1" thickBot="1" x14ac:dyDescent="0.3">
      <c r="B95" s="104">
        <f t="shared" si="2"/>
        <v>8.125</v>
      </c>
      <c r="C95" s="181">
        <f>-VLOOKUP($B95,[1]!AIP_71,11,FALSE)+100</f>
        <v>-0.28499999999999659</v>
      </c>
      <c r="D95" s="131">
        <f>-VLOOKUP($B95,[1]!AIP_15,11,FALSE)+100</f>
        <v>-0.28499999999999659</v>
      </c>
      <c r="E95" s="137">
        <f>-VLOOKUP($B95,[1]!AIP_30,11,FALSE)+100</f>
        <v>-0.28499999999999659</v>
      </c>
      <c r="F95" s="1309" t="s">
        <v>190</v>
      </c>
      <c r="G95" s="1315"/>
      <c r="H95" s="1315"/>
      <c r="I95" s="1315"/>
      <c r="J95" s="467" t="s">
        <v>563</v>
      </c>
      <c r="K95" s="115">
        <v>0.75</v>
      </c>
      <c r="L95" s="115">
        <v>0.75</v>
      </c>
      <c r="M95" s="115">
        <v>0.875</v>
      </c>
      <c r="N95" s="115" t="s">
        <v>56</v>
      </c>
      <c r="O95" s="115" t="s">
        <v>56</v>
      </c>
      <c r="P95" s="225" t="s">
        <v>56</v>
      </c>
    </row>
    <row r="96" spans="2:32" ht="20.25" hidden="1" customHeight="1" x14ac:dyDescent="0.25">
      <c r="B96" s="104">
        <f t="shared" si="2"/>
        <v>8.25</v>
      </c>
      <c r="C96" s="181">
        <f>-VLOOKUP($B96,[1]!AIP_71,11,FALSE)+100</f>
        <v>-0.53499999999999659</v>
      </c>
      <c r="D96" s="131">
        <f>-VLOOKUP($B96,[1]!AIP_15,11,FALSE)+100</f>
        <v>-0.53499999999999659</v>
      </c>
      <c r="E96" s="137">
        <f>-VLOOKUP($B96,[1]!AIP_30,11,FALSE)+100</f>
        <v>-0.53499999999999659</v>
      </c>
      <c r="F96" s="1925" t="s">
        <v>655</v>
      </c>
      <c r="G96" s="1926"/>
      <c r="H96" s="1926"/>
      <c r="I96" s="1926"/>
      <c r="J96" s="97" t="s">
        <v>469</v>
      </c>
      <c r="K96" s="27"/>
      <c r="L96" s="27"/>
      <c r="M96" s="27"/>
      <c r="N96" s="27"/>
      <c r="O96" s="27"/>
      <c r="P96" s="305">
        <v>-1.5</v>
      </c>
    </row>
    <row r="97" spans="2:29" ht="20.25" hidden="1" customHeight="1" x14ac:dyDescent="0.25">
      <c r="B97" s="104"/>
      <c r="C97" s="181"/>
      <c r="D97" s="131"/>
      <c r="E97" s="137"/>
      <c r="F97" s="1309" t="s">
        <v>192</v>
      </c>
      <c r="G97" s="1315"/>
      <c r="H97" s="1315"/>
      <c r="I97" s="1315"/>
      <c r="J97" s="97" t="s">
        <v>470</v>
      </c>
      <c r="P97" s="94">
        <v>-1</v>
      </c>
    </row>
    <row r="98" spans="2:29" ht="20.25" hidden="1" customHeight="1" x14ac:dyDescent="0.25">
      <c r="B98" s="104"/>
      <c r="C98" s="181"/>
      <c r="D98" s="131"/>
      <c r="E98" s="137"/>
      <c r="F98" s="1925" t="s">
        <v>656</v>
      </c>
      <c r="G98" s="1926"/>
      <c r="H98" s="1926"/>
      <c r="I98" s="1994"/>
      <c r="J98" s="97" t="s">
        <v>471</v>
      </c>
      <c r="K98" s="491"/>
      <c r="L98" s="168"/>
      <c r="M98" s="27"/>
      <c r="N98" s="27"/>
      <c r="O98" s="27"/>
      <c r="P98" s="305">
        <v>-0.5</v>
      </c>
      <c r="X98" s="18"/>
      <c r="Y98" s="18"/>
      <c r="Z98" s="18"/>
      <c r="AA98" s="18"/>
      <c r="AB98" s="18"/>
      <c r="AC98" s="18"/>
    </row>
    <row r="99" spans="2:29" ht="18.75" hidden="1" customHeight="1" x14ac:dyDescent="0.25">
      <c r="B99" s="104"/>
      <c r="C99" s="181"/>
      <c r="D99" s="131"/>
      <c r="E99" s="137"/>
      <c r="F99" s="1309" t="s">
        <v>194</v>
      </c>
      <c r="G99" s="1315"/>
      <c r="H99" s="1315"/>
      <c r="I99" s="1315"/>
      <c r="J99" s="97" t="s">
        <v>202</v>
      </c>
      <c r="K99" s="491"/>
      <c r="L99" s="168"/>
      <c r="M99" s="27"/>
      <c r="N99" s="27"/>
      <c r="O99" s="27"/>
      <c r="P99" s="305">
        <v>0.75</v>
      </c>
      <c r="X99" s="18"/>
      <c r="Y99" s="18"/>
      <c r="Z99" s="18"/>
      <c r="AA99" s="18"/>
      <c r="AB99" s="18"/>
      <c r="AC99" s="18"/>
    </row>
    <row r="100" spans="2:29" s="18" customFormat="1" ht="20.25" hidden="1" customHeight="1" thickBot="1" x14ac:dyDescent="0.3">
      <c r="B100" s="388"/>
      <c r="C100" s="532"/>
      <c r="D100" s="485"/>
      <c r="E100" s="540"/>
      <c r="F100" s="1925" t="s">
        <v>657</v>
      </c>
      <c r="G100" s="1926"/>
      <c r="H100" s="1926"/>
      <c r="I100" s="1926"/>
      <c r="J100" s="97" t="s">
        <v>85</v>
      </c>
      <c r="K100" s="491"/>
      <c r="L100" s="27"/>
      <c r="M100" s="27"/>
      <c r="N100" s="27"/>
      <c r="O100" s="27"/>
      <c r="P100" s="305">
        <v>3</v>
      </c>
    </row>
    <row r="101" spans="2:29" s="18" customFormat="1" ht="20.25" hidden="1" customHeight="1" thickBot="1" x14ac:dyDescent="0.3">
      <c r="B101" s="536"/>
      <c r="C101" s="537"/>
      <c r="D101" s="537"/>
      <c r="E101" s="538"/>
      <c r="F101" s="1323" t="s">
        <v>197</v>
      </c>
      <c r="G101" s="1324"/>
      <c r="H101" s="1324"/>
      <c r="I101" s="1324"/>
      <c r="J101" s="97" t="s">
        <v>91</v>
      </c>
      <c r="K101" s="27"/>
      <c r="L101" s="27"/>
      <c r="M101" s="27"/>
      <c r="N101" s="27"/>
      <c r="O101" s="27"/>
      <c r="P101" s="305">
        <v>0.25</v>
      </c>
    </row>
    <row r="102" spans="2:29" s="18" customFormat="1" ht="20.25" hidden="1" customHeight="1" x14ac:dyDescent="0.25">
      <c r="B102" s="1971" t="s">
        <v>186</v>
      </c>
      <c r="C102" s="1972"/>
      <c r="D102" s="1972"/>
      <c r="E102" s="1973"/>
      <c r="F102" s="1250" t="s">
        <v>335</v>
      </c>
      <c r="G102" s="1251"/>
      <c r="H102" s="1251"/>
      <c r="I102" s="1251"/>
      <c r="J102" s="97" t="s">
        <v>170</v>
      </c>
      <c r="K102" s="27"/>
      <c r="L102" s="27"/>
      <c r="M102" s="27"/>
      <c r="N102" s="27"/>
      <c r="O102" s="27"/>
      <c r="P102" s="305">
        <v>0.75</v>
      </c>
    </row>
    <row r="103" spans="2:29" s="18" customFormat="1" ht="18.75" hidden="1" thickBot="1" x14ac:dyDescent="0.3">
      <c r="B103" s="1903" t="s">
        <v>651</v>
      </c>
      <c r="C103" s="1904"/>
      <c r="D103" s="1904"/>
      <c r="E103" s="1905"/>
      <c r="F103" s="1812" t="s">
        <v>334</v>
      </c>
      <c r="G103" s="1253"/>
      <c r="H103" s="1253"/>
      <c r="I103" s="1813"/>
      <c r="J103" s="97" t="s">
        <v>203</v>
      </c>
      <c r="K103" s="27"/>
      <c r="L103" s="27"/>
      <c r="M103" s="27"/>
      <c r="N103" s="27"/>
      <c r="O103" s="27"/>
      <c r="P103" s="305">
        <v>0.375</v>
      </c>
    </row>
    <row r="104" spans="2:29" s="18" customFormat="1" ht="2.25" hidden="1" customHeight="1" thickBot="1" x14ac:dyDescent="0.3">
      <c r="B104" s="476"/>
      <c r="C104" s="442"/>
      <c r="D104" s="477"/>
      <c r="E104" s="477"/>
      <c r="F104" s="470"/>
      <c r="G104" s="470"/>
      <c r="H104" s="470"/>
      <c r="I104" s="575"/>
      <c r="K104" s="27"/>
      <c r="L104" s="27"/>
      <c r="M104" s="27"/>
      <c r="N104" s="27"/>
      <c r="O104" s="27"/>
      <c r="P104" s="35"/>
    </row>
    <row r="105" spans="2:29" s="18" customFormat="1" ht="20.25" hidden="1" customHeight="1" thickBot="1" x14ac:dyDescent="0.3">
      <c r="B105" s="1339" t="s">
        <v>573</v>
      </c>
      <c r="C105" s="1340"/>
      <c r="D105" s="1341"/>
      <c r="E105" s="626" t="s">
        <v>570</v>
      </c>
      <c r="F105" s="626"/>
      <c r="G105" s="626"/>
      <c r="H105" s="626"/>
      <c r="I105" s="627"/>
      <c r="J105" s="97" t="s">
        <v>205</v>
      </c>
      <c r="P105" s="305">
        <v>0.5</v>
      </c>
    </row>
    <row r="106" spans="2:29" s="18" customFormat="1" ht="20.25" hidden="1" customHeight="1" thickBot="1" x14ac:dyDescent="0.3">
      <c r="B106" s="337" t="s">
        <v>207</v>
      </c>
      <c r="C106" s="114"/>
      <c r="D106" s="464">
        <v>0.25</v>
      </c>
      <c r="E106" s="18" t="s">
        <v>88</v>
      </c>
      <c r="F106" s="625">
        <v>0.75</v>
      </c>
      <c r="H106" s="18" t="s">
        <v>89</v>
      </c>
      <c r="I106" s="632">
        <v>1</v>
      </c>
      <c r="J106" s="27" t="s">
        <v>174</v>
      </c>
      <c r="K106" s="27"/>
      <c r="L106" s="27"/>
      <c r="M106" s="27"/>
      <c r="N106" s="27"/>
      <c r="O106" s="27"/>
      <c r="P106" s="305">
        <v>0.125</v>
      </c>
    </row>
    <row r="107" spans="2:29" s="18" customFormat="1" ht="20.25" hidden="1" customHeight="1" thickTop="1" thickBot="1" x14ac:dyDescent="0.3">
      <c r="B107" s="337"/>
      <c r="C107" s="114"/>
      <c r="D107" s="130"/>
      <c r="E107" s="18" t="s">
        <v>188</v>
      </c>
      <c r="F107" s="625">
        <v>1.5</v>
      </c>
      <c r="I107" s="35"/>
      <c r="J107" s="1950" t="s">
        <v>644</v>
      </c>
      <c r="K107" s="1951"/>
      <c r="L107" s="1951"/>
      <c r="M107" s="1951"/>
      <c r="N107" s="1951"/>
      <c r="O107" s="1951"/>
      <c r="P107" s="1952"/>
      <c r="X107" s="5"/>
      <c r="Y107" s="5"/>
      <c r="Z107" s="5"/>
      <c r="AA107" s="5"/>
      <c r="AB107" s="5"/>
      <c r="AC107" s="5"/>
    </row>
    <row r="108" spans="2:29" s="18" customFormat="1" ht="20.25" hidden="1" customHeight="1" thickBot="1" x14ac:dyDescent="0.3">
      <c r="B108" s="337"/>
      <c r="C108" s="114"/>
      <c r="D108" s="405"/>
      <c r="F108" s="625"/>
      <c r="I108" s="478"/>
      <c r="J108" s="803" t="s">
        <v>645</v>
      </c>
      <c r="K108" s="804"/>
      <c r="L108" s="804"/>
      <c r="M108" s="805"/>
      <c r="N108" s="805"/>
      <c r="O108" s="805"/>
      <c r="P108" s="806">
        <v>0</v>
      </c>
      <c r="X108" s="5"/>
      <c r="Y108" s="5"/>
      <c r="Z108" s="5"/>
      <c r="AA108" s="5"/>
      <c r="AB108" s="5"/>
      <c r="AC108" s="5"/>
    </row>
    <row r="109" spans="2:29" ht="19.5" hidden="1" customHeight="1" x14ac:dyDescent="0.25">
      <c r="B109" s="1250" t="s">
        <v>532</v>
      </c>
      <c r="C109" s="1251"/>
      <c r="D109" s="1251"/>
      <c r="E109" s="1251"/>
      <c r="F109" s="1251"/>
      <c r="G109" s="1251"/>
      <c r="H109" s="1251"/>
      <c r="I109" s="1251"/>
      <c r="J109" s="1253"/>
      <c r="K109" s="1253"/>
      <c r="L109" s="1253"/>
      <c r="M109" s="1253"/>
      <c r="N109" s="1253"/>
      <c r="O109" s="1253"/>
      <c r="P109" s="1813"/>
    </row>
    <row r="110" spans="2:29" ht="18" hidden="1" customHeight="1" x14ac:dyDescent="0.25">
      <c r="B110" s="1812" t="s">
        <v>10</v>
      </c>
      <c r="C110" s="1253"/>
      <c r="D110" s="1253"/>
      <c r="E110" s="1253"/>
      <c r="F110" s="1253"/>
      <c r="G110" s="1253"/>
      <c r="H110" s="1253"/>
      <c r="I110" s="1253"/>
      <c r="J110" s="1253"/>
      <c r="K110" s="1253"/>
      <c r="L110" s="1253"/>
      <c r="M110" s="1253"/>
      <c r="N110" s="1253"/>
      <c r="O110" s="1253"/>
      <c r="P110" s="1813"/>
    </row>
    <row r="111" spans="2:29" ht="19.5" hidden="1" customHeight="1" thickBot="1" x14ac:dyDescent="0.3">
      <c r="B111" s="1275" t="s">
        <v>23</v>
      </c>
      <c r="C111" s="1276"/>
      <c r="D111" s="1276"/>
      <c r="E111" s="1276"/>
      <c r="F111" s="1276"/>
      <c r="G111" s="1276"/>
      <c r="H111" s="1276"/>
      <c r="I111" s="1276"/>
      <c r="J111" s="1276"/>
      <c r="K111" s="1276"/>
      <c r="L111" s="1276"/>
      <c r="M111" s="1276"/>
      <c r="N111" s="1276"/>
      <c r="O111" s="1276"/>
      <c r="P111" s="1277"/>
    </row>
    <row r="112" spans="2:29" ht="16.5" x14ac:dyDescent="0.25">
      <c r="B112" s="1250" t="s">
        <v>679</v>
      </c>
      <c r="C112" s="1251"/>
      <c r="D112" s="1251"/>
      <c r="E112" s="1251"/>
      <c r="F112" s="1251"/>
      <c r="G112" s="1251"/>
      <c r="H112" s="1251"/>
      <c r="I112" s="1251"/>
      <c r="J112" s="1253"/>
      <c r="K112" s="1253"/>
      <c r="L112" s="1253"/>
      <c r="M112" s="1253"/>
      <c r="N112" s="1253"/>
      <c r="O112" s="1253"/>
      <c r="P112" s="1813"/>
    </row>
    <row r="113" spans="2:21" ht="16.5" x14ac:dyDescent="0.25">
      <c r="B113" s="1812" t="s">
        <v>10</v>
      </c>
      <c r="C113" s="1253"/>
      <c r="D113" s="1253"/>
      <c r="E113" s="1253"/>
      <c r="F113" s="1253"/>
      <c r="G113" s="1253"/>
      <c r="H113" s="1253"/>
      <c r="I113" s="1253"/>
      <c r="J113" s="1253"/>
      <c r="K113" s="1253"/>
      <c r="L113" s="1253"/>
      <c r="M113" s="1253"/>
      <c r="N113" s="1253"/>
      <c r="O113" s="1253"/>
      <c r="P113" s="1813"/>
    </row>
    <row r="114" spans="2:21" ht="17.25" thickBot="1" x14ac:dyDescent="0.3">
      <c r="B114" s="1275" t="s">
        <v>23</v>
      </c>
      <c r="C114" s="1276"/>
      <c r="D114" s="1276"/>
      <c r="E114" s="1276"/>
      <c r="F114" s="1276"/>
      <c r="G114" s="1276"/>
      <c r="H114" s="1276"/>
      <c r="I114" s="1276"/>
      <c r="J114" s="1276"/>
      <c r="K114" s="1276"/>
      <c r="L114" s="1276"/>
      <c r="M114" s="1276"/>
      <c r="N114" s="1276"/>
      <c r="O114" s="1276"/>
      <c r="P114" s="1277"/>
      <c r="Q114" s="15"/>
      <c r="R114" s="15"/>
      <c r="S114" s="15"/>
      <c r="T114" s="15"/>
      <c r="U114" s="15"/>
    </row>
    <row r="115" spans="2:21" x14ac:dyDescent="0.2">
      <c r="K115" s="37"/>
    </row>
  </sheetData>
  <mergeCells count="88">
    <mergeCell ref="B112:P112"/>
    <mergeCell ref="B113:P113"/>
    <mergeCell ref="B114:P114"/>
    <mergeCell ref="B16:P16"/>
    <mergeCell ref="B2:D2"/>
    <mergeCell ref="N2:P2"/>
    <mergeCell ref="B3:D3"/>
    <mergeCell ref="B4:D4"/>
    <mergeCell ref="B5:D5"/>
    <mergeCell ref="B6:D6"/>
    <mergeCell ref="B8:P9"/>
    <mergeCell ref="B10:C10"/>
    <mergeCell ref="L10:P10"/>
    <mergeCell ref="B12:P12"/>
    <mergeCell ref="B13:P14"/>
    <mergeCell ref="B19:P19"/>
    <mergeCell ref="B20:P20"/>
    <mergeCell ref="B21:C21"/>
    <mergeCell ref="E21:F21"/>
    <mergeCell ref="H21:J22"/>
    <mergeCell ref="K21:P22"/>
    <mergeCell ref="B22:C22"/>
    <mergeCell ref="E22:F22"/>
    <mergeCell ref="G40:J40"/>
    <mergeCell ref="U28:Y28"/>
    <mergeCell ref="H30:J31"/>
    <mergeCell ref="K30:P31"/>
    <mergeCell ref="K32:M32"/>
    <mergeCell ref="N32:P32"/>
    <mergeCell ref="K33:M33"/>
    <mergeCell ref="N33:P33"/>
    <mergeCell ref="K34:P34"/>
    <mergeCell ref="K35:P35"/>
    <mergeCell ref="U35:U36"/>
    <mergeCell ref="K37:P37"/>
    <mergeCell ref="G39:J39"/>
    <mergeCell ref="C69:H69"/>
    <mergeCell ref="G41:J41"/>
    <mergeCell ref="G42:J42"/>
    <mergeCell ref="G44:J44"/>
    <mergeCell ref="B46:P47"/>
    <mergeCell ref="B49:E49"/>
    <mergeCell ref="F49:I49"/>
    <mergeCell ref="J49:P49"/>
    <mergeCell ref="B60:E60"/>
    <mergeCell ref="F59:I59"/>
    <mergeCell ref="C64:I64"/>
    <mergeCell ref="C67:I67"/>
    <mergeCell ref="J60:P60"/>
    <mergeCell ref="B76:P77"/>
    <mergeCell ref="B79:E79"/>
    <mergeCell ref="F79:I79"/>
    <mergeCell ref="J79:P79"/>
    <mergeCell ref="B80:E81"/>
    <mergeCell ref="F80:I80"/>
    <mergeCell ref="F81:I81"/>
    <mergeCell ref="F90:I90"/>
    <mergeCell ref="C82:C84"/>
    <mergeCell ref="D82:D84"/>
    <mergeCell ref="E82:E84"/>
    <mergeCell ref="F82:I82"/>
    <mergeCell ref="F83:I83"/>
    <mergeCell ref="F84:I84"/>
    <mergeCell ref="F85:G85"/>
    <mergeCell ref="F86:G86"/>
    <mergeCell ref="F87:G87"/>
    <mergeCell ref="F88:G88"/>
    <mergeCell ref="F89:I89"/>
    <mergeCell ref="B102:E102"/>
    <mergeCell ref="F102:I102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B111:P111"/>
    <mergeCell ref="B103:E103"/>
    <mergeCell ref="F103:I103"/>
    <mergeCell ref="B105:D105"/>
    <mergeCell ref="J107:P107"/>
    <mergeCell ref="B109:P109"/>
    <mergeCell ref="B110:P110"/>
  </mergeCells>
  <hyperlinks>
    <hyperlink ref="B19:D19" r:id="rId1" display="INVESTOR ADVANTAGE- MATRIX (CLICK)" xr:uid="{EEEBF0A7-CBF2-4E06-A3FC-6CEC831E4EEB}"/>
    <hyperlink ref="D10" r:id="rId2" display="Lockdesk@amwestfunding.com" xr:uid="{F8D39BF9-58FE-4826-9237-AFCC4BAC3D4D}"/>
    <hyperlink ref="B6" r:id="rId3" xr:uid="{A8C9AF47-ADCC-4DA5-A810-F8F2884B4DFF}"/>
    <hyperlink ref="B79:E79" r:id="rId4" display="Click For Guideline" xr:uid="{B7D1C294-EBDE-4BCF-8032-9419CB3B34C3}"/>
    <hyperlink ref="I69" r:id="rId5" xr:uid="{1309E26E-C522-49C8-A7AB-ECF59CC696C0}"/>
    <hyperlink ref="K41" r:id="rId6" display="STATES with &quot;RESTRICTED&quot; PREPAYMENT   (Please reference Prepay guidelines)" xr:uid="{F257FA21-B252-48F3-AB65-A7B7DCDD0ED5}"/>
  </hyperlinks>
  <printOptions horizontalCentered="1" verticalCentered="1"/>
  <pageMargins left="0.1" right="0.1" top="0.1" bottom="0.1" header="0.1" footer="0.1"/>
  <pageSetup paperSize="5" scale="46" orientation="portrait" r:id="rId7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3DA71FC3C6054FB06D9C4A2BF8FD03" ma:contentTypeVersion="14" ma:contentTypeDescription="Create a new document." ma:contentTypeScope="" ma:versionID="e369eff769ca0c423dbc339417e2d429">
  <xsd:schema xmlns:xsd="http://www.w3.org/2001/XMLSchema" xmlns:xs="http://www.w3.org/2001/XMLSchema" xmlns:p="http://schemas.microsoft.com/office/2006/metadata/properties" xmlns:ns3="4ab989d5-eede-46a9-a0dc-c2ed5913fb63" xmlns:ns4="31615b7b-a526-4409-b808-c6dce9b685df" targetNamespace="http://schemas.microsoft.com/office/2006/metadata/properties" ma:root="true" ma:fieldsID="363fe237f40743812f8d3ce2398078ce" ns3:_="" ns4:_="">
    <xsd:import namespace="4ab989d5-eede-46a9-a0dc-c2ed5913fb63"/>
    <xsd:import namespace="31615b7b-a526-4409-b808-c6dce9b685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989d5-eede-46a9-a0dc-c2ed5913f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15b7b-a526-4409-b808-c6dce9b68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b989d5-eede-46a9-a0dc-c2ed5913fb6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F63985-AEC5-4987-A596-840714295D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b989d5-eede-46a9-a0dc-c2ed5913fb63"/>
    <ds:schemaRef ds:uri="31615b7b-a526-4409-b808-c6dce9b68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DECA63-9BF3-4754-BD3A-164D04716496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4ab989d5-eede-46a9-a0dc-c2ed5913fb63"/>
    <ds:schemaRef ds:uri="http://schemas.microsoft.com/office/2006/metadata/properties"/>
    <ds:schemaRef ds:uri="http://purl.org/dc/elements/1.1/"/>
    <ds:schemaRef ds:uri="http://schemas.microsoft.com/office/infopath/2007/PartnerControls"/>
    <ds:schemaRef ds:uri="31615b7b-a526-4409-b808-c6dce9b685d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927A635-288D-4AF4-A414-F29E56BC70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CONV</vt:lpstr>
      <vt:lpstr>FT_LLPAS</vt:lpstr>
      <vt:lpstr>LLPAS</vt:lpstr>
      <vt:lpstr>HR &amp; HP</vt:lpstr>
      <vt:lpstr>CES</vt:lpstr>
      <vt:lpstr>HELOC</vt:lpstr>
      <vt:lpstr>AAA_AAI_AAQ_AAO</vt:lpstr>
      <vt:lpstr>AIA_AIP</vt:lpstr>
      <vt:lpstr>JUMBO</vt:lpstr>
      <vt:lpstr>GOV</vt:lpstr>
      <vt:lpstr>3 SPRING SPECIAL_AAA_AAB</vt:lpstr>
      <vt:lpstr>3 SPRING SPECIAL_ AIA DSCR</vt:lpstr>
      <vt:lpstr>'3 SPRING SPECIAL_ AIA DSCR'!Print_Area</vt:lpstr>
      <vt:lpstr>'3 SPRING SPECIAL_AAA_AAB'!Print_Area</vt:lpstr>
      <vt:lpstr>AAA_AAI_AAQ_AAO!Print_Area</vt:lpstr>
      <vt:lpstr>AIA_AIP!Print_Area</vt:lpstr>
      <vt:lpstr>CES!Print_Area</vt:lpstr>
      <vt:lpstr>FT_LLPAS!Print_Area</vt:lpstr>
      <vt:lpstr>GOV!Print_Area</vt:lpstr>
      <vt:lpstr>HELOC!Print_Area</vt:lpstr>
      <vt:lpstr>'HR &amp; HP'!Print_Area</vt:lpstr>
      <vt:lpstr>JUMBO!Print_Area</vt:lpstr>
      <vt:lpstr>LLPAS!Print_Area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Calvin Kim</dc:creator>
  <cp:keywords/>
  <dc:description/>
  <cp:lastModifiedBy>Julian Agredano</cp:lastModifiedBy>
  <cp:revision/>
  <cp:lastPrinted>2026-02-27T23:09:03Z</cp:lastPrinted>
  <dcterms:created xsi:type="dcterms:W3CDTF">2016-02-18T19:19:14Z</dcterms:created>
  <dcterms:modified xsi:type="dcterms:W3CDTF">2026-03-20T19:41:14Z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0x010100363DA71FC3C6054FB06D9C4A2BF8FD03</vt:lpwstr>
  </property>
</Properties>
</file>