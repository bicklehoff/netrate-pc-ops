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0zVCS0KiFNVvBZGzbio5pSSgYTh4KGs-\Rate Sheet Template\Archive XLS\"/>
    </mc:Choice>
  </mc:AlternateContent>
  <xr:revisionPtr revIDLastSave="0" documentId="13_ncr:1_{A05A4F64-AD84-463F-8950-9D1B3A8948C7}" xr6:coauthVersionLast="47" xr6:coauthVersionMax="47" xr10:uidLastSave="{00000000-0000-0000-0000-000000000000}"/>
  <workbookProtection workbookPassword="A714" lockStructure="1"/>
  <bookViews>
    <workbookView xWindow="28680" yWindow="-510" windowWidth="29040" windowHeight="15720" xr2:uid="{DCB186E9-BA8B-4702-9C5E-15447EC4FC8E}"/>
  </bookViews>
  <sheets>
    <sheet name="Sheet1" sheetId="1" r:id="rId1"/>
  </sheets>
  <definedNames>
    <definedName name="_xlnm.Print_Area" localSheetId="0">Sheet1!$A$1:$Z$1151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18" i="1" l="1"/>
  <c r="W928" i="1" l="1"/>
  <c r="W755" i="1"/>
  <c r="W673" i="1"/>
  <c r="W605" i="1"/>
  <c r="W235" i="1"/>
  <c r="I163" i="1" l="1"/>
  <c r="I164" i="1" l="1"/>
  <c r="I165" i="1" l="1"/>
  <c r="I166" i="1" l="1"/>
  <c r="I167" i="1" l="1"/>
  <c r="I168" i="1" l="1"/>
  <c r="I169" i="1" l="1"/>
  <c r="I170" i="1" l="1"/>
  <c r="I171" i="1" l="1"/>
  <c r="I172" i="1" l="1"/>
  <c r="I173" i="1" l="1"/>
  <c r="I174" i="1" l="1"/>
  <c r="I175" i="1" l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184" i="1"/>
  <c r="I176" i="1" l="1"/>
  <c r="I177" i="1" l="1"/>
  <c r="I178" i="1" l="1"/>
  <c r="I203" i="1"/>
  <c r="D537" i="1" l="1"/>
  <c r="E537" i="1" s="1"/>
  <c r="F537" i="1" s="1"/>
  <c r="G537" i="1" s="1"/>
  <c r="H537" i="1" s="1"/>
  <c r="D536" i="1"/>
  <c r="E536" i="1" s="1"/>
  <c r="F536" i="1" s="1"/>
  <c r="G536" i="1" s="1"/>
  <c r="H536" i="1" s="1"/>
  <c r="D535" i="1"/>
  <c r="E535" i="1" s="1"/>
  <c r="F535" i="1" s="1"/>
  <c r="G535" i="1" s="1"/>
  <c r="H535" i="1" s="1"/>
  <c r="D534" i="1"/>
  <c r="E534" i="1" s="1"/>
  <c r="F534" i="1" s="1"/>
  <c r="G534" i="1" s="1"/>
  <c r="H534" i="1" s="1"/>
  <c r="D533" i="1"/>
  <c r="E533" i="1" s="1"/>
  <c r="F533" i="1" s="1"/>
  <c r="G533" i="1" s="1"/>
  <c r="H533" i="1" s="1"/>
  <c r="D532" i="1"/>
  <c r="E532" i="1" s="1"/>
  <c r="F532" i="1" s="1"/>
  <c r="G532" i="1" s="1"/>
  <c r="H532" i="1" s="1"/>
  <c r="R534" i="1"/>
  <c r="S534" i="1" s="1"/>
  <c r="T534" i="1" s="1"/>
  <c r="U534" i="1" s="1"/>
  <c r="V534" i="1" s="1"/>
  <c r="R533" i="1"/>
  <c r="S533" i="1" s="1"/>
  <c r="T533" i="1" s="1"/>
  <c r="U533" i="1" s="1"/>
  <c r="V533" i="1" s="1"/>
  <c r="R532" i="1"/>
  <c r="S532" i="1" s="1"/>
  <c r="T532" i="1" s="1"/>
  <c r="U532" i="1" s="1"/>
  <c r="V532" i="1" s="1"/>
  <c r="R531" i="1"/>
  <c r="S531" i="1" s="1"/>
  <c r="T531" i="1" s="1"/>
  <c r="U531" i="1" s="1"/>
  <c r="V531" i="1" s="1"/>
  <c r="R530" i="1"/>
  <c r="S530" i="1" s="1"/>
  <c r="T530" i="1" s="1"/>
  <c r="U530" i="1" s="1"/>
  <c r="V530" i="1" s="1"/>
  <c r="R529" i="1"/>
  <c r="S529" i="1" s="1"/>
  <c r="T529" i="1" s="1"/>
  <c r="U529" i="1" s="1"/>
  <c r="V529" i="1" s="1"/>
  <c r="R528" i="1"/>
  <c r="S528" i="1" s="1"/>
  <c r="T528" i="1" s="1"/>
  <c r="U528" i="1" s="1"/>
  <c r="V528" i="1" s="1"/>
  <c r="R527" i="1"/>
  <c r="S527" i="1" s="1"/>
  <c r="T527" i="1" s="1"/>
  <c r="U527" i="1" s="1"/>
  <c r="V527" i="1" s="1"/>
  <c r="R526" i="1"/>
  <c r="S526" i="1" s="1"/>
  <c r="T526" i="1" s="1"/>
  <c r="U526" i="1" s="1"/>
  <c r="V526" i="1" s="1"/>
  <c r="R525" i="1"/>
  <c r="S525" i="1" s="1"/>
  <c r="T525" i="1" s="1"/>
  <c r="U525" i="1" s="1"/>
  <c r="V525" i="1" s="1"/>
  <c r="R524" i="1"/>
  <c r="S524" i="1" s="1"/>
  <c r="T524" i="1" s="1"/>
  <c r="U524" i="1" s="1"/>
  <c r="V524" i="1" s="1"/>
  <c r="K536" i="1"/>
  <c r="L536" i="1" s="1"/>
  <c r="M536" i="1" s="1"/>
  <c r="N536" i="1" s="1"/>
  <c r="O536" i="1" s="1"/>
  <c r="K535" i="1"/>
  <c r="L535" i="1" s="1"/>
  <c r="M535" i="1" s="1"/>
  <c r="N535" i="1" s="1"/>
  <c r="O535" i="1" s="1"/>
  <c r="K534" i="1"/>
  <c r="L534" i="1" s="1"/>
  <c r="M534" i="1" s="1"/>
  <c r="N534" i="1" s="1"/>
  <c r="O534" i="1" s="1"/>
  <c r="K533" i="1"/>
  <c r="L533" i="1" s="1"/>
  <c r="M533" i="1" s="1"/>
  <c r="N533" i="1" s="1"/>
  <c r="O533" i="1" s="1"/>
  <c r="K532" i="1"/>
  <c r="L532" i="1" s="1"/>
  <c r="M532" i="1" s="1"/>
  <c r="N532" i="1" s="1"/>
  <c r="O532" i="1" s="1"/>
  <c r="K531" i="1"/>
  <c r="L531" i="1" s="1"/>
  <c r="M531" i="1" s="1"/>
  <c r="N531" i="1" s="1"/>
  <c r="O531" i="1" s="1"/>
  <c r="K530" i="1"/>
  <c r="L530" i="1" s="1"/>
  <c r="M530" i="1" s="1"/>
  <c r="N530" i="1" s="1"/>
  <c r="O530" i="1" s="1"/>
  <c r="K529" i="1"/>
  <c r="L529" i="1" s="1"/>
  <c r="M529" i="1" s="1"/>
  <c r="N529" i="1" s="1"/>
  <c r="O529" i="1" s="1"/>
  <c r="K528" i="1"/>
  <c r="L528" i="1" s="1"/>
  <c r="M528" i="1" s="1"/>
  <c r="N528" i="1" s="1"/>
  <c r="O528" i="1" s="1"/>
  <c r="K527" i="1"/>
  <c r="L527" i="1" s="1"/>
  <c r="M527" i="1" s="1"/>
  <c r="N527" i="1" s="1"/>
  <c r="O527" i="1" s="1"/>
  <c r="K526" i="1"/>
  <c r="L526" i="1" s="1"/>
  <c r="M526" i="1" s="1"/>
  <c r="N526" i="1" s="1"/>
  <c r="O526" i="1" s="1"/>
  <c r="K525" i="1"/>
  <c r="L525" i="1" s="1"/>
  <c r="M525" i="1" s="1"/>
  <c r="N525" i="1" s="1"/>
  <c r="O525" i="1" s="1"/>
  <c r="K524" i="1"/>
  <c r="L524" i="1" s="1"/>
  <c r="M524" i="1" s="1"/>
  <c r="N524" i="1" s="1"/>
  <c r="O524" i="1" s="1"/>
  <c r="D531" i="1"/>
  <c r="E531" i="1" s="1"/>
  <c r="F531" i="1" s="1"/>
  <c r="G531" i="1" s="1"/>
  <c r="H531" i="1" s="1"/>
  <c r="D530" i="1"/>
  <c r="E530" i="1" s="1"/>
  <c r="F530" i="1" s="1"/>
  <c r="G530" i="1" s="1"/>
  <c r="H530" i="1" s="1"/>
  <c r="D529" i="1"/>
  <c r="E529" i="1" s="1"/>
  <c r="F529" i="1" s="1"/>
  <c r="G529" i="1" s="1"/>
  <c r="H529" i="1" s="1"/>
  <c r="D528" i="1"/>
  <c r="E528" i="1" s="1"/>
  <c r="F528" i="1" s="1"/>
  <c r="G528" i="1" s="1"/>
  <c r="H528" i="1" s="1"/>
  <c r="D527" i="1"/>
  <c r="E527" i="1" s="1"/>
  <c r="F527" i="1" s="1"/>
  <c r="G527" i="1" s="1"/>
  <c r="H527" i="1" s="1"/>
  <c r="D526" i="1"/>
  <c r="E526" i="1" s="1"/>
  <c r="F526" i="1" s="1"/>
  <c r="G526" i="1" s="1"/>
  <c r="H526" i="1" s="1"/>
  <c r="D525" i="1"/>
  <c r="E525" i="1" s="1"/>
  <c r="F525" i="1" s="1"/>
  <c r="G525" i="1" s="1"/>
  <c r="H525" i="1" s="1"/>
  <c r="D524" i="1"/>
  <c r="E524" i="1" s="1"/>
  <c r="F524" i="1" s="1"/>
  <c r="G524" i="1" s="1"/>
  <c r="H524" i="1" s="1"/>
  <c r="D550" i="1" l="1"/>
  <c r="E550" i="1" s="1"/>
  <c r="F550" i="1" s="1"/>
  <c r="G550" i="1" s="1"/>
  <c r="H550" i="1" s="1"/>
  <c r="D549" i="1"/>
  <c r="E549" i="1" s="1"/>
  <c r="F549" i="1" s="1"/>
  <c r="G549" i="1" s="1"/>
  <c r="H549" i="1" s="1"/>
  <c r="D548" i="1"/>
  <c r="E548" i="1" s="1"/>
  <c r="F548" i="1" s="1"/>
  <c r="G548" i="1" s="1"/>
  <c r="H548" i="1" s="1"/>
  <c r="D547" i="1"/>
  <c r="E547" i="1" s="1"/>
  <c r="F547" i="1" s="1"/>
  <c r="G547" i="1" s="1"/>
  <c r="H547" i="1" s="1"/>
  <c r="D546" i="1"/>
  <c r="E546" i="1" s="1"/>
  <c r="F546" i="1" s="1"/>
  <c r="G546" i="1" s="1"/>
  <c r="H546" i="1" s="1"/>
  <c r="D545" i="1"/>
  <c r="E545" i="1" s="1"/>
  <c r="F545" i="1" s="1"/>
  <c r="G545" i="1" s="1"/>
  <c r="H545" i="1" s="1"/>
  <c r="D544" i="1"/>
  <c r="E544" i="1" s="1"/>
  <c r="F544" i="1" s="1"/>
  <c r="G544" i="1" s="1"/>
  <c r="H544" i="1" s="1"/>
  <c r="D543" i="1"/>
  <c r="E543" i="1" s="1"/>
  <c r="F543" i="1" s="1"/>
  <c r="G543" i="1" s="1"/>
  <c r="H543" i="1" s="1"/>
  <c r="D542" i="1"/>
  <c r="E542" i="1" s="1"/>
  <c r="F542" i="1" s="1"/>
  <c r="G542" i="1" s="1"/>
  <c r="H542" i="1" s="1"/>
  <c r="D541" i="1"/>
  <c r="E541" i="1" s="1"/>
  <c r="F541" i="1" s="1"/>
  <c r="G541" i="1" s="1"/>
  <c r="H541" i="1" s="1"/>
  <c r="R546" i="1" l="1"/>
  <c r="S546" i="1" s="1"/>
  <c r="T546" i="1" s="1"/>
  <c r="U546" i="1" s="1"/>
  <c r="V546" i="1" s="1"/>
  <c r="R547" i="1"/>
  <c r="S547" i="1" s="1"/>
  <c r="T547" i="1" s="1"/>
  <c r="U547" i="1" s="1"/>
  <c r="V547" i="1" s="1"/>
  <c r="R548" i="1"/>
  <c r="S548" i="1" s="1"/>
  <c r="T548" i="1" s="1"/>
  <c r="U548" i="1" s="1"/>
  <c r="V548" i="1" s="1"/>
  <c r="R549" i="1"/>
  <c r="S549" i="1" s="1"/>
  <c r="T549" i="1" s="1"/>
  <c r="U549" i="1" s="1"/>
  <c r="V549" i="1" s="1"/>
  <c r="R550" i="1"/>
  <c r="S550" i="1" s="1"/>
  <c r="T550" i="1" s="1"/>
  <c r="U550" i="1" s="1"/>
  <c r="V550" i="1" s="1"/>
  <c r="R545" i="1" l="1"/>
  <c r="S545" i="1" s="1"/>
  <c r="T545" i="1" s="1"/>
  <c r="U545" i="1" s="1"/>
  <c r="V545" i="1" s="1"/>
  <c r="R544" i="1"/>
  <c r="S544" i="1" s="1"/>
  <c r="T544" i="1" s="1"/>
  <c r="U544" i="1" s="1"/>
  <c r="V544" i="1" s="1"/>
  <c r="R543" i="1"/>
  <c r="S543" i="1" s="1"/>
  <c r="T543" i="1" s="1"/>
  <c r="U543" i="1" s="1"/>
  <c r="V543" i="1" s="1"/>
  <c r="R542" i="1"/>
  <c r="S542" i="1" s="1"/>
  <c r="T542" i="1" s="1"/>
  <c r="U542" i="1" s="1"/>
  <c r="V542" i="1" s="1"/>
  <c r="R541" i="1"/>
  <c r="S541" i="1" s="1"/>
  <c r="T541" i="1" s="1"/>
  <c r="U541" i="1" s="1"/>
  <c r="V541" i="1" s="1"/>
  <c r="K542" i="1"/>
  <c r="L542" i="1" s="1"/>
  <c r="M542" i="1" s="1"/>
  <c r="N542" i="1" s="1"/>
  <c r="O542" i="1" s="1"/>
  <c r="K543" i="1"/>
  <c r="L543" i="1" s="1"/>
  <c r="M543" i="1" s="1"/>
  <c r="N543" i="1" s="1"/>
  <c r="O543" i="1" s="1"/>
  <c r="K544" i="1"/>
  <c r="L544" i="1" s="1"/>
  <c r="M544" i="1" s="1"/>
  <c r="N544" i="1" s="1"/>
  <c r="O544" i="1" s="1"/>
  <c r="K545" i="1"/>
  <c r="L545" i="1" s="1"/>
  <c r="M545" i="1" s="1"/>
  <c r="N545" i="1" s="1"/>
  <c r="O545" i="1" s="1"/>
  <c r="K546" i="1"/>
  <c r="L546" i="1" s="1"/>
  <c r="M546" i="1" s="1"/>
  <c r="N546" i="1" s="1"/>
  <c r="O546" i="1" s="1"/>
  <c r="K547" i="1"/>
  <c r="L547" i="1" s="1"/>
  <c r="M547" i="1" s="1"/>
  <c r="N547" i="1" s="1"/>
  <c r="O547" i="1" s="1"/>
  <c r="K548" i="1"/>
  <c r="L548" i="1" s="1"/>
  <c r="M548" i="1" s="1"/>
  <c r="N548" i="1" s="1"/>
  <c r="O548" i="1" s="1"/>
  <c r="K549" i="1"/>
  <c r="L549" i="1" s="1"/>
  <c r="M549" i="1" s="1"/>
  <c r="N549" i="1" s="1"/>
  <c r="O549" i="1" s="1"/>
  <c r="K550" i="1"/>
  <c r="L550" i="1" s="1"/>
  <c r="M550" i="1" s="1"/>
  <c r="N550" i="1" s="1"/>
  <c r="O550" i="1" s="1"/>
  <c r="K541" i="1"/>
  <c r="L541" i="1" s="1"/>
  <c r="M541" i="1" s="1"/>
  <c r="N541" i="1" s="1"/>
  <c r="O541" i="1" s="1"/>
  <c r="I80" i="1" l="1"/>
  <c r="B441" i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03" i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G841" i="1"/>
  <c r="G842" i="1" s="1"/>
  <c r="G843" i="1" s="1"/>
  <c r="G844" i="1" s="1"/>
  <c r="G845" i="1" s="1"/>
  <c r="G846" i="1" s="1"/>
  <c r="G847" i="1" s="1"/>
  <c r="G848" i="1" s="1"/>
  <c r="G849" i="1" s="1"/>
  <c r="G850" i="1" s="1"/>
  <c r="B841" i="1"/>
  <c r="B842" i="1" s="1"/>
  <c r="B843" i="1" s="1"/>
  <c r="B844" i="1" s="1"/>
  <c r="B845" i="1" s="1"/>
  <c r="B846" i="1" s="1"/>
  <c r="B847" i="1" s="1"/>
  <c r="B848" i="1" s="1"/>
  <c r="B849" i="1" s="1"/>
  <c r="B850" i="1" s="1"/>
  <c r="B887" i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L246" i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G246" i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B246" i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I81" i="1" l="1"/>
  <c r="I204" i="1" l="1"/>
  <c r="I82" i="1"/>
  <c r="I205" i="1" l="1"/>
  <c r="I83" i="1"/>
  <c r="I206" i="1" l="1"/>
  <c r="I84" i="1"/>
  <c r="I207" i="1" l="1"/>
  <c r="I85" i="1"/>
  <c r="B731" i="1" l="1"/>
  <c r="B812" i="1" s="1"/>
  <c r="I86" i="1"/>
  <c r="I128" i="1"/>
  <c r="I87" i="1" l="1"/>
  <c r="B732" i="1"/>
  <c r="B813" i="1" s="1"/>
  <c r="I209" i="1"/>
  <c r="I129" i="1"/>
  <c r="I52" i="1"/>
  <c r="I88" i="1" l="1"/>
  <c r="I210" i="1"/>
  <c r="B733" i="1"/>
  <c r="B814" i="1" s="1"/>
  <c r="I130" i="1"/>
  <c r="I53" i="1"/>
  <c r="I89" i="1" l="1"/>
  <c r="I211" i="1"/>
  <c r="B734" i="1"/>
  <c r="B815" i="1" s="1"/>
  <c r="I131" i="1"/>
  <c r="I54" i="1"/>
  <c r="I55" i="1" s="1"/>
  <c r="I56" i="1" s="1"/>
  <c r="I57" i="1" s="1"/>
  <c r="I90" i="1" l="1"/>
  <c r="I132" i="1"/>
  <c r="I212" i="1"/>
  <c r="I91" i="1" l="1"/>
  <c r="I133" i="1"/>
  <c r="I213" i="1"/>
  <c r="R799" i="1"/>
  <c r="R800" i="1"/>
  <c r="S800" i="1"/>
  <c r="V800" i="1"/>
  <c r="R801" i="1"/>
  <c r="S801" i="1"/>
  <c r="V801" i="1"/>
  <c r="R802" i="1"/>
  <c r="S802" i="1"/>
  <c r="V802" i="1"/>
  <c r="R803" i="1"/>
  <c r="S803" i="1"/>
  <c r="V803" i="1"/>
  <c r="R804" i="1"/>
  <c r="S804" i="1"/>
  <c r="V804" i="1"/>
  <c r="R805" i="1"/>
  <c r="S805" i="1"/>
  <c r="V805" i="1"/>
  <c r="R806" i="1"/>
  <c r="S806" i="1"/>
  <c r="V806" i="1"/>
  <c r="R807" i="1"/>
  <c r="S807" i="1"/>
  <c r="V807" i="1"/>
  <c r="R808" i="1"/>
  <c r="S808" i="1"/>
  <c r="V808" i="1"/>
  <c r="R715" i="1"/>
  <c r="T715" i="1"/>
  <c r="U715" i="1"/>
  <c r="R716" i="1"/>
  <c r="S716" i="1"/>
  <c r="T716" i="1"/>
  <c r="U716" i="1"/>
  <c r="R717" i="1"/>
  <c r="S717" i="1"/>
  <c r="T717" i="1"/>
  <c r="U717" i="1"/>
  <c r="R718" i="1"/>
  <c r="S718" i="1"/>
  <c r="T718" i="1"/>
  <c r="U718" i="1"/>
  <c r="R719" i="1"/>
  <c r="S719" i="1"/>
  <c r="T719" i="1"/>
  <c r="U719" i="1"/>
  <c r="R720" i="1"/>
  <c r="S720" i="1"/>
  <c r="T720" i="1"/>
  <c r="U720" i="1"/>
  <c r="R721" i="1"/>
  <c r="S721" i="1"/>
  <c r="T721" i="1"/>
  <c r="U721" i="1"/>
  <c r="R722" i="1"/>
  <c r="S722" i="1"/>
  <c r="T722" i="1"/>
  <c r="U722" i="1"/>
  <c r="R723" i="1"/>
  <c r="S723" i="1"/>
  <c r="T723" i="1"/>
  <c r="U723" i="1"/>
  <c r="R724" i="1"/>
  <c r="S724" i="1"/>
  <c r="T724" i="1"/>
  <c r="U724" i="1"/>
  <c r="I92" i="1" l="1"/>
  <c r="I134" i="1"/>
  <c r="I214" i="1"/>
  <c r="I93" i="1" l="1"/>
  <c r="I135" i="1"/>
  <c r="I215" i="1"/>
  <c r="U777" i="1"/>
  <c r="V777" i="1"/>
  <c r="U694" i="1"/>
  <c r="V694" i="1"/>
  <c r="I94" i="1" l="1"/>
  <c r="I136" i="1"/>
  <c r="I216" i="1"/>
  <c r="I776" i="1"/>
  <c r="R777" i="1"/>
  <c r="S777" i="1"/>
  <c r="U772" i="1"/>
  <c r="V772" i="1"/>
  <c r="U773" i="1"/>
  <c r="V773" i="1"/>
  <c r="U774" i="1"/>
  <c r="V774" i="1"/>
  <c r="U775" i="1"/>
  <c r="V775" i="1"/>
  <c r="U776" i="1"/>
  <c r="V776" i="1"/>
  <c r="R694" i="1"/>
  <c r="S694" i="1"/>
  <c r="U689" i="1"/>
  <c r="V689" i="1"/>
  <c r="U690" i="1"/>
  <c r="V690" i="1"/>
  <c r="U691" i="1"/>
  <c r="V691" i="1"/>
  <c r="U692" i="1"/>
  <c r="V692" i="1"/>
  <c r="U693" i="1"/>
  <c r="V693" i="1"/>
  <c r="P627" i="1"/>
  <c r="S627" i="1"/>
  <c r="T627" i="1"/>
  <c r="F569" i="1"/>
  <c r="E569" i="1"/>
  <c r="B569" i="1"/>
  <c r="I95" i="1" l="1"/>
  <c r="I217" i="1"/>
  <c r="I137" i="1"/>
  <c r="B662" i="1"/>
  <c r="I775" i="1" l="1"/>
  <c r="B113" i="1" l="1"/>
  <c r="I773" i="1"/>
  <c r="I774" i="1"/>
  <c r="B777" i="1" l="1"/>
  <c r="B114" i="1"/>
  <c r="B565" i="1"/>
  <c r="B566" i="1"/>
  <c r="B567" i="1"/>
  <c r="B568" i="1"/>
  <c r="B564" i="1"/>
  <c r="B778" i="1" l="1"/>
  <c r="B115" i="1"/>
  <c r="B779" i="1" l="1"/>
  <c r="B116" i="1"/>
  <c r="I542" i="1"/>
  <c r="B542" i="1"/>
  <c r="B117" i="1" l="1"/>
  <c r="B543" i="1"/>
  <c r="I543" i="1"/>
  <c r="B544" i="1" l="1"/>
  <c r="I544" i="1"/>
  <c r="I545" i="1" s="1"/>
  <c r="I546" i="1" s="1"/>
  <c r="I547" i="1" s="1"/>
  <c r="I548" i="1" s="1"/>
  <c r="I549" i="1" s="1"/>
  <c r="I550" i="1" s="1"/>
  <c r="B545" i="1" l="1"/>
  <c r="B546" i="1" s="1"/>
  <c r="B547" i="1" s="1"/>
  <c r="B548" i="1" s="1"/>
  <c r="B549" i="1" s="1"/>
  <c r="B550" i="1" s="1"/>
  <c r="I616" i="1" l="1"/>
  <c r="I617" i="1"/>
  <c r="I618" i="1"/>
  <c r="I619" i="1"/>
  <c r="I620" i="1"/>
  <c r="I621" i="1"/>
  <c r="I622" i="1"/>
  <c r="I623" i="1"/>
  <c r="I624" i="1"/>
  <c r="I625" i="1"/>
  <c r="I626" i="1"/>
  <c r="I627" i="1"/>
  <c r="I628" i="1"/>
  <c r="R768" i="1"/>
  <c r="S768" i="1"/>
  <c r="U768" i="1"/>
  <c r="V768" i="1"/>
  <c r="R769" i="1"/>
  <c r="S769" i="1"/>
  <c r="U769" i="1"/>
  <c r="V769" i="1"/>
  <c r="R770" i="1"/>
  <c r="S770" i="1"/>
  <c r="U770" i="1"/>
  <c r="V770" i="1"/>
  <c r="R771" i="1"/>
  <c r="S771" i="1"/>
  <c r="U771" i="1"/>
  <c r="V771" i="1"/>
  <c r="R772" i="1"/>
  <c r="S772" i="1"/>
  <c r="R773" i="1"/>
  <c r="S773" i="1"/>
  <c r="R774" i="1"/>
  <c r="S774" i="1"/>
  <c r="R775" i="1"/>
  <c r="S775" i="1"/>
  <c r="R776" i="1"/>
  <c r="S776" i="1"/>
  <c r="R685" i="1"/>
  <c r="S685" i="1"/>
  <c r="U685" i="1"/>
  <c r="V685" i="1"/>
  <c r="R686" i="1"/>
  <c r="S686" i="1"/>
  <c r="U686" i="1"/>
  <c r="V686" i="1"/>
  <c r="R687" i="1"/>
  <c r="S687" i="1"/>
  <c r="U687" i="1"/>
  <c r="V687" i="1"/>
  <c r="R688" i="1"/>
  <c r="S688" i="1"/>
  <c r="U688" i="1"/>
  <c r="V688" i="1"/>
  <c r="R689" i="1"/>
  <c r="S689" i="1"/>
  <c r="R690" i="1"/>
  <c r="S690" i="1"/>
  <c r="R691" i="1"/>
  <c r="S691" i="1"/>
  <c r="R692" i="1"/>
  <c r="S692" i="1"/>
  <c r="R693" i="1"/>
  <c r="S693" i="1"/>
  <c r="P622" i="1"/>
  <c r="S622" i="1"/>
  <c r="T622" i="1"/>
  <c r="P623" i="1"/>
  <c r="S623" i="1"/>
  <c r="T623" i="1"/>
  <c r="P624" i="1"/>
  <c r="S624" i="1"/>
  <c r="T624" i="1"/>
  <c r="P625" i="1"/>
  <c r="S625" i="1"/>
  <c r="T625" i="1"/>
  <c r="P626" i="1"/>
  <c r="S626" i="1"/>
  <c r="T626" i="1"/>
  <c r="B776" i="1"/>
  <c r="B775" i="1"/>
  <c r="B774" i="1"/>
  <c r="B773" i="1"/>
  <c r="I772" i="1"/>
  <c r="B772" i="1"/>
  <c r="I771" i="1"/>
  <c r="B771" i="1"/>
  <c r="I770" i="1"/>
  <c r="B770" i="1"/>
  <c r="I769" i="1"/>
  <c r="B769" i="1"/>
  <c r="I768" i="1"/>
  <c r="B768" i="1"/>
  <c r="I767" i="1"/>
  <c r="B767" i="1"/>
  <c r="I766" i="1"/>
  <c r="B766" i="1"/>
  <c r="I765" i="1"/>
  <c r="B765" i="1"/>
  <c r="B693" i="1"/>
  <c r="B692" i="1"/>
  <c r="B691" i="1"/>
  <c r="B690" i="1"/>
  <c r="I689" i="1"/>
  <c r="B689" i="1"/>
  <c r="I688" i="1"/>
  <c r="B688" i="1"/>
  <c r="I687" i="1"/>
  <c r="B687" i="1"/>
  <c r="I686" i="1"/>
  <c r="B686" i="1"/>
  <c r="I685" i="1"/>
  <c r="B685" i="1"/>
  <c r="I684" i="1"/>
  <c r="B684" i="1"/>
  <c r="I683" i="1"/>
  <c r="B683" i="1"/>
  <c r="I682" i="1"/>
  <c r="B682" i="1"/>
  <c r="B665" i="1"/>
  <c r="B664" i="1"/>
  <c r="B663" i="1"/>
  <c r="B661" i="1"/>
  <c r="B660" i="1"/>
  <c r="B659" i="1"/>
  <c r="I658" i="1"/>
  <c r="B658" i="1"/>
  <c r="I657" i="1"/>
  <c r="B657" i="1"/>
  <c r="I656" i="1"/>
  <c r="B656" i="1"/>
  <c r="I655" i="1"/>
  <c r="B655" i="1"/>
  <c r="I654" i="1"/>
  <c r="B654" i="1"/>
  <c r="I644" i="1"/>
  <c r="B644" i="1"/>
  <c r="I643" i="1"/>
  <c r="B643" i="1"/>
  <c r="I642" i="1"/>
  <c r="B642" i="1"/>
  <c r="I641" i="1"/>
  <c r="B641" i="1"/>
  <c r="I640" i="1"/>
  <c r="B640" i="1"/>
  <c r="I639" i="1"/>
  <c r="B639" i="1"/>
  <c r="I638" i="1"/>
  <c r="B638" i="1"/>
  <c r="I637" i="1"/>
  <c r="B637" i="1"/>
  <c r="I636" i="1"/>
  <c r="B636" i="1"/>
  <c r="I635" i="1"/>
  <c r="B635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I615" i="1"/>
  <c r="B615" i="1"/>
  <c r="P542" i="1" l="1"/>
  <c r="P525" i="1"/>
  <c r="I525" i="1"/>
  <c r="B525" i="1"/>
  <c r="B526" i="1" l="1"/>
  <c r="P543" i="1"/>
  <c r="P526" i="1"/>
  <c r="I526" i="1"/>
  <c r="B527" i="1" l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P527" i="1"/>
  <c r="P544" i="1"/>
  <c r="I527" i="1"/>
  <c r="P545" i="1" l="1"/>
  <c r="P546" i="1" s="1"/>
  <c r="P547" i="1" s="1"/>
  <c r="P548" i="1" s="1"/>
  <c r="P549" i="1" s="1"/>
  <c r="P550" i="1" s="1"/>
  <c r="P528" i="1"/>
  <c r="I528" i="1"/>
  <c r="I529" i="1" s="1"/>
  <c r="I530" i="1" l="1"/>
  <c r="P529" i="1"/>
  <c r="I531" i="1" l="1"/>
  <c r="P530" i="1"/>
  <c r="U342" i="1"/>
  <c r="U393" i="1"/>
  <c r="I532" i="1" l="1"/>
  <c r="I533" i="1" s="1"/>
  <c r="P531" i="1"/>
  <c r="I534" i="1" l="1"/>
  <c r="P532" i="1"/>
  <c r="S393" i="1"/>
  <c r="I535" i="1" l="1"/>
  <c r="P533" i="1"/>
  <c r="S342" i="1"/>
  <c r="I536" i="1" l="1"/>
  <c r="P534" i="1"/>
  <c r="I102" i="1"/>
  <c r="I103" i="1"/>
  <c r="I104" i="1"/>
  <c r="I105" i="1"/>
  <c r="I106" i="1"/>
  <c r="I107" i="1"/>
  <c r="I108" i="1"/>
  <c r="I101" i="1"/>
  <c r="B102" i="1"/>
  <c r="B103" i="1"/>
  <c r="B104" i="1"/>
  <c r="B105" i="1"/>
  <c r="B106" i="1"/>
  <c r="B107" i="1"/>
  <c r="B108" i="1"/>
  <c r="B109" i="1"/>
  <c r="B110" i="1"/>
  <c r="B111" i="1"/>
  <c r="B112" i="1"/>
  <c r="B101" i="1"/>
  <c r="W2" i="1" l="1"/>
  <c r="B726" i="1" l="1"/>
  <c r="B807" i="1" s="1"/>
  <c r="B725" i="1"/>
  <c r="B806" i="1" s="1"/>
  <c r="I122" i="1"/>
  <c r="I123" i="1" l="1"/>
  <c r="I124" i="1" l="1"/>
  <c r="B727" i="1"/>
  <c r="B808" i="1" s="1"/>
  <c r="B728" i="1" l="1"/>
  <c r="B809" i="1" s="1"/>
  <c r="I125" i="1"/>
  <c r="B729" i="1" l="1"/>
  <c r="B810" i="1" s="1"/>
  <c r="I126" i="1"/>
  <c r="B730" i="1" l="1"/>
  <c r="B811" i="1" s="1"/>
  <c r="I127" i="1"/>
  <c r="I208" i="1" l="1"/>
  <c r="J13" i="1" l="1"/>
  <c r="J27" i="1"/>
  <c r="J12" i="1"/>
  <c r="J21" i="1"/>
  <c r="J20" i="1"/>
  <c r="J17" i="1"/>
  <c r="J26" i="1"/>
  <c r="J18" i="1"/>
  <c r="J14" i="1"/>
  <c r="J15" i="1"/>
  <c r="J16" i="1"/>
  <c r="J19" i="1"/>
  <c r="J22" i="1"/>
  <c r="J23" i="1"/>
  <c r="J24" i="1"/>
  <c r="J25" i="1"/>
  <c r="J28" i="1"/>
  <c r="J29" i="1"/>
  <c r="L127" i="1" l="1"/>
  <c r="L130" i="1"/>
  <c r="L123" i="1"/>
  <c r="L129" i="1"/>
  <c r="L131" i="1"/>
  <c r="L126" i="1"/>
  <c r="L133" i="1"/>
  <c r="O134" i="1"/>
  <c r="M134" i="1"/>
  <c r="O133" i="1"/>
  <c r="L128" i="1"/>
  <c r="L122" i="1"/>
  <c r="M132" i="1"/>
  <c r="L134" i="1"/>
  <c r="L132" i="1"/>
  <c r="L125" i="1"/>
  <c r="L124" i="1"/>
  <c r="N133" i="1"/>
  <c r="M133" i="1"/>
  <c r="O132" i="1"/>
  <c r="N134" i="1"/>
  <c r="N132" i="1"/>
  <c r="K128" i="1" l="1"/>
  <c r="C128" i="1"/>
  <c r="J128" i="1" s="1"/>
  <c r="K127" i="1"/>
  <c r="C127" i="1"/>
  <c r="J127" i="1" s="1"/>
  <c r="H811" i="1"/>
  <c r="O127" i="1"/>
  <c r="H814" i="1"/>
  <c r="O130" i="1"/>
  <c r="K130" i="1"/>
  <c r="C130" i="1"/>
  <c r="J130" i="1" s="1"/>
  <c r="H810" i="1"/>
  <c r="O126" i="1"/>
  <c r="G811" i="1"/>
  <c r="N127" i="1"/>
  <c r="F813" i="1"/>
  <c r="M129" i="1"/>
  <c r="H812" i="1"/>
  <c r="O128" i="1"/>
  <c r="G807" i="1"/>
  <c r="N123" i="1"/>
  <c r="G812" i="1"/>
  <c r="N128" i="1"/>
  <c r="K134" i="1"/>
  <c r="C134" i="1"/>
  <c r="J134" i="1" s="1"/>
  <c r="F807" i="1"/>
  <c r="M123" i="1"/>
  <c r="F812" i="1"/>
  <c r="M128" i="1"/>
  <c r="K126" i="1"/>
  <c r="C126" i="1"/>
  <c r="J126" i="1" s="1"/>
  <c r="G806" i="1"/>
  <c r="N122" i="1"/>
  <c r="G814" i="1"/>
  <c r="N130" i="1"/>
  <c r="F811" i="1"/>
  <c r="M127" i="1"/>
  <c r="H813" i="1"/>
  <c r="O129" i="1"/>
  <c r="G815" i="1"/>
  <c r="N131" i="1"/>
  <c r="K129" i="1"/>
  <c r="C129" i="1"/>
  <c r="J129" i="1" s="1"/>
  <c r="G809" i="1"/>
  <c r="N125" i="1"/>
  <c r="H808" i="1"/>
  <c r="O124" i="1"/>
  <c r="K132" i="1"/>
  <c r="C132" i="1"/>
  <c r="J132" i="1" s="1"/>
  <c r="K131" i="1"/>
  <c r="C131" i="1"/>
  <c r="J131" i="1" s="1"/>
  <c r="F806" i="1"/>
  <c r="M122" i="1"/>
  <c r="F809" i="1"/>
  <c r="M125" i="1"/>
  <c r="G808" i="1"/>
  <c r="N124" i="1"/>
  <c r="H807" i="1"/>
  <c r="O123" i="1"/>
  <c r="G813" i="1"/>
  <c r="N129" i="1"/>
  <c r="H806" i="1"/>
  <c r="O122" i="1"/>
  <c r="F815" i="1"/>
  <c r="M131" i="1"/>
  <c r="G810" i="1"/>
  <c r="N126" i="1"/>
  <c r="F814" i="1"/>
  <c r="M130" i="1"/>
  <c r="C125" i="1"/>
  <c r="J125" i="1" s="1"/>
  <c r="K125" i="1"/>
  <c r="H815" i="1"/>
  <c r="O131" i="1"/>
  <c r="F808" i="1"/>
  <c r="M124" i="1"/>
  <c r="F810" i="1"/>
  <c r="M126" i="1"/>
  <c r="H809" i="1"/>
  <c r="O125" i="1"/>
  <c r="K124" i="1" l="1"/>
  <c r="C124" i="1"/>
  <c r="J124" i="1" s="1"/>
  <c r="N135" i="1"/>
  <c r="N136" i="1"/>
  <c r="K133" i="1"/>
  <c r="C133" i="1"/>
  <c r="J133" i="1" s="1"/>
  <c r="L203" i="1"/>
  <c r="L209" i="1"/>
  <c r="N205" i="1"/>
  <c r="M210" i="1"/>
  <c r="O206" i="1"/>
  <c r="M212" i="1"/>
  <c r="O208" i="1"/>
  <c r="O211" i="1"/>
  <c r="O213" i="1"/>
  <c r="L215" i="1"/>
  <c r="O216" i="1"/>
  <c r="N217" i="1"/>
  <c r="O218" i="1"/>
  <c r="C122" i="1"/>
  <c r="J122" i="1" s="1"/>
  <c r="K122" i="1"/>
  <c r="L104" i="1"/>
  <c r="C123" i="1"/>
  <c r="J123" i="1" s="1"/>
  <c r="K123" i="1"/>
  <c r="O212" i="1"/>
  <c r="L208" i="1"/>
  <c r="L210" i="1"/>
  <c r="O217" i="1"/>
  <c r="N204" i="1"/>
  <c r="L205" i="1"/>
  <c r="O210" i="1"/>
  <c r="L218" i="1"/>
  <c r="O204" i="1"/>
  <c r="O205" i="1"/>
  <c r="L217" i="1"/>
  <c r="L206" i="1"/>
  <c r="O136" i="1"/>
  <c r="L103" i="1"/>
  <c r="J106" i="1"/>
  <c r="L102" i="1"/>
  <c r="K106" i="1"/>
  <c r="K103" i="1"/>
  <c r="L136" i="1"/>
  <c r="K102" i="1"/>
  <c r="L107" i="1"/>
  <c r="J105" i="1"/>
  <c r="J102" i="1"/>
  <c r="L106" i="1"/>
  <c r="K107" i="1"/>
  <c r="L135" i="1"/>
  <c r="M135" i="1"/>
  <c r="O135" i="1"/>
  <c r="N213" i="1"/>
  <c r="L213" i="1"/>
  <c r="M216" i="1"/>
  <c r="L216" i="1"/>
  <c r="M207" i="1"/>
  <c r="O207" i="1"/>
  <c r="M204" i="1"/>
  <c r="L204" i="1"/>
  <c r="L207" i="1"/>
  <c r="L211" i="1"/>
  <c r="O214" i="1"/>
  <c r="L214" i="1"/>
  <c r="N216" i="1"/>
  <c r="N207" i="1"/>
  <c r="N210" i="1"/>
  <c r="L212" i="1"/>
  <c r="N212" i="1"/>
  <c r="N203" i="1"/>
  <c r="M206" i="1"/>
  <c r="M208" i="1"/>
  <c r="N209" i="1"/>
  <c r="M211" i="1"/>
  <c r="M214" i="1"/>
  <c r="N215" i="1"/>
  <c r="M218" i="1"/>
  <c r="M203" i="1"/>
  <c r="O203" i="1"/>
  <c r="M205" i="1"/>
  <c r="N206" i="1"/>
  <c r="N208" i="1"/>
  <c r="O209" i="1"/>
  <c r="N211" i="1"/>
  <c r="M213" i="1"/>
  <c r="N214" i="1"/>
  <c r="O215" i="1"/>
  <c r="M217" i="1"/>
  <c r="N218" i="1"/>
  <c r="M209" i="1"/>
  <c r="M215" i="1"/>
  <c r="O137" i="1"/>
  <c r="N137" i="1"/>
  <c r="L137" i="1"/>
  <c r="M137" i="1"/>
  <c r="M136" i="1"/>
  <c r="K108" i="1"/>
  <c r="J108" i="1"/>
  <c r="K104" i="1"/>
  <c r="J104" i="1"/>
  <c r="L101" i="1"/>
  <c r="K101" i="1"/>
  <c r="L108" i="1"/>
  <c r="J101" i="1"/>
  <c r="L105" i="1"/>
  <c r="K105" i="1"/>
  <c r="J103" i="1"/>
  <c r="J107" i="1"/>
  <c r="O106" i="1" l="1"/>
  <c r="K212" i="1"/>
  <c r="C212" i="1"/>
  <c r="J212" i="1" s="1"/>
  <c r="C214" i="1"/>
  <c r="J214" i="1" s="1"/>
  <c r="K214" i="1"/>
  <c r="K216" i="1"/>
  <c r="C216" i="1"/>
  <c r="J216" i="1" s="1"/>
  <c r="M108" i="1"/>
  <c r="C215" i="1"/>
  <c r="J215" i="1" s="1"/>
  <c r="K215" i="1"/>
  <c r="O105" i="1"/>
  <c r="N108" i="1"/>
  <c r="K206" i="1"/>
  <c r="C206" i="1"/>
  <c r="J206" i="1" s="1"/>
  <c r="K217" i="1"/>
  <c r="C217" i="1"/>
  <c r="J217" i="1" s="1"/>
  <c r="C204" i="1"/>
  <c r="J204" i="1" s="1"/>
  <c r="K204" i="1"/>
  <c r="K205" i="1"/>
  <c r="C205" i="1"/>
  <c r="J205" i="1" s="1"/>
  <c r="O108" i="1"/>
  <c r="C207" i="1"/>
  <c r="J207" i="1" s="1"/>
  <c r="K207" i="1"/>
  <c r="M107" i="1"/>
  <c r="M103" i="1"/>
  <c r="M104" i="1"/>
  <c r="N104" i="1"/>
  <c r="M105" i="1"/>
  <c r="O107" i="1"/>
  <c r="O101" i="1"/>
  <c r="O104" i="1"/>
  <c r="O103" i="1"/>
  <c r="O102" i="1"/>
  <c r="M101" i="1"/>
  <c r="K208" i="1"/>
  <c r="C208" i="1"/>
  <c r="J208" i="1" s="1"/>
  <c r="K218" i="1"/>
  <c r="C218" i="1"/>
  <c r="J218" i="1" s="1"/>
  <c r="K209" i="1"/>
  <c r="C209" i="1"/>
  <c r="J209" i="1" s="1"/>
  <c r="N102" i="1"/>
  <c r="M106" i="1"/>
  <c r="N106" i="1"/>
  <c r="N103" i="1"/>
  <c r="N105" i="1"/>
  <c r="M102" i="1"/>
  <c r="N107" i="1"/>
  <c r="N101" i="1"/>
  <c r="K137" i="1" l="1"/>
  <c r="C137" i="1"/>
  <c r="J137" i="1" s="1"/>
  <c r="C210" i="1"/>
  <c r="J210" i="1" s="1"/>
  <c r="K210" i="1"/>
  <c r="K135" i="1"/>
  <c r="C135" i="1"/>
  <c r="J135" i="1" s="1"/>
  <c r="C213" i="1"/>
  <c r="J213" i="1" s="1"/>
  <c r="K213" i="1"/>
  <c r="K203" i="1"/>
  <c r="C203" i="1"/>
  <c r="J203" i="1" s="1"/>
  <c r="K136" i="1"/>
  <c r="C136" i="1"/>
  <c r="J136" i="1" s="1"/>
  <c r="K211" i="1"/>
  <c r="C211" i="1"/>
  <c r="J211" i="1" s="1"/>
  <c r="C63" i="1" l="1"/>
  <c r="C62" i="1"/>
  <c r="C55" i="1"/>
  <c r="C60" i="1"/>
  <c r="C54" i="1"/>
  <c r="C51" i="1"/>
  <c r="C58" i="1"/>
  <c r="C59" i="1"/>
  <c r="C61" i="1"/>
  <c r="C52" i="1"/>
  <c r="C53" i="1"/>
  <c r="C56" i="1"/>
  <c r="C57" i="1"/>
  <c r="C18" i="1" l="1"/>
  <c r="E18" i="1"/>
  <c r="F18" i="1" s="1"/>
  <c r="C15" i="1"/>
  <c r="E15" i="1"/>
  <c r="F15" i="1" s="1"/>
  <c r="E12" i="1"/>
  <c r="F12" i="1" s="1"/>
  <c r="C12" i="1"/>
  <c r="E19" i="1"/>
  <c r="F19" i="1" s="1"/>
  <c r="C19" i="1"/>
  <c r="E21" i="1"/>
  <c r="F21" i="1" s="1"/>
  <c r="C21" i="1"/>
  <c r="E25" i="1"/>
  <c r="F25" i="1" s="1"/>
  <c r="C25" i="1"/>
  <c r="E14" i="1"/>
  <c r="F14" i="1" s="1"/>
  <c r="C14" i="1"/>
  <c r="E26" i="1"/>
  <c r="F26" i="1" s="1"/>
  <c r="C26" i="1"/>
  <c r="E13" i="1"/>
  <c r="F13" i="1" s="1"/>
  <c r="C13" i="1"/>
  <c r="E28" i="1"/>
  <c r="F28" i="1" s="1"/>
  <c r="C28" i="1"/>
  <c r="E29" i="1"/>
  <c r="F29" i="1" s="1"/>
  <c r="C29" i="1"/>
  <c r="E17" i="1" l="1"/>
  <c r="F17" i="1" s="1"/>
  <c r="C17" i="1"/>
  <c r="E24" i="1"/>
  <c r="F24" i="1" s="1"/>
  <c r="C24" i="1"/>
  <c r="E22" i="1"/>
  <c r="F22" i="1" s="1"/>
  <c r="C22" i="1"/>
  <c r="E23" i="1"/>
  <c r="F23" i="1" s="1"/>
  <c r="C23" i="1"/>
  <c r="E27" i="1"/>
  <c r="F27" i="1" s="1"/>
  <c r="C27" i="1"/>
  <c r="E16" i="1"/>
  <c r="F16" i="1" s="1"/>
  <c r="C16" i="1"/>
  <c r="C20" i="1"/>
  <c r="E20" i="1"/>
  <c r="F20" i="1" s="1"/>
  <c r="E106" i="1" l="1"/>
  <c r="G117" i="1"/>
  <c r="E108" i="1"/>
  <c r="F116" i="1"/>
  <c r="G113" i="1"/>
  <c r="E111" i="1"/>
  <c r="E102" i="1"/>
  <c r="E112" i="1"/>
  <c r="E105" i="1"/>
  <c r="E116" i="1"/>
  <c r="H116" i="1"/>
  <c r="E101" i="1"/>
  <c r="E104" i="1"/>
  <c r="E110" i="1"/>
  <c r="H113" i="1"/>
  <c r="H117" i="1"/>
  <c r="E107" i="1"/>
  <c r="E113" i="1"/>
  <c r="G116" i="1"/>
  <c r="E117" i="1"/>
  <c r="E103" i="1"/>
  <c r="H114" i="1"/>
  <c r="G114" i="1"/>
  <c r="E115" i="1"/>
  <c r="H115" i="1"/>
  <c r="E109" i="1"/>
  <c r="E114" i="1"/>
  <c r="F115" i="1"/>
  <c r="F114" i="1"/>
  <c r="G115" i="1"/>
  <c r="F113" i="1"/>
  <c r="F117" i="1"/>
  <c r="C98" i="1" l="1"/>
  <c r="C88" i="1"/>
  <c r="C110" i="1" s="1"/>
  <c r="D110" i="1"/>
  <c r="G107" i="1"/>
  <c r="C95" i="1"/>
  <c r="C117" i="1" s="1"/>
  <c r="D117" i="1"/>
  <c r="H101" i="1"/>
  <c r="D112" i="1"/>
  <c r="C90" i="1"/>
  <c r="C112" i="1" s="1"/>
  <c r="C79" i="1"/>
  <c r="C101" i="1" s="1"/>
  <c r="D101" i="1"/>
  <c r="H112" i="1"/>
  <c r="H107" i="1"/>
  <c r="C86" i="1"/>
  <c r="C108" i="1" s="1"/>
  <c r="D108" i="1"/>
  <c r="H108" i="1"/>
  <c r="H109" i="1"/>
  <c r="C92" i="1"/>
  <c r="C114" i="1" s="1"/>
  <c r="D114" i="1"/>
  <c r="G101" i="1"/>
  <c r="F106" i="1"/>
  <c r="H103" i="1"/>
  <c r="G108" i="1"/>
  <c r="C83" i="1"/>
  <c r="C105" i="1" s="1"/>
  <c r="D105" i="1"/>
  <c r="G103" i="1"/>
  <c r="G106" i="1"/>
  <c r="H111" i="1"/>
  <c r="F111" i="1"/>
  <c r="H110" i="1"/>
  <c r="F102" i="1"/>
  <c r="F103" i="1"/>
  <c r="F105" i="1"/>
  <c r="G110" i="1"/>
  <c r="G109" i="1"/>
  <c r="H105" i="1"/>
  <c r="D106" i="1"/>
  <c r="C84" i="1"/>
  <c r="C106" i="1" s="1"/>
  <c r="H104" i="1"/>
  <c r="G104" i="1"/>
  <c r="F108" i="1"/>
  <c r="H106" i="1"/>
  <c r="G112" i="1"/>
  <c r="H102" i="1"/>
  <c r="F101" i="1"/>
  <c r="F107" i="1"/>
  <c r="G111" i="1"/>
  <c r="F109" i="1"/>
  <c r="G102" i="1"/>
  <c r="G105" i="1"/>
  <c r="F110" i="1"/>
  <c r="F104" i="1"/>
  <c r="F112" i="1"/>
  <c r="C96" i="1" l="1"/>
  <c r="C97" i="1"/>
  <c r="C94" i="1"/>
  <c r="C116" i="1" s="1"/>
  <c r="D116" i="1"/>
  <c r="D109" i="1"/>
  <c r="C87" i="1"/>
  <c r="C109" i="1" s="1"/>
  <c r="C85" i="1"/>
  <c r="C107" i="1" s="1"/>
  <c r="D107" i="1"/>
  <c r="C91" i="1"/>
  <c r="C113" i="1" s="1"/>
  <c r="D113" i="1"/>
  <c r="D115" i="1"/>
  <c r="C93" i="1"/>
  <c r="C115" i="1" s="1"/>
  <c r="C82" i="1"/>
  <c r="C104" i="1" s="1"/>
  <c r="D104" i="1"/>
  <c r="D111" i="1"/>
  <c r="C89" i="1"/>
  <c r="C111" i="1" s="1"/>
  <c r="D103" i="1"/>
  <c r="C81" i="1"/>
  <c r="C103" i="1" s="1"/>
  <c r="C80" i="1"/>
  <c r="C102" i="1" s="1"/>
  <c r="D102" i="1"/>
  <c r="C32" i="1" l="1"/>
  <c r="F47" i="1"/>
  <c r="G47" i="1" s="1"/>
  <c r="H47" i="1" s="1"/>
  <c r="F48" i="1" l="1"/>
  <c r="G48" i="1" s="1"/>
  <c r="H48" i="1" s="1"/>
  <c r="C33" i="1" l="1"/>
  <c r="C178" i="1" l="1"/>
  <c r="C174" i="1"/>
  <c r="C193" i="1"/>
  <c r="C199" i="1"/>
  <c r="C197" i="1"/>
  <c r="C168" i="1"/>
  <c r="C177" i="1"/>
  <c r="C167" i="1"/>
  <c r="C196" i="1"/>
  <c r="C188" i="1"/>
  <c r="C173" i="1"/>
  <c r="C187" i="1"/>
  <c r="C162" i="1"/>
  <c r="C191" i="1"/>
  <c r="C185" i="1"/>
  <c r="C186" i="1"/>
  <c r="C164" i="1"/>
  <c r="C166" i="1"/>
  <c r="C194" i="1"/>
  <c r="C163" i="1"/>
  <c r="C184" i="1"/>
  <c r="C189" i="1"/>
  <c r="C180" i="1"/>
  <c r="C165" i="1"/>
  <c r="C181" i="1"/>
  <c r="C175" i="1"/>
  <c r="C192" i="1"/>
  <c r="C179" i="1"/>
  <c r="C169" i="1"/>
  <c r="C198" i="1"/>
  <c r="C171" i="1"/>
  <c r="C195" i="1"/>
  <c r="C190" i="1"/>
  <c r="C34" i="1"/>
  <c r="C176" i="1" l="1"/>
  <c r="C172" i="1"/>
  <c r="C170" i="1"/>
  <c r="C35" i="1"/>
  <c r="C36" i="1" l="1"/>
  <c r="C37" i="1" l="1"/>
  <c r="J191" i="1"/>
  <c r="J190" i="1"/>
  <c r="J184" i="1"/>
  <c r="J188" i="1"/>
  <c r="J189" i="1"/>
  <c r="J187" i="1"/>
  <c r="J193" i="1"/>
  <c r="J192" i="1"/>
  <c r="J186" i="1"/>
  <c r="J185" i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/>
</calcChain>
</file>

<file path=xl/sharedStrings.xml><?xml version="1.0" encoding="utf-8"?>
<sst xmlns="http://schemas.openxmlformats.org/spreadsheetml/2006/main" count="2621" uniqueCount="534">
  <si>
    <t>Effective Date and Time</t>
  </si>
  <si>
    <t>FHA/USDA 30 Standard</t>
  </si>
  <si>
    <t>FHA 30 HB Standard</t>
  </si>
  <si>
    <t>FHA 15 Standard</t>
  </si>
  <si>
    <t xml:space="preserve">Rate </t>
  </si>
  <si>
    <t>30-Day</t>
  </si>
  <si>
    <t>45-Day</t>
  </si>
  <si>
    <t>All Standard FHA/USDA program Adjustments</t>
  </si>
  <si>
    <t>2-4 Units</t>
  </si>
  <si>
    <t>Manufactured Home</t>
  </si>
  <si>
    <t>USDA</t>
  </si>
  <si>
    <t>Non-Owner Occ. (SL only)</t>
  </si>
  <si>
    <t>FHA/USDA 30 Streamline</t>
  </si>
  <si>
    <t>FHA 30 HB Streamline</t>
  </si>
  <si>
    <t>FHA 15 Streamline</t>
  </si>
  <si>
    <t>FICO</t>
  </si>
  <si>
    <t>700-719</t>
  </si>
  <si>
    <t>680-699</t>
  </si>
  <si>
    <t>660-679</t>
  </si>
  <si>
    <t>640-659</t>
  </si>
  <si>
    <t>620-639</t>
  </si>
  <si>
    <t>600-619</t>
  </si>
  <si>
    <t>580-599</t>
  </si>
  <si>
    <t>Max Final Price (Net of Adjustments)</t>
  </si>
  <si>
    <t>VA 30 Standard</t>
  </si>
  <si>
    <t>VA 30 HB Standard</t>
  </si>
  <si>
    <t>VA 15 Standard</t>
  </si>
  <si>
    <t>VA IRRRL</t>
  </si>
  <si>
    <t>All Standard VA program Adjustments</t>
  </si>
  <si>
    <t xml:space="preserve">CLTV </t>
  </si>
  <si>
    <t>High Balance</t>
  </si>
  <si>
    <t>VA 30 IRRRL</t>
  </si>
  <si>
    <t>VA 30 HB IRRRL</t>
  </si>
  <si>
    <t>VA FICO Adjustments</t>
  </si>
  <si>
    <t>Conforming 30 Year Fixed</t>
  </si>
  <si>
    <t>High Balance 30 Year Fixed</t>
  </si>
  <si>
    <t>Conforming 20 Year Fixed</t>
  </si>
  <si>
    <t>Conforming 15 Year Fixed</t>
  </si>
  <si>
    <t>High Balance 15 Year Fixed</t>
  </si>
  <si>
    <t>Conforming 10 Year Fixed</t>
  </si>
  <si>
    <t>FNMA HomeReady</t>
  </si>
  <si>
    <t>CASH OUT: All terms</t>
  </si>
  <si>
    <t>Property Type</t>
  </si>
  <si>
    <t>70.01-75</t>
  </si>
  <si>
    <t>75.01-80</t>
  </si>
  <si>
    <t>740+</t>
  </si>
  <si>
    <t>720-739</t>
  </si>
  <si>
    <t>Investment Property</t>
  </si>
  <si>
    <t>SUBORDINATE FINANCING: All terms</t>
  </si>
  <si>
    <t>LTV</t>
  </si>
  <si>
    <t>Cash Out</t>
  </si>
  <si>
    <t>HomeReady/Home Possible Adjustment Caps</t>
  </si>
  <si>
    <t>FICO Score</t>
  </si>
  <si>
    <t>LTV&lt;=80</t>
  </si>
  <si>
    <t>LTV&gt;80</t>
  </si>
  <si>
    <t>&gt;=680</t>
  </si>
  <si>
    <t>&lt;680</t>
  </si>
  <si>
    <t>Rates, comparisons, fees and programs are subject to change without notice.</t>
  </si>
  <si>
    <t xml:space="preserve"> Information is intended for Mortgage Professionals only, and not for distribution  to consumers, as defined by Section 226.2 of Reg. Z.</t>
  </si>
  <si>
    <t xml:space="preserve">Price Indicator sheet only - pricing determined by product and pricing system and not guaranteed.  </t>
  </si>
  <si>
    <t>DC</t>
  </si>
  <si>
    <t>MD</t>
  </si>
  <si>
    <t>NJ</t>
  </si>
  <si>
    <t>PA</t>
  </si>
  <si>
    <t>VA</t>
  </si>
  <si>
    <t>Secondary@KeystoneFunding.com</t>
  </si>
  <si>
    <t>Keystone Funding  Inc</t>
  </si>
  <si>
    <t>All pricing and lock request subject to confirmation and does not commit Keystone Funding  Inc to funding or purchase of loan.</t>
  </si>
  <si>
    <t>519 S Red Haven Lane</t>
  </si>
  <si>
    <t>Dover, DE 19901</t>
  </si>
  <si>
    <t>FHA/USDA Programs</t>
  </si>
  <si>
    <t>Conventional Products</t>
  </si>
  <si>
    <t>NMLS: 144760</t>
  </si>
  <si>
    <t>All locks, extensions, and cancellations can be requested through our FLEX portal</t>
  </si>
  <si>
    <t>VA Programs</t>
  </si>
  <si>
    <t>60-Day</t>
  </si>
  <si>
    <t xml:space="preserve">203k </t>
  </si>
  <si>
    <t>NA</t>
  </si>
  <si>
    <t>Conventional Loan Level Price Adjustments</t>
  </si>
  <si>
    <t>200,000 - 299,999</t>
  </si>
  <si>
    <t xml:space="preserve">20/25/30 Yr </t>
  </si>
  <si>
    <t>10/15 Yr</t>
  </si>
  <si>
    <t>Loan Amount Adjustments</t>
  </si>
  <si>
    <t>State Adjustments</t>
  </si>
  <si>
    <t xml:space="preserve">Escrow Waiver </t>
  </si>
  <si>
    <t>Relock Fee</t>
  </si>
  <si>
    <t xml:space="preserve">Expired Locks Cannot be Extended and are Subject to Worse Case Pricing for 30 Days. </t>
  </si>
  <si>
    <t xml:space="preserve">DE </t>
  </si>
  <si>
    <t xml:space="preserve">Admin Fees: </t>
  </si>
  <si>
    <t xml:space="preserve">Underwriting </t>
  </si>
  <si>
    <t>Admin Fees</t>
  </si>
  <si>
    <t>Underwriting Fee</t>
  </si>
  <si>
    <t>20 Year Term</t>
  </si>
  <si>
    <t>75,000 - 99,999</t>
  </si>
  <si>
    <t>100,000 - 199,999</t>
  </si>
  <si>
    <t>739 - 720</t>
  </si>
  <si>
    <t>719 - 700</t>
  </si>
  <si>
    <t>699-680</t>
  </si>
  <si>
    <t>679-660</t>
  </si>
  <si>
    <t>659-640</t>
  </si>
  <si>
    <t>639-620</t>
  </si>
  <si>
    <t>All Purchase Transactions</t>
  </si>
  <si>
    <t>400,000 - 548,250</t>
  </si>
  <si>
    <t>FL</t>
  </si>
  <si>
    <t>NC</t>
  </si>
  <si>
    <t>&gt; 100%</t>
  </si>
  <si>
    <t>PLATINUM JUMBO</t>
  </si>
  <si>
    <t>30 Yr Fixed</t>
  </si>
  <si>
    <t>15 Yr Fixed</t>
  </si>
  <si>
    <t xml:space="preserve">PLATINUM JUMBO PROGRAM MATRIX </t>
  </si>
  <si>
    <t>Max Loan</t>
  </si>
  <si>
    <t xml:space="preserve">NON AGENCY PRICE ADJUSTMENTS </t>
  </si>
  <si>
    <t>FICO/LTV - All Terms</t>
  </si>
  <si>
    <t>0-50</t>
  </si>
  <si>
    <t>50.01-55</t>
  </si>
  <si>
    <t>55.01-60</t>
  </si>
  <si>
    <t>60.01-65</t>
  </si>
  <si>
    <t>65.01-70</t>
  </si>
  <si>
    <t>80.01-90</t>
  </si>
  <si>
    <t xml:space="preserve">&gt; 90 </t>
  </si>
  <si>
    <t>800+</t>
  </si>
  <si>
    <t>na</t>
  </si>
  <si>
    <t>780-799</t>
  </si>
  <si>
    <t>760-779</t>
  </si>
  <si>
    <t>740-759</t>
  </si>
  <si>
    <t>720- 739</t>
  </si>
  <si>
    <t>Miscellaneous Adjustments</t>
  </si>
  <si>
    <t>Rate / Term Refi</t>
  </si>
  <si>
    <t>Second Home</t>
  </si>
  <si>
    <t>Cash Out Refi</t>
  </si>
  <si>
    <t>Self Employed</t>
  </si>
  <si>
    <t>Waive Escrows</t>
  </si>
  <si>
    <t>Loan Amt &gt; $2MM</t>
  </si>
  <si>
    <t>Transaction Type</t>
  </si>
  <si>
    <t>Max Cash-Out</t>
  </si>
  <si>
    <t>Max DTI</t>
  </si>
  <si>
    <t>Reserves</t>
  </si>
  <si>
    <t>Purchase &amp; Rate Term Refinance</t>
  </si>
  <si>
    <t>Stable</t>
  </si>
  <si>
    <t>80% / 80% / 80%</t>
  </si>
  <si>
    <t>N/A</t>
  </si>
  <si>
    <t>75% / 75% / 75%</t>
  </si>
  <si>
    <t>Cash-Out Refinance</t>
  </si>
  <si>
    <t>70% / 70% / 70%</t>
  </si>
  <si>
    <t>65% / 65% / 65%</t>
  </si>
  <si>
    <t>Max Cash- Out</t>
  </si>
  <si>
    <t>70% /70% /70%</t>
  </si>
  <si>
    <t>65%/65%/65%</t>
  </si>
  <si>
    <r>
      <t>Market</t>
    </r>
    <r>
      <rPr>
        <b/>
        <vertAlign val="superscript"/>
        <sz val="10"/>
        <color theme="1"/>
        <rFont val="Arial"/>
        <family val="2"/>
      </rPr>
      <t>1</t>
    </r>
  </si>
  <si>
    <r>
      <t>LTV/CLTV/HCLTV</t>
    </r>
    <r>
      <rPr>
        <b/>
        <vertAlign val="superscript"/>
        <sz val="10"/>
        <color theme="1"/>
        <rFont val="Arial"/>
        <family val="2"/>
      </rPr>
      <t>4</t>
    </r>
  </si>
  <si>
    <r>
      <rPr>
        <b/>
        <sz val="10"/>
        <color theme="1"/>
        <rFont val="Arial"/>
        <family val="2"/>
      </rPr>
      <t>C</t>
    </r>
    <r>
      <rPr>
        <b/>
        <sz val="8"/>
        <color theme="1"/>
        <rFont val="Arial"/>
        <family val="2"/>
      </rPr>
      <t>ASH</t>
    </r>
    <r>
      <rPr>
        <b/>
        <sz val="10"/>
        <color theme="1"/>
        <rFont val="Arial"/>
        <family val="2"/>
      </rPr>
      <t>-O</t>
    </r>
    <r>
      <rPr>
        <b/>
        <sz val="8"/>
        <color theme="1"/>
        <rFont val="Arial"/>
        <family val="2"/>
      </rPr>
      <t xml:space="preserve">UT </t>
    </r>
    <r>
      <rPr>
        <b/>
        <sz val="10"/>
        <color theme="1"/>
        <rFont val="Arial"/>
        <family val="2"/>
      </rPr>
      <t>R</t>
    </r>
    <r>
      <rPr>
        <b/>
        <sz val="8"/>
        <color theme="1"/>
        <rFont val="Arial"/>
        <family val="2"/>
      </rPr>
      <t xml:space="preserve">EFINANCE </t>
    </r>
    <r>
      <rPr>
        <b/>
        <sz val="10"/>
        <color theme="1"/>
        <rFont val="Arial"/>
        <family val="2"/>
      </rPr>
      <t>N</t>
    </r>
    <r>
      <rPr>
        <b/>
        <sz val="8"/>
        <color theme="1"/>
        <rFont val="Arial"/>
        <family val="2"/>
      </rPr>
      <t xml:space="preserve">OT </t>
    </r>
    <r>
      <rPr>
        <b/>
        <sz val="10"/>
        <color theme="1"/>
        <rFont val="Arial"/>
        <family val="2"/>
      </rPr>
      <t>P</t>
    </r>
    <r>
      <rPr>
        <b/>
        <sz val="8"/>
        <color theme="1"/>
        <rFont val="Arial"/>
        <family val="2"/>
      </rPr>
      <t xml:space="preserve">ERMITTED ON </t>
    </r>
    <r>
      <rPr>
        <b/>
        <sz val="10"/>
        <color theme="1"/>
        <rFont val="Arial"/>
        <family val="2"/>
      </rPr>
      <t>3-4 U</t>
    </r>
    <r>
      <rPr>
        <b/>
        <sz val="8"/>
        <color theme="1"/>
        <rFont val="Arial"/>
        <family val="2"/>
      </rPr>
      <t>NIT</t>
    </r>
  </si>
  <si>
    <r>
      <rPr>
        <b/>
        <sz val="10"/>
        <color theme="1"/>
        <rFont val="Arial"/>
        <family val="2"/>
      </rPr>
      <t>Market</t>
    </r>
    <r>
      <rPr>
        <vertAlign val="superscript"/>
        <sz val="6.5"/>
        <color theme="1"/>
        <rFont val="Arial"/>
        <family val="2"/>
      </rPr>
      <t>1</t>
    </r>
  </si>
  <si>
    <r>
      <t>LTV/CLTV/HCLTV</t>
    </r>
    <r>
      <rPr>
        <b/>
        <vertAlign val="superscript"/>
        <sz val="10"/>
        <color theme="1"/>
        <rFont val="Arial"/>
        <family val="2"/>
      </rPr>
      <t>2</t>
    </r>
  </si>
  <si>
    <r>
      <rPr>
        <b/>
        <sz val="10"/>
        <color theme="1"/>
        <rFont val="Arial"/>
        <family val="2"/>
      </rPr>
      <t>S</t>
    </r>
    <r>
      <rPr>
        <b/>
        <sz val="8"/>
        <color theme="1"/>
        <rFont val="Arial"/>
        <family val="2"/>
      </rPr>
      <t xml:space="preserve">ECOND </t>
    </r>
    <r>
      <rPr>
        <b/>
        <sz val="10"/>
        <color theme="1"/>
        <rFont val="Arial"/>
        <family val="2"/>
      </rPr>
      <t>H</t>
    </r>
    <r>
      <rPr>
        <b/>
        <sz val="8"/>
        <color theme="1"/>
        <rFont val="Arial"/>
        <family val="2"/>
      </rPr>
      <t>OME</t>
    </r>
    <r>
      <rPr>
        <b/>
        <sz val="10"/>
        <color theme="1"/>
        <rFont val="Arial"/>
        <family val="2"/>
      </rPr>
      <t>: C</t>
    </r>
    <r>
      <rPr>
        <b/>
        <sz val="8"/>
        <color theme="1"/>
        <rFont val="Arial"/>
        <family val="2"/>
      </rPr>
      <t xml:space="preserve">ASH </t>
    </r>
    <r>
      <rPr>
        <b/>
        <sz val="10"/>
        <color theme="1"/>
        <rFont val="Arial"/>
        <family val="2"/>
      </rPr>
      <t>O</t>
    </r>
    <r>
      <rPr>
        <b/>
        <sz val="8"/>
        <color theme="1"/>
        <rFont val="Arial"/>
        <family val="2"/>
      </rPr>
      <t>UT</t>
    </r>
    <r>
      <rPr>
        <b/>
        <sz val="10"/>
        <color theme="1"/>
        <rFont val="Arial"/>
        <family val="2"/>
      </rPr>
      <t>, 2-4 U</t>
    </r>
    <r>
      <rPr>
        <b/>
        <sz val="8"/>
        <color theme="1"/>
        <rFont val="Arial"/>
        <family val="2"/>
      </rPr>
      <t>NITS</t>
    </r>
    <r>
      <rPr>
        <b/>
        <sz val="10"/>
        <color theme="1"/>
        <rFont val="Arial"/>
        <family val="2"/>
      </rPr>
      <t>, I</t>
    </r>
    <r>
      <rPr>
        <b/>
        <sz val="8"/>
        <color theme="1"/>
        <rFont val="Arial"/>
        <family val="2"/>
      </rPr>
      <t xml:space="preserve">NCLUDING </t>
    </r>
    <r>
      <rPr>
        <b/>
        <sz val="10"/>
        <color theme="1"/>
        <rFont val="Arial"/>
        <family val="2"/>
      </rPr>
      <t>P</t>
    </r>
    <r>
      <rPr>
        <b/>
        <sz val="8"/>
        <color theme="1"/>
        <rFont val="Arial"/>
        <family val="2"/>
      </rPr>
      <t>UDS</t>
    </r>
    <r>
      <rPr>
        <b/>
        <sz val="10"/>
        <color theme="1"/>
        <rFont val="Arial"/>
        <family val="2"/>
      </rPr>
      <t>—N</t>
    </r>
    <r>
      <rPr>
        <b/>
        <sz val="8"/>
        <color theme="1"/>
        <rFont val="Arial"/>
        <family val="2"/>
      </rPr>
      <t xml:space="preserve">OT </t>
    </r>
    <r>
      <rPr>
        <b/>
        <sz val="10"/>
        <color theme="1"/>
        <rFont val="Arial"/>
        <family val="2"/>
      </rPr>
      <t>P</t>
    </r>
    <r>
      <rPr>
        <b/>
        <sz val="8"/>
        <color theme="1"/>
        <rFont val="Arial"/>
        <family val="2"/>
      </rPr>
      <t>ERMITTED</t>
    </r>
  </si>
  <si>
    <r>
      <t>LTV/CLTV/HCLTV</t>
    </r>
    <r>
      <rPr>
        <b/>
        <vertAlign val="superscript"/>
        <sz val="10"/>
        <color theme="1"/>
        <rFont val="Arial"/>
        <family val="2"/>
      </rPr>
      <t>3</t>
    </r>
  </si>
  <si>
    <r>
      <rPr>
        <b/>
        <sz val="10"/>
        <color theme="1"/>
        <rFont val="Arial"/>
        <family val="2"/>
      </rPr>
      <t>I</t>
    </r>
    <r>
      <rPr>
        <b/>
        <sz val="8"/>
        <color theme="1"/>
        <rFont val="Arial"/>
        <family val="2"/>
      </rPr>
      <t xml:space="preserve">NVESTMENT </t>
    </r>
    <r>
      <rPr>
        <b/>
        <sz val="10"/>
        <color theme="1"/>
        <rFont val="Arial"/>
        <family val="2"/>
      </rPr>
      <t>P</t>
    </r>
    <r>
      <rPr>
        <b/>
        <sz val="8"/>
        <color theme="1"/>
        <rFont val="Arial"/>
        <family val="2"/>
      </rPr>
      <t>ROPERTY</t>
    </r>
    <r>
      <rPr>
        <b/>
        <sz val="10"/>
        <color theme="1"/>
        <rFont val="Arial"/>
        <family val="2"/>
      </rPr>
      <t>: C</t>
    </r>
    <r>
      <rPr>
        <b/>
        <sz val="8"/>
        <color theme="1"/>
        <rFont val="Arial"/>
        <family val="2"/>
      </rPr>
      <t>ASH</t>
    </r>
    <r>
      <rPr>
        <b/>
        <sz val="10"/>
        <color theme="1"/>
        <rFont val="Arial"/>
        <family val="2"/>
      </rPr>
      <t>-O</t>
    </r>
    <r>
      <rPr>
        <b/>
        <sz val="8"/>
        <color theme="1"/>
        <rFont val="Arial"/>
        <family val="2"/>
      </rPr>
      <t>UT</t>
    </r>
    <r>
      <rPr>
        <b/>
        <sz val="10"/>
        <color theme="1"/>
        <rFont val="Arial"/>
        <family val="2"/>
      </rPr>
      <t>, C</t>
    </r>
    <r>
      <rPr>
        <b/>
        <sz val="8"/>
        <color theme="1"/>
        <rFont val="Arial"/>
        <family val="2"/>
      </rPr>
      <t>O</t>
    </r>
    <r>
      <rPr>
        <b/>
        <sz val="10"/>
        <color theme="1"/>
        <rFont val="Arial"/>
        <family val="2"/>
      </rPr>
      <t>-O</t>
    </r>
    <r>
      <rPr>
        <b/>
        <sz val="8"/>
        <color theme="1"/>
        <rFont val="Arial"/>
        <family val="2"/>
      </rPr>
      <t xml:space="preserve">P </t>
    </r>
    <r>
      <rPr>
        <b/>
        <sz val="10"/>
        <color theme="1"/>
        <rFont val="Arial"/>
        <family val="2"/>
      </rPr>
      <t>A</t>
    </r>
    <r>
      <rPr>
        <b/>
        <sz val="8"/>
        <color theme="1"/>
        <rFont val="Arial"/>
        <family val="2"/>
      </rPr>
      <t xml:space="preserve">ND </t>
    </r>
    <r>
      <rPr>
        <b/>
        <sz val="10"/>
        <color theme="1"/>
        <rFont val="Arial"/>
        <family val="2"/>
      </rPr>
      <t>2-4 U</t>
    </r>
    <r>
      <rPr>
        <b/>
        <sz val="8"/>
        <color theme="1"/>
        <rFont val="Arial"/>
        <family val="2"/>
      </rPr>
      <t>NIT</t>
    </r>
    <r>
      <rPr>
        <b/>
        <sz val="10"/>
        <color theme="1"/>
        <rFont val="Arial"/>
        <family val="2"/>
      </rPr>
      <t>, I</t>
    </r>
    <r>
      <rPr>
        <b/>
        <sz val="8"/>
        <color theme="1"/>
        <rFont val="Arial"/>
        <family val="2"/>
      </rPr>
      <t xml:space="preserve">NCLUDING </t>
    </r>
    <r>
      <rPr>
        <b/>
        <sz val="10"/>
        <color theme="1"/>
        <rFont val="Arial"/>
        <family val="2"/>
      </rPr>
      <t>P</t>
    </r>
    <r>
      <rPr>
        <b/>
        <sz val="8"/>
        <color theme="1"/>
        <rFont val="Arial"/>
        <family val="2"/>
      </rPr>
      <t xml:space="preserve">UDS </t>
    </r>
    <r>
      <rPr>
        <b/>
        <sz val="10"/>
        <color theme="1"/>
        <rFont val="Arial"/>
        <family val="2"/>
      </rPr>
      <t>– N</t>
    </r>
    <r>
      <rPr>
        <b/>
        <sz val="8"/>
        <color theme="1"/>
        <rFont val="Arial"/>
        <family val="2"/>
      </rPr>
      <t xml:space="preserve">OT </t>
    </r>
    <r>
      <rPr>
        <b/>
        <sz val="10"/>
        <color theme="1"/>
        <rFont val="Arial"/>
        <family val="2"/>
      </rPr>
      <t>P</t>
    </r>
    <r>
      <rPr>
        <b/>
        <sz val="8"/>
        <color theme="1"/>
        <rFont val="Arial"/>
        <family val="2"/>
      </rPr>
      <t>ERMITTED</t>
    </r>
  </si>
  <si>
    <t>Condo New Project Approval</t>
  </si>
  <si>
    <t>Condo Established Project</t>
  </si>
  <si>
    <t>Condo Limited Review</t>
  </si>
  <si>
    <t>FHA Single Unit Spot Approval</t>
  </si>
  <si>
    <t>FHA Established Full Project Approval</t>
  </si>
  <si>
    <t>Secondary Dept. Hours: M-F 10-5 ET</t>
  </si>
  <si>
    <t>CO</t>
  </si>
  <si>
    <t>Investment</t>
  </si>
  <si>
    <t>300,000 - 399,999</t>
  </si>
  <si>
    <t>STREAMLINE JUMBO</t>
  </si>
  <si>
    <t>Price Adjustments</t>
  </si>
  <si>
    <t>0 -</t>
  </si>
  <si>
    <t>50.01 -</t>
  </si>
  <si>
    <t>55.01 -</t>
  </si>
  <si>
    <t>60.01 -</t>
  </si>
  <si>
    <t>65.01 -</t>
  </si>
  <si>
    <t>70.01 -</t>
  </si>
  <si>
    <t>75.01 -</t>
  </si>
  <si>
    <t>80.01 -</t>
  </si>
  <si>
    <t>85.01 -</t>
  </si>
  <si>
    <t>&gt; 89.99</t>
  </si>
  <si>
    <t>Purchase</t>
  </si>
  <si>
    <t>Rate Term Refinance</t>
  </si>
  <si>
    <t>STREAMLINE JUMBO PRODUCT MATIX</t>
  </si>
  <si>
    <t xml:space="preserve">PRIMARY RESIDENCE: 1 UNIT, INCLUDING PUDS, CONDOS </t>
  </si>
  <si>
    <t>Loan Amount</t>
  </si>
  <si>
    <t>LTV / CLTV</t>
  </si>
  <si>
    <t>Max Cash</t>
  </si>
  <si>
    <t>Purchase &amp; Rate/Term</t>
  </si>
  <si>
    <t>Cash Out Refinance</t>
  </si>
  <si>
    <t>PRIMARY RESIDENCE: 2-4 UNITS</t>
  </si>
  <si>
    <t>SECOND HOME</t>
  </si>
  <si>
    <t>90.01 -</t>
  </si>
  <si>
    <t>Condo</t>
  </si>
  <si>
    <t>INVESTMENT: 2-4 UNITS</t>
  </si>
  <si>
    <t>PRIMARY: FIRST TIME HOME BUYER</t>
  </si>
  <si>
    <t>2nd Home</t>
  </si>
  <si>
    <t>LPMI Adjustments - All LPMI Products (N/A HomeReady, Home Possible)</t>
  </si>
  <si>
    <t>&gt;20 Yr Term</t>
  </si>
  <si>
    <t>Credit Scores</t>
  </si>
  <si>
    <t>Base LTV</t>
  </si>
  <si>
    <t>FICO 800+</t>
  </si>
  <si>
    <t>97 - 95.01%</t>
  </si>
  <si>
    <t>95 - 90.01%</t>
  </si>
  <si>
    <t>90 - 85.01%</t>
  </si>
  <si>
    <t>85 - &amp; Below</t>
  </si>
  <si>
    <t>&lt;=20 Yr Term</t>
  </si>
  <si>
    <t>LPMI Adjustments - HomeReady &amp; Home Possible Only</t>
  </si>
  <si>
    <t>Credit Scores    *LPMI LLPAs not subject to HomeReady/Home Possible LLPA Caps</t>
  </si>
  <si>
    <t>Other LPMI Adjustments - All LPMI Products</t>
  </si>
  <si>
    <t>All Terms</t>
  </si>
  <si>
    <t>Rate and Term</t>
  </si>
  <si>
    <t>3-4 Unit</t>
  </si>
  <si>
    <t>DTI &gt;45% &amp; LTV 95.01 - 97</t>
  </si>
  <si>
    <t>DTI &gt;45% &amp; LTV 90.01 - 95</t>
  </si>
  <si>
    <t>DTI &gt;45% &amp; LTV 85.01 - 90</t>
  </si>
  <si>
    <t>DTI &gt;45% &amp; LTV 80.01 - 85</t>
  </si>
  <si>
    <r>
      <t>P</t>
    </r>
    <r>
      <rPr>
        <b/>
        <sz val="11"/>
        <color theme="0"/>
        <rFont val="Arial"/>
        <family val="2"/>
      </rPr>
      <t xml:space="preserve">RIMARY </t>
    </r>
    <r>
      <rPr>
        <b/>
        <sz val="14"/>
        <color theme="0"/>
        <rFont val="Arial"/>
        <family val="2"/>
      </rPr>
      <t>R</t>
    </r>
    <r>
      <rPr>
        <b/>
        <sz val="11"/>
        <color theme="0"/>
        <rFont val="Arial"/>
        <family val="2"/>
      </rPr>
      <t>ESIDENCE</t>
    </r>
    <r>
      <rPr>
        <b/>
        <sz val="14"/>
        <color theme="0"/>
        <rFont val="Arial"/>
        <family val="2"/>
      </rPr>
      <t>: 1-2 U</t>
    </r>
    <r>
      <rPr>
        <b/>
        <sz val="11"/>
        <color theme="0"/>
        <rFont val="Arial"/>
        <family val="2"/>
      </rPr>
      <t>NIT</t>
    </r>
    <r>
      <rPr>
        <b/>
        <sz val="14"/>
        <color theme="0"/>
        <rFont val="Arial"/>
        <family val="2"/>
      </rPr>
      <t xml:space="preserve">, </t>
    </r>
    <r>
      <rPr>
        <b/>
        <sz val="11"/>
        <color theme="0"/>
        <rFont val="Arial"/>
        <family val="2"/>
      </rPr>
      <t xml:space="preserve">INCLUDING </t>
    </r>
    <r>
      <rPr>
        <b/>
        <sz val="14"/>
        <color theme="0"/>
        <rFont val="Arial"/>
        <family val="2"/>
      </rPr>
      <t>PUD</t>
    </r>
    <r>
      <rPr>
        <b/>
        <sz val="11"/>
        <color theme="0"/>
        <rFont val="Arial"/>
        <family val="2"/>
      </rPr>
      <t>S</t>
    </r>
    <r>
      <rPr>
        <b/>
        <vertAlign val="superscript"/>
        <sz val="9"/>
        <color theme="0"/>
        <rFont val="Arial"/>
        <family val="2"/>
      </rPr>
      <t>5</t>
    </r>
    <r>
      <rPr>
        <b/>
        <sz val="14"/>
        <color theme="0"/>
        <rFont val="Arial"/>
        <family val="2"/>
      </rPr>
      <t>, C</t>
    </r>
    <r>
      <rPr>
        <b/>
        <sz val="11"/>
        <color theme="0"/>
        <rFont val="Arial"/>
        <family val="2"/>
      </rPr>
      <t xml:space="preserve">ONDOS </t>
    </r>
  </si>
  <si>
    <r>
      <t>P</t>
    </r>
    <r>
      <rPr>
        <b/>
        <sz val="11"/>
        <color theme="0"/>
        <rFont val="Arial"/>
        <family val="2"/>
      </rPr>
      <t xml:space="preserve">RIMARY </t>
    </r>
    <r>
      <rPr>
        <b/>
        <sz val="14"/>
        <color theme="0"/>
        <rFont val="Arial"/>
        <family val="2"/>
      </rPr>
      <t>R</t>
    </r>
    <r>
      <rPr>
        <b/>
        <sz val="11"/>
        <color theme="0"/>
        <rFont val="Arial"/>
        <family val="2"/>
      </rPr>
      <t>ESIDENCE</t>
    </r>
    <r>
      <rPr>
        <b/>
        <sz val="14"/>
        <color theme="0"/>
        <rFont val="Arial"/>
        <family val="2"/>
      </rPr>
      <t>:  3-4 U</t>
    </r>
    <r>
      <rPr>
        <b/>
        <sz val="11"/>
        <color theme="0"/>
        <rFont val="Arial"/>
        <family val="2"/>
      </rPr>
      <t>NIT</t>
    </r>
  </si>
  <si>
    <r>
      <t>S</t>
    </r>
    <r>
      <rPr>
        <b/>
        <sz val="11"/>
        <color theme="0"/>
        <rFont val="Arial"/>
        <family val="2"/>
      </rPr>
      <t xml:space="preserve">ECOND </t>
    </r>
    <r>
      <rPr>
        <b/>
        <sz val="14"/>
        <color theme="0"/>
        <rFont val="Arial"/>
        <family val="2"/>
      </rPr>
      <t>H</t>
    </r>
    <r>
      <rPr>
        <b/>
        <sz val="11"/>
        <color theme="0"/>
        <rFont val="Arial"/>
        <family val="2"/>
      </rPr>
      <t>OME</t>
    </r>
    <r>
      <rPr>
        <b/>
        <sz val="14"/>
        <color theme="0"/>
        <rFont val="Arial"/>
        <family val="2"/>
      </rPr>
      <t>:  1-</t>
    </r>
    <r>
      <rPr>
        <b/>
        <sz val="11"/>
        <color theme="0"/>
        <rFont val="Arial"/>
        <family val="2"/>
      </rPr>
      <t>UNIT</t>
    </r>
    <r>
      <rPr>
        <b/>
        <sz val="14"/>
        <color theme="0"/>
        <rFont val="Arial"/>
        <family val="2"/>
      </rPr>
      <t xml:space="preserve">, </t>
    </r>
    <r>
      <rPr>
        <b/>
        <sz val="11"/>
        <color theme="0"/>
        <rFont val="Arial"/>
        <family val="2"/>
      </rPr>
      <t xml:space="preserve">INCLUDING </t>
    </r>
    <r>
      <rPr>
        <b/>
        <sz val="14"/>
        <color theme="0"/>
        <rFont val="Arial"/>
        <family val="2"/>
      </rPr>
      <t>PUD</t>
    </r>
    <r>
      <rPr>
        <b/>
        <sz val="11"/>
        <color theme="0"/>
        <rFont val="Arial"/>
        <family val="2"/>
      </rPr>
      <t xml:space="preserve">S </t>
    </r>
    <r>
      <rPr>
        <b/>
        <sz val="14"/>
        <color theme="0"/>
        <rFont val="Arial"/>
        <family val="2"/>
      </rPr>
      <t>C</t>
    </r>
    <r>
      <rPr>
        <b/>
        <sz val="11"/>
        <color theme="0"/>
        <rFont val="Arial"/>
        <family val="2"/>
      </rPr>
      <t>ONDOS</t>
    </r>
  </si>
  <si>
    <r>
      <t>I</t>
    </r>
    <r>
      <rPr>
        <b/>
        <sz val="11"/>
        <color theme="0"/>
        <rFont val="Arial"/>
        <family val="2"/>
      </rPr>
      <t xml:space="preserve">NVESTMENT </t>
    </r>
    <r>
      <rPr>
        <b/>
        <sz val="14"/>
        <color theme="0"/>
        <rFont val="Arial"/>
        <family val="2"/>
      </rPr>
      <t>P</t>
    </r>
    <r>
      <rPr>
        <b/>
        <sz val="11"/>
        <color theme="0"/>
        <rFont val="Arial"/>
        <family val="2"/>
      </rPr>
      <t>ROPERTY</t>
    </r>
    <r>
      <rPr>
        <b/>
        <sz val="14"/>
        <color theme="0"/>
        <rFont val="Arial"/>
        <family val="2"/>
      </rPr>
      <t>:  1-U</t>
    </r>
    <r>
      <rPr>
        <b/>
        <sz val="11"/>
        <color theme="0"/>
        <rFont val="Arial"/>
        <family val="2"/>
      </rPr>
      <t>NIT</t>
    </r>
    <r>
      <rPr>
        <b/>
        <sz val="14"/>
        <color theme="0"/>
        <rFont val="Arial"/>
        <family val="2"/>
      </rPr>
      <t xml:space="preserve">, </t>
    </r>
    <r>
      <rPr>
        <b/>
        <sz val="11"/>
        <color theme="0"/>
        <rFont val="Arial"/>
        <family val="2"/>
      </rPr>
      <t xml:space="preserve">INCLUDING </t>
    </r>
    <r>
      <rPr>
        <b/>
        <sz val="14"/>
        <color theme="0"/>
        <rFont val="Arial"/>
        <family val="2"/>
      </rPr>
      <t>C</t>
    </r>
    <r>
      <rPr>
        <b/>
        <sz val="11"/>
        <color theme="0"/>
        <rFont val="Arial"/>
        <family val="2"/>
      </rPr>
      <t>ONDOS</t>
    </r>
    <r>
      <rPr>
        <b/>
        <sz val="14"/>
        <color theme="0"/>
        <rFont val="Arial"/>
        <family val="2"/>
      </rPr>
      <t xml:space="preserve"> </t>
    </r>
    <r>
      <rPr>
        <b/>
        <sz val="11"/>
        <color theme="0"/>
        <rFont val="Arial"/>
        <family val="2"/>
      </rPr>
      <t xml:space="preserve">AND </t>
    </r>
    <r>
      <rPr>
        <b/>
        <sz val="14"/>
        <color theme="0"/>
        <rFont val="Arial"/>
        <family val="2"/>
      </rPr>
      <t>PUD</t>
    </r>
    <r>
      <rPr>
        <b/>
        <sz val="11"/>
        <color theme="0"/>
        <rFont val="Arial"/>
        <family val="2"/>
      </rPr>
      <t>S</t>
    </r>
  </si>
  <si>
    <t xml:space="preserve">Lender Paid Mortgage Insurance </t>
  </si>
  <si>
    <t>Interest Only</t>
  </si>
  <si>
    <t>Non-Warrantable Condo</t>
  </si>
  <si>
    <t>NOO</t>
  </si>
  <si>
    <t>No Escrow</t>
  </si>
  <si>
    <t>DTI &gt; 40%</t>
  </si>
  <si>
    <t>FTHB</t>
  </si>
  <si>
    <t>&gt;$1M &lt;= $1.5M</t>
  </si>
  <si>
    <t>&gt;$1.5M &lt;= $2.0M</t>
  </si>
  <si>
    <t xml:space="preserve">  &lt;=$1M</t>
  </si>
  <si>
    <t>NON PRIME PRODUCT MATRIX</t>
  </si>
  <si>
    <t>PROGRAM RESTRICTIONS / NOTES</t>
  </si>
  <si>
    <t>Non-Prime</t>
  </si>
  <si>
    <t>Primary Residence</t>
  </si>
  <si>
    <t>Second Home and Investor</t>
  </si>
  <si>
    <t>Max Price</t>
  </si>
  <si>
    <t>Rate</t>
  </si>
  <si>
    <t>30 Day</t>
  </si>
  <si>
    <t>Full Doc</t>
  </si>
  <si>
    <t>Alt Doc</t>
  </si>
  <si>
    <t>Credit Events</t>
  </si>
  <si>
    <t>2+ Yrs</t>
  </si>
  <si>
    <t>Purch &amp; R/T</t>
  </si>
  <si>
    <t>Cash-Out</t>
  </si>
  <si>
    <t>Housing History</t>
  </si>
  <si>
    <t>0x60x12</t>
  </si>
  <si>
    <r>
      <t>&lt;</t>
    </r>
    <r>
      <rPr>
        <sz val="11"/>
        <color rgb="FFFFFFFF"/>
        <rFont val="Arial"/>
        <family val="2"/>
      </rPr>
      <t>$1.0mm</t>
    </r>
  </si>
  <si>
    <t>Min Loan Amt</t>
  </si>
  <si>
    <t>Lock Period</t>
  </si>
  <si>
    <t>0.15 per 15 Days</t>
  </si>
  <si>
    <t>Max Lock</t>
  </si>
  <si>
    <t>60 Days</t>
  </si>
  <si>
    <t>ARM Margin</t>
  </si>
  <si>
    <t>ARM Index</t>
  </si>
  <si>
    <t>$1.01 - 2.0mm</t>
  </si>
  <si>
    <t>ARM Caps</t>
  </si>
  <si>
    <t>Max Loan Amt</t>
  </si>
  <si>
    <t>Lock Extension</t>
  </si>
  <si>
    <t>0.15 per 10 days</t>
  </si>
  <si>
    <t>Non-Owner Occupied  PPP Max Price</t>
  </si>
  <si>
    <t>3 YR+</t>
  </si>
  <si>
    <t>2 YR</t>
  </si>
  <si>
    <t xml:space="preserve">1 YR </t>
  </si>
  <si>
    <t xml:space="preserve">ADJUSTMENTS TO PRICE </t>
  </si>
  <si>
    <t>No PPP</t>
  </si>
  <si>
    <t>≤50%</t>
  </si>
  <si>
    <t xml:space="preserve">&gt; 90% </t>
  </si>
  <si>
    <t>720+</t>
  </si>
  <si>
    <t>12M Bk Stmt</t>
  </si>
  <si>
    <t>24M Bk Stmt</t>
  </si>
  <si>
    <t>5/1 ARM</t>
  </si>
  <si>
    <t>&gt; $2mm Loan Amt</t>
  </si>
  <si>
    <t>IO</t>
  </si>
  <si>
    <t>Investor Occ (3 Year PPP)</t>
  </si>
  <si>
    <t>DTI &gt; 50%</t>
  </si>
  <si>
    <t>Warrantable Condo</t>
  </si>
  <si>
    <t>2-4 Unit</t>
  </si>
  <si>
    <t>0x60x12 / &lt;3yr Event</t>
  </si>
  <si>
    <t>NEAR PRIME PRODUCT MATRIX</t>
  </si>
  <si>
    <t>4+ Yrs</t>
  </si>
  <si>
    <t>0x30x12</t>
  </si>
  <si>
    <t>Max Lock Period</t>
  </si>
  <si>
    <t>Non-Owner Occupied               PPP Max Price</t>
  </si>
  <si>
    <t>PREPAYMENT PENALTY PRICE ADJUSTER</t>
  </si>
  <si>
    <t xml:space="preserve">5 Year </t>
  </si>
  <si>
    <t xml:space="preserve">4 Year </t>
  </si>
  <si>
    <t>3 Year</t>
  </si>
  <si>
    <t>2 Year</t>
  </si>
  <si>
    <t>1 Year</t>
  </si>
  <si>
    <t>No Penalty</t>
  </si>
  <si>
    <t>DSCR MATRIX</t>
  </si>
  <si>
    <t>INVESTOR OCCUPANY</t>
  </si>
  <si>
    <t>DSCR &lt; 1.10</t>
  </si>
  <si>
    <r>
      <t>&lt;</t>
    </r>
    <r>
      <rPr>
        <sz val="11"/>
        <color rgb="FFFFFFFF"/>
        <rFont val="Arial"/>
        <family val="2"/>
      </rPr>
      <t>$1.01 - 2.0MM</t>
    </r>
  </si>
  <si>
    <t>760+</t>
  </si>
  <si>
    <t>DSCR &gt; 1.5</t>
  </si>
  <si>
    <t>DSCR &lt; 1.1</t>
  </si>
  <si>
    <t>&gt; $2M Loan Amount</t>
  </si>
  <si>
    <t>Extension Costs Per Day:</t>
  </si>
  <si>
    <t>Cash Out LTV, CLTV or HCLTV &gt; 90 inclusive of funding fee</t>
  </si>
  <si>
    <t>45 Day</t>
  </si>
  <si>
    <t>60 Day</t>
  </si>
  <si>
    <t>FHA</t>
  </si>
  <si>
    <t>Jumbo</t>
  </si>
  <si>
    <t>Conv</t>
  </si>
  <si>
    <t>75-Day</t>
  </si>
  <si>
    <t>90-Day</t>
  </si>
  <si>
    <t>AZ</t>
  </si>
  <si>
    <t>First Request</t>
  </si>
  <si>
    <t>Second Request</t>
  </si>
  <si>
    <t>Third Request</t>
  </si>
  <si>
    <t>Fourth Request</t>
  </si>
  <si>
    <t>LLPA CAPS APPLY TO ALL CONV ADJUSTMENTS ABOVE EXCEPT FOR ESCROW WAIVER, STATE, AND LOAN AMOUNT ADJUSTMENTS</t>
  </si>
  <si>
    <t>DC DE VA MD</t>
  </si>
  <si>
    <t>Underwriting Fee - Full Doc</t>
  </si>
  <si>
    <t>Underwriting Fee - Streamline</t>
  </si>
  <si>
    <t>Underwriting Fee - IRRRL</t>
  </si>
  <si>
    <t>Conventional ARM Products</t>
  </si>
  <si>
    <t>Agency 10/6 SOFR ARM 5-1-5</t>
  </si>
  <si>
    <t>Agency 7/6 SOFR ARM 5-1-5</t>
  </si>
  <si>
    <t>Agency 5/6 SOFR ARM 2-1-5</t>
  </si>
  <si>
    <t>Agency 10/6 SOFR ARM 5-1-5 High Balance</t>
  </si>
  <si>
    <t>Agency 7/6 SOFR ARM 5-1-5 High Balance</t>
  </si>
  <si>
    <t>Agency 5/6 SOFR ARM 2-1-5 High Balance</t>
  </si>
  <si>
    <t xml:space="preserve"> 7/6 ARM</t>
  </si>
  <si>
    <t xml:space="preserve"> 5/6 ARM</t>
  </si>
  <si>
    <t>Adjustments to Price</t>
  </si>
  <si>
    <t>PROGRAM MATRIX</t>
  </si>
  <si>
    <t>Purchase and Rate/Term Refinance</t>
  </si>
  <si>
    <t>&lt;= 90%</t>
  </si>
  <si>
    <t>&gt; 90%</t>
  </si>
  <si>
    <t xml:space="preserve">LTV </t>
  </si>
  <si>
    <t>DTI</t>
  </si>
  <si>
    <t xml:space="preserve">&gt;= 740 </t>
  </si>
  <si>
    <t>1-2 Unit Primary</t>
  </si>
  <si>
    <t>Interest Rate Caps</t>
  </si>
  <si>
    <t>* Minimum Loan Amount = $100,000</t>
  </si>
  <si>
    <t>Program</t>
  </si>
  <si>
    <t xml:space="preserve"> Initial Cap</t>
  </si>
  <si>
    <t>Subsequent Cap</t>
  </si>
  <si>
    <t>Lifetime Cap</t>
  </si>
  <si>
    <t>* Subordinate Financing not Eligible</t>
  </si>
  <si>
    <t>5/6 ARM</t>
  </si>
  <si>
    <t>7/6 ARM</t>
  </si>
  <si>
    <t>Eligible Professional Designations</t>
  </si>
  <si>
    <t>Medical Resident</t>
  </si>
  <si>
    <t>Medical Fellow</t>
  </si>
  <si>
    <t>Medical Doctor (MD)</t>
  </si>
  <si>
    <t>Doctor of Dental Surgery (DDS)</t>
  </si>
  <si>
    <t>Doctor of Dental Medicine (DMD)</t>
  </si>
  <si>
    <t>Doctor of Optometry (OD)</t>
  </si>
  <si>
    <t>Doctor of Ophthalmology (MD)</t>
  </si>
  <si>
    <t>Doctor of Podiatric Medicine (DPM)</t>
  </si>
  <si>
    <t>Doctor of Osteopathy (DO)</t>
  </si>
  <si>
    <t>Doctor of Pharmacy (PharmD)</t>
  </si>
  <si>
    <t>Doctor of Chiropractic (DC)</t>
  </si>
  <si>
    <t>Doctor of Veterinarian Medicine (DVM)</t>
  </si>
  <si>
    <t>Doctor of Surgery (DCH)</t>
  </si>
  <si>
    <t>Doctor of Psychiatric Medicine (DPM)</t>
  </si>
  <si>
    <t>Conventional Products - TBD Locks</t>
  </si>
  <si>
    <t>FHA/USDA Programs - TBD Locks</t>
  </si>
  <si>
    <t>VA Programs - TBD Locks</t>
  </si>
  <si>
    <t>AZ CO MA</t>
  </si>
  <si>
    <t>MA</t>
  </si>
  <si>
    <t>OR</t>
  </si>
  <si>
    <t>NH</t>
  </si>
  <si>
    <t>&lt;=250k</t>
  </si>
  <si>
    <t>&gt;250k-1mm</t>
  </si>
  <si>
    <t>&gt;1mm</t>
  </si>
  <si>
    <t>KEYDR</t>
  </si>
  <si>
    <t>KeyInvest Rate Sheet</t>
  </si>
  <si>
    <t>KeyAdvantage Rate Sheet</t>
  </si>
  <si>
    <t>KeySelect Rate Sheet</t>
  </si>
  <si>
    <t>Specials</t>
  </si>
  <si>
    <t>NonQM</t>
  </si>
  <si>
    <t>10/6 SOFR ARM</t>
  </si>
  <si>
    <t>PA FL TX</t>
  </si>
  <si>
    <t>TX</t>
  </si>
  <si>
    <t>7/6 SOFR ARM</t>
  </si>
  <si>
    <t>STREAMLINE JUMBO ARMS</t>
  </si>
  <si>
    <t>Near-Prime</t>
  </si>
  <si>
    <t>SC</t>
  </si>
  <si>
    <t>CT</t>
  </si>
  <si>
    <t>Reserves &lt; 6 Mo</t>
  </si>
  <si>
    <t>DSCR &gt;= 1.10</t>
  </si>
  <si>
    <t>CA</t>
  </si>
  <si>
    <t>GA</t>
  </si>
  <si>
    <t>CT NC NJ NH OR SC GA WA</t>
  </si>
  <si>
    <t>WA</t>
  </si>
  <si>
    <t>DE NC PA CO AZ MA NH OR TX SC GA WA</t>
  </si>
  <si>
    <t>DC FL MD NJ VA IL CT CA</t>
  </si>
  <si>
    <t>DTI &lt;= 40%</t>
  </si>
  <si>
    <t>Multi Unit</t>
  </si>
  <si>
    <t>FICO Adjustments</t>
  </si>
  <si>
    <t xml:space="preserve">USDA </t>
  </si>
  <si>
    <t>SILVER JUMBO</t>
  </si>
  <si>
    <t>30 YR FIXED</t>
  </si>
  <si>
    <t>FICO/LTV LLPAs</t>
  </si>
  <si>
    <t>BPMI</t>
  </si>
  <si>
    <t>NO MI</t>
  </si>
  <si>
    <t>&lt;=</t>
  </si>
  <si>
    <t>&gt;= 800</t>
  </si>
  <si>
    <t>780 - 799</t>
  </si>
  <si>
    <t>760 - 779</t>
  </si>
  <si>
    <t>740 - 759</t>
  </si>
  <si>
    <t>720 - 739</t>
  </si>
  <si>
    <t>700 - 719</t>
  </si>
  <si>
    <t>680 - 699</t>
  </si>
  <si>
    <t>Jumbo Feature Adjusters</t>
  </si>
  <si>
    <t>Condo*</t>
  </si>
  <si>
    <t>Cashout</t>
  </si>
  <si>
    <t>2-Unit</t>
  </si>
  <si>
    <t>CA w/ Escrows</t>
  </si>
  <si>
    <t>DTI &gt;43%</t>
  </si>
  <si>
    <t>Loans with Original Amounts greater than or equal to $ 1 million</t>
  </si>
  <si>
    <t>&gt;$1.5MM&lt;=$2MM</t>
  </si>
  <si>
    <t>&gt;$2MM&lt;=$2.5MM</t>
  </si>
  <si>
    <t>&gt;= 90</t>
  </si>
  <si>
    <t>&gt;=$1MM&lt;=$1.5MM</t>
  </si>
  <si>
    <t>California</t>
  </si>
  <si>
    <t>SPEC PAYUPS</t>
  </si>
  <si>
    <t>$225,001 - $250,000</t>
  </si>
  <si>
    <t>$200,001 - $225,000</t>
  </si>
  <si>
    <t>$175,001 - $200,000</t>
  </si>
  <si>
    <t>$150,001 - $175,000</t>
  </si>
  <si>
    <t>$125,001 - $150,000</t>
  </si>
  <si>
    <t>$110,001 - $125,000</t>
  </si>
  <si>
    <t>$85,001 - $110,000</t>
  </si>
  <si>
    <t>$75,000 - $85,000</t>
  </si>
  <si>
    <t>FHA 30 Year Fixed</t>
  </si>
  <si>
    <t>VA 30 Year Fixed</t>
  </si>
  <si>
    <t>RATE</t>
  </si>
  <si>
    <t xml:space="preserve">Adjustment Caps </t>
  </si>
  <si>
    <t>Home Ready / Home Possible</t>
  </si>
  <si>
    <t xml:space="preserve">First Time Homebuyer </t>
  </si>
  <si>
    <t>&lt;= 100% AMI</t>
  </si>
  <si>
    <t>&lt;=120% AMI High Cost</t>
  </si>
  <si>
    <t>21-Day</t>
  </si>
  <si>
    <t>1,000,000 - $1,499,999</t>
  </si>
  <si>
    <t>Temp Interest Rate Buydown</t>
  </si>
  <si>
    <t>Temporary Interest Rate Buydown</t>
  </si>
  <si>
    <t>AL</t>
  </si>
  <si>
    <t>Purchase - FICO/LTV LLPAs (Mortgage &gt; 15 Year Terms)</t>
  </si>
  <si>
    <t>Purchase - LLPAs by Product Feature (All Terms)</t>
  </si>
  <si>
    <t>LTV Range</t>
  </si>
  <si>
    <t>Product Feature</t>
  </si>
  <si>
    <t>FICO Range</t>
  </si>
  <si>
    <t>&lt;= 30.00%</t>
  </si>
  <si>
    <t>30.01 - 60.00%</t>
  </si>
  <si>
    <t>60.01 - 70.00%</t>
  </si>
  <si>
    <t>70.01 - 75.00%</t>
  </si>
  <si>
    <t>75.01 - 80.00%</t>
  </si>
  <si>
    <t>80.01 - 85.00%</t>
  </si>
  <si>
    <t>85.01 - 90.00%</t>
  </si>
  <si>
    <t>90.01 - 95.00%</t>
  </si>
  <si>
    <t>95.01 - 97.00%</t>
  </si>
  <si>
    <t>&gt;=780</t>
  </si>
  <si>
    <t>ARM</t>
  </si>
  <si>
    <t>2-4 Unit Property</t>
  </si>
  <si>
    <t>660 - 679</t>
  </si>
  <si>
    <t>Secondary Financing</t>
  </si>
  <si>
    <t>640 - 659</t>
  </si>
  <si>
    <t>High Balance - Fixed Rate</t>
  </si>
  <si>
    <t>620 - 639</t>
  </si>
  <si>
    <t>High Balance - ARM</t>
  </si>
  <si>
    <t>&lt; 620</t>
  </si>
  <si>
    <t>Non Cashout Refinance - FICO/LTV LLPAs (Mortgage &gt; 15 Year Terms)</t>
  </si>
  <si>
    <t>Non Cashout Refinance - LLPAs by Product Feature (All Terms)</t>
  </si>
  <si>
    <t>Cashout Refinance - FICO/LTV LLPAs (All Mortgage Terms)</t>
  </si>
  <si>
    <t>Cashout Refinance - LLPAs by Product Feature (All Terms)</t>
  </si>
  <si>
    <t>n/a</t>
  </si>
  <si>
    <t xml:space="preserve">Pricing Specials </t>
  </si>
  <si>
    <t>Purchase Special</t>
  </si>
  <si>
    <t>Escrow Waiver</t>
  </si>
  <si>
    <t>Cumulative LLPA Caps</t>
  </si>
  <si>
    <t>HomeReady / Home Possible</t>
  </si>
  <si>
    <t>FTHB with AMI at or below 100% or 120% in designated High Cost Areas</t>
  </si>
  <si>
    <t>Duty to Serve loans for Manufactured Housing and High Needs Rural Areas</t>
  </si>
  <si>
    <t>**See Page 9</t>
  </si>
  <si>
    <t xml:space="preserve">Manual Underwrite </t>
  </si>
  <si>
    <t>Manual Underwrite</t>
  </si>
  <si>
    <t>$275,001 - $300,000</t>
  </si>
  <si>
    <t>$250,001 - $275,000</t>
  </si>
  <si>
    <t xml:space="preserve">Conventional LLPAs </t>
  </si>
  <si>
    <t>**See Page 9 for LLPA Matrix</t>
  </si>
  <si>
    <t>548,251 - 766,550</t>
  </si>
  <si>
    <t>766,550 - 999,999</t>
  </si>
  <si>
    <t>&gt; = $1,500,000 - $2,000,000</t>
  </si>
  <si>
    <t>DC DE VA MD TN WV</t>
  </si>
  <si>
    <t>TN</t>
  </si>
  <si>
    <t>WV</t>
  </si>
  <si>
    <t>Specialty Programs</t>
  </si>
  <si>
    <t xml:space="preserve">DU Home Ready </t>
  </si>
  <si>
    <t xml:space="preserve">LP Home Possible </t>
  </si>
  <si>
    <t>30 Yr Term</t>
  </si>
  <si>
    <t xml:space="preserve">&lt; 30 Yr Term </t>
  </si>
  <si>
    <t>NOO Spec Payup 30Yr Fixed Only</t>
  </si>
  <si>
    <t>AL CO</t>
  </si>
  <si>
    <t xml:space="preserve">Investment </t>
  </si>
  <si>
    <t>Second Homes</t>
  </si>
  <si>
    <t>**Applies to loan terms = 360 months, loan amounts &gt; 225,000, and FICO &gt; = 680</t>
  </si>
  <si>
    <t>0-60%</t>
  </si>
  <si>
    <t>60.01-70%</t>
  </si>
  <si>
    <t>70.01-75%</t>
  </si>
  <si>
    <t>75.01-80%</t>
  </si>
  <si>
    <t>80.01-85%</t>
  </si>
  <si>
    <t>85.01-90%</t>
  </si>
  <si>
    <t>&gt;90%</t>
  </si>
  <si>
    <t>Second Home and Investment Property LTV Adjustments - 30Yr Fixed, FICO &gt;= 680, and Loan Amount &gt; 225,000</t>
  </si>
  <si>
    <t>CT NC NJ NH OR SC GA WA MN</t>
  </si>
  <si>
    <t>AZ MA ND</t>
  </si>
  <si>
    <t>MN</t>
  </si>
  <si>
    <t>ND</t>
  </si>
  <si>
    <t>State Special</t>
  </si>
  <si>
    <t>NC, SC, TN</t>
  </si>
  <si>
    <t>SPECIAL - AZ CA OR WA</t>
  </si>
  <si>
    <t>VA 30 CASHOUT &gt;90%</t>
  </si>
  <si>
    <t>High Balance - Cash Out LTV, CLTV or HCLTV &gt; 90%</t>
  </si>
  <si>
    <t>Keystone Funding Inc.</t>
  </si>
  <si>
    <t>New Project Submission</t>
  </si>
  <si>
    <t>Refinance Special</t>
  </si>
  <si>
    <t>Second Home and Investment (IRRRL only)</t>
  </si>
  <si>
    <t>$475,001 - $500,000</t>
  </si>
  <si>
    <t>$450,001 - $475,000</t>
  </si>
  <si>
    <t>$425,001 - $450,000</t>
  </si>
  <si>
    <t>$400,001 - $425,000</t>
  </si>
  <si>
    <t>$375,001 - $400,000</t>
  </si>
  <si>
    <t>$350,001 - $375,000</t>
  </si>
  <si>
    <t>$325,001 - $350,000</t>
  </si>
  <si>
    <t>$300,001 - $325,000</t>
  </si>
  <si>
    <t>548,251 - 832,750</t>
  </si>
  <si>
    <t>&gt; 832,750</t>
  </si>
  <si>
    <t>0.000</t>
  </si>
  <si>
    <t>Floridia Owner Occupied Spec Payup 30Yr Fixed Only - Coming Soon</t>
  </si>
  <si>
    <r>
      <t>Second Home and Investment Property LTV Adjustments</t>
    </r>
    <r>
      <rPr>
        <sz val="10"/>
        <rFont val="Arial"/>
        <family val="2"/>
      </rPr>
      <t xml:space="preserve"> - n/a Primary Residence Only</t>
    </r>
  </si>
  <si>
    <t xml:space="preserve">Non-Owner Occ. </t>
  </si>
  <si>
    <t>Non-Owner Occ.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</si>
</sst>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00_);\(0.000\)"/>
    <numFmt numFmtId="166" formatCode="0.00_);\(0.00\)"/>
    <numFmt numFmtId="167" formatCode="[$-409]h:mm:ss\ AM/PM;@"/>
    <numFmt numFmtId="168" formatCode="[$-409]h:mm\ AM/PM;@"/>
    <numFmt numFmtId="169" formatCode="\$#,##0"/>
    <numFmt numFmtId="170" formatCode="\$\ #,##0"/>
    <numFmt numFmtId="171" formatCode="0.000_);[Red]\(0.000\)"/>
    <numFmt numFmtId="172" formatCode="0.0000_);[Red]\(0.0000\)"/>
    <numFmt numFmtId="173" formatCode="_(* #,##0_);_(* \(#,##0\);_(* &quot;-&quot;??_);_(@_)"/>
    <numFmt numFmtId="174" formatCode="0_);\(0\)"/>
    <numFmt numFmtId="175" formatCode="&quot;$&quot;#,##0"/>
    <numFmt numFmtId="176" formatCode="#,##0.0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name val="Arial"/>
      <family val="2"/>
    </font>
    <font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u/>
      <sz val="14"/>
      <color theme="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b/>
      <vertAlign val="superscript"/>
      <sz val="10"/>
      <color theme="1"/>
      <name val="Arial"/>
      <family val="2"/>
    </font>
    <font>
      <b/>
      <sz val="8"/>
      <color theme="1"/>
      <name val="Arial"/>
      <family val="2"/>
    </font>
    <font>
      <vertAlign val="superscript"/>
      <sz val="6.5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Times New Roman"/>
      <family val="1"/>
    </font>
    <font>
      <b/>
      <vertAlign val="superscript"/>
      <sz val="9"/>
      <color theme="0"/>
      <name val="Arial"/>
      <family val="2"/>
    </font>
    <font>
      <b/>
      <sz val="13"/>
      <color theme="0"/>
      <name val="Arial"/>
      <family val="2"/>
    </font>
    <font>
      <b/>
      <sz val="11"/>
      <color rgb="FFFFFFFF"/>
      <name val="Arial"/>
      <family val="2"/>
    </font>
    <font>
      <u/>
      <sz val="11"/>
      <color rgb="FFFFFFFF"/>
      <name val="Arial"/>
      <family val="2"/>
    </font>
    <font>
      <sz val="11"/>
      <color rgb="FFFFFFFF"/>
      <name val="Arial"/>
      <family val="2"/>
    </font>
    <font>
      <sz val="12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7"/>
      <color theme="1"/>
      <name val="Arial"/>
      <family val="2"/>
    </font>
    <font>
      <sz val="16"/>
      <color theme="0"/>
      <name val="Arial"/>
      <family val="2"/>
    </font>
    <font>
      <sz val="11"/>
      <color rgb="FF000000"/>
      <name val="Arial"/>
      <family val="2"/>
    </font>
    <font>
      <b/>
      <u/>
      <sz val="26"/>
      <color theme="9" tint="-0.249977111117893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0"/>
      <color rgb="FF0D056F"/>
      <name val="Arial"/>
      <family val="2"/>
    </font>
    <font>
      <sz val="11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u/>
      <sz val="16"/>
      <color theme="10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10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rgb="FFFFFFFF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theme="0"/>
      </right>
      <top style="medium">
        <color rgb="FFFFFFFF"/>
      </top>
      <bottom/>
      <diagonal/>
    </border>
    <border>
      <left style="medium">
        <color theme="0"/>
      </left>
      <right style="medium">
        <color theme="0"/>
      </right>
      <top style="medium">
        <color rgb="FFFFFFFF"/>
      </top>
      <bottom/>
      <diagonal/>
    </border>
    <border>
      <left style="medium">
        <color theme="0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 style="medium">
        <color theme="0"/>
      </right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medium">
        <color theme="0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rgb="FFFFFFFF"/>
      </bottom>
      <diagonal/>
    </border>
    <border>
      <left/>
      <right style="medium">
        <color indexed="64"/>
      </right>
      <top/>
      <bottom style="medium">
        <color rgb="FFFFFFFF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rgb="FFFFFFFF"/>
      </top>
      <bottom/>
      <diagonal/>
    </border>
    <border>
      <left style="medium">
        <color theme="0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theme="0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 style="medium">
        <color rgb="FFFFFFFF"/>
      </bottom>
      <diagonal/>
    </border>
    <border>
      <left style="thin">
        <color indexed="64"/>
      </left>
      <right/>
      <top/>
      <bottom style="medium">
        <color rgb="FFFFFFFF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0" fillId="0" borderId="0"/>
    <xf numFmtId="0" fontId="3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6" fillId="0" borderId="0">
      <alignment horizontal="left" wrapText="1"/>
    </xf>
    <xf numFmtId="9" fontId="1" fillId="0" borderId="0" applyFont="0" applyFill="0" applyBorder="0" applyAlignment="0" applyProtection="0"/>
    <xf numFmtId="0" fontId="14" fillId="0" borderId="0"/>
    <xf numFmtId="44" fontId="1" fillId="0" borderId="0" applyFont="0" applyFill="0" applyBorder="0" applyAlignment="0" applyProtection="0"/>
  </cellStyleXfs>
  <cellXfs count="1197">
    <xf numFmtId="0" fontId="0" fillId="0" borderId="0" xfId="0"/>
    <xf numFmtId="0" fontId="6" fillId="2" borderId="1" xfId="0" applyFont="1" applyFill="1" applyBorder="1" applyProtection="1">
      <protection hidden="1"/>
    </xf>
    <xf numFmtId="0" fontId="3" fillId="2" borderId="2" xfId="0" applyFont="1" applyFill="1" applyBorder="1" applyProtection="1">
      <protection hidden="1"/>
    </xf>
    <xf numFmtId="0" fontId="6" fillId="2" borderId="4" xfId="0" applyFont="1" applyFill="1" applyBorder="1" applyProtection="1">
      <protection hidden="1"/>
    </xf>
    <xf numFmtId="0" fontId="3" fillId="2" borderId="0" xfId="0" applyFont="1" applyFill="1" applyProtection="1">
      <protection hidden="1"/>
    </xf>
    <xf numFmtId="0" fontId="3" fillId="2" borderId="5" xfId="0" applyFont="1" applyFill="1" applyBorder="1" applyProtection="1">
      <protection hidden="1"/>
    </xf>
    <xf numFmtId="0" fontId="7" fillId="2" borderId="4" xfId="0" applyFont="1" applyFill="1" applyBorder="1" applyAlignment="1" applyProtection="1">
      <alignment horizontal="left"/>
      <protection hidden="1"/>
    </xf>
    <xf numFmtId="0" fontId="3" fillId="2" borderId="0" xfId="0" applyFont="1" applyFill="1" applyAlignment="1" applyProtection="1">
      <alignment horizontal="centerContinuous"/>
      <protection hidden="1"/>
    </xf>
    <xf numFmtId="0" fontId="3" fillId="2" borderId="4" xfId="0" applyFont="1" applyFill="1" applyBorder="1" applyProtection="1"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3" fillId="2" borderId="6" xfId="0" applyFont="1" applyFill="1" applyBorder="1" applyProtection="1">
      <protection hidden="1"/>
    </xf>
    <xf numFmtId="0" fontId="3" fillId="2" borderId="7" xfId="0" applyFont="1" applyFill="1" applyBorder="1" applyProtection="1">
      <protection hidden="1"/>
    </xf>
    <xf numFmtId="2" fontId="5" fillId="2" borderId="20" xfId="0" applyNumberFormat="1" applyFont="1" applyFill="1" applyBorder="1" applyAlignment="1" applyProtection="1">
      <alignment horizontal="left" vertical="center"/>
      <protection hidden="1"/>
    </xf>
    <xf numFmtId="2" fontId="3" fillId="2" borderId="16" xfId="0" applyNumberFormat="1" applyFont="1" applyFill="1" applyBorder="1" applyAlignment="1" applyProtection="1">
      <alignment horizontal="left" vertical="center"/>
      <protection hidden="1"/>
    </xf>
    <xf numFmtId="2" fontId="5" fillId="2" borderId="16" xfId="0" applyNumberFormat="1" applyFont="1" applyFill="1" applyBorder="1" applyAlignment="1" applyProtection="1">
      <alignment horizontal="right" vertical="center"/>
      <protection hidden="1"/>
    </xf>
    <xf numFmtId="165" fontId="5" fillId="2" borderId="17" xfId="0" applyNumberFormat="1" applyFont="1" applyFill="1" applyBorder="1" applyAlignment="1" applyProtection="1">
      <alignment horizontal="center" vertical="center"/>
      <protection hidden="1"/>
    </xf>
    <xf numFmtId="164" fontId="3" fillId="2" borderId="16" xfId="0" applyNumberFormat="1" applyFont="1" applyFill="1" applyBorder="1" applyAlignment="1" applyProtection="1">
      <alignment horizontal="left" vertical="center"/>
      <protection hidden="1"/>
    </xf>
    <xf numFmtId="2" fontId="5" fillId="2" borderId="16" xfId="0" applyNumberFormat="1" applyFont="1" applyFill="1" applyBorder="1" applyAlignment="1" applyProtection="1">
      <alignment horizontal="left" vertical="center"/>
      <protection hidden="1"/>
    </xf>
    <xf numFmtId="165" fontId="3" fillId="2" borderId="33" xfId="0" applyNumberFormat="1" applyFont="1" applyFill="1" applyBorder="1" applyAlignment="1" applyProtection="1">
      <alignment horizontal="right" vertical="center"/>
      <protection hidden="1"/>
    </xf>
    <xf numFmtId="0" fontId="6" fillId="2" borderId="0" xfId="3" applyFont="1" applyFill="1" applyProtection="1">
      <protection hidden="1"/>
    </xf>
    <xf numFmtId="164" fontId="6" fillId="2" borderId="0" xfId="0" applyNumberFormat="1" applyFont="1" applyFill="1" applyAlignment="1" applyProtection="1">
      <alignment horizontal="center" vertical="center"/>
      <protection hidden="1"/>
    </xf>
    <xf numFmtId="2" fontId="3" fillId="2" borderId="4" xfId="0" applyNumberFormat="1" applyFont="1" applyFill="1" applyBorder="1" applyAlignment="1" applyProtection="1">
      <alignment horizontal="left" vertical="center" indent="1"/>
      <protection hidden="1"/>
    </xf>
    <xf numFmtId="165" fontId="3" fillId="2" borderId="21" xfId="0" applyNumberFormat="1" applyFont="1" applyFill="1" applyBorder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left" vertical="center"/>
      <protection hidden="1"/>
    </xf>
    <xf numFmtId="2" fontId="3" fillId="2" borderId="0" xfId="0" applyNumberFormat="1" applyFont="1" applyFill="1" applyAlignment="1" applyProtection="1">
      <alignment horizontal="left" vertical="center"/>
      <protection hidden="1"/>
    </xf>
    <xf numFmtId="165" fontId="3" fillId="2" borderId="5" xfId="0" applyNumberFormat="1" applyFont="1" applyFill="1" applyBorder="1" applyAlignment="1" applyProtection="1">
      <alignment horizontal="center" vertical="center"/>
      <protection hidden="1"/>
    </xf>
    <xf numFmtId="164" fontId="8" fillId="2" borderId="4" xfId="0" applyNumberFormat="1" applyFont="1" applyFill="1" applyBorder="1" applyAlignment="1" applyProtection="1">
      <alignment horizontal="center" vertical="center"/>
      <protection hidden="1"/>
    </xf>
    <xf numFmtId="164" fontId="6" fillId="2" borderId="21" xfId="0" applyNumberFormat="1" applyFont="1" applyFill="1" applyBorder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vertical="center"/>
      <protection hidden="1"/>
    </xf>
    <xf numFmtId="165" fontId="3" fillId="2" borderId="21" xfId="7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165" fontId="3" fillId="2" borderId="5" xfId="7" applyNumberFormat="1" applyFont="1" applyFill="1" applyBorder="1" applyAlignment="1" applyProtection="1">
      <alignment horizontal="center" vertical="center"/>
      <protection hidden="1"/>
    </xf>
    <xf numFmtId="0" fontId="4" fillId="2" borderId="25" xfId="0" applyFont="1" applyFill="1" applyBorder="1" applyAlignment="1" applyProtection="1">
      <alignment vertical="center"/>
      <protection hidden="1"/>
    </xf>
    <xf numFmtId="2" fontId="3" fillId="2" borderId="18" xfId="0" applyNumberFormat="1" applyFont="1" applyFill="1" applyBorder="1" applyAlignment="1" applyProtection="1">
      <alignment horizontal="left" vertical="center"/>
      <protection hidden="1"/>
    </xf>
    <xf numFmtId="0" fontId="4" fillId="2" borderId="16" xfId="0" applyFont="1" applyFill="1" applyBorder="1" applyAlignment="1" applyProtection="1">
      <alignment vertical="center"/>
      <protection hidden="1"/>
    </xf>
    <xf numFmtId="165" fontId="3" fillId="2" borderId="33" xfId="0" applyNumberFormat="1" applyFont="1" applyFill="1" applyBorder="1" applyAlignment="1" applyProtection="1">
      <alignment horizontal="center" vertical="center"/>
      <protection hidden="1"/>
    </xf>
    <xf numFmtId="0" fontId="11" fillId="2" borderId="16" xfId="0" applyFont="1" applyFill="1" applyBorder="1" applyAlignment="1" applyProtection="1">
      <alignment vertical="center"/>
      <protection hidden="1"/>
    </xf>
    <xf numFmtId="164" fontId="8" fillId="2" borderId="23" xfId="0" applyNumberFormat="1" applyFont="1" applyFill="1" applyBorder="1" applyAlignment="1" applyProtection="1">
      <alignment horizontal="center" vertical="center"/>
      <protection hidden="1"/>
    </xf>
    <xf numFmtId="164" fontId="6" fillId="2" borderId="18" xfId="0" applyNumberFormat="1" applyFont="1" applyFill="1" applyBorder="1" applyAlignment="1" applyProtection="1">
      <alignment horizontal="center" vertical="center"/>
      <protection hidden="1"/>
    </xf>
    <xf numFmtId="164" fontId="6" fillId="2" borderId="24" xfId="0" applyNumberFormat="1" applyFont="1" applyFill="1" applyBorder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65" fontId="3" fillId="2" borderId="0" xfId="0" applyNumberFormat="1" applyFont="1" applyFill="1" applyAlignment="1" applyProtection="1">
      <alignment horizontal="center" vertical="center"/>
      <protection hidden="1"/>
    </xf>
    <xf numFmtId="165" fontId="13" fillId="2" borderId="4" xfId="0" applyNumberFormat="1" applyFont="1" applyFill="1" applyBorder="1" applyAlignment="1" applyProtection="1">
      <alignment horizontal="left" vertical="center" indent="1"/>
      <protection hidden="1"/>
    </xf>
    <xf numFmtId="165" fontId="13" fillId="2" borderId="0" xfId="0" applyNumberFormat="1" applyFont="1" applyFill="1" applyAlignment="1" applyProtection="1">
      <alignment horizontal="center" vertical="center"/>
      <protection hidden="1"/>
    </xf>
    <xf numFmtId="0" fontId="11" fillId="2" borderId="0" xfId="3" applyFont="1" applyFill="1" applyProtection="1">
      <protection hidden="1"/>
    </xf>
    <xf numFmtId="0" fontId="11" fillId="2" borderId="5" xfId="3" applyFont="1" applyFill="1" applyBorder="1" applyProtection="1">
      <protection hidden="1"/>
    </xf>
    <xf numFmtId="165" fontId="5" fillId="2" borderId="4" xfId="0" applyNumberFormat="1" applyFont="1" applyFill="1" applyBorder="1" applyAlignment="1" applyProtection="1">
      <alignment horizontal="left" vertical="center" indent="1"/>
      <protection hidden="1"/>
    </xf>
    <xf numFmtId="165" fontId="3" fillId="2" borderId="0" xfId="0" applyNumberFormat="1" applyFont="1" applyFill="1" applyAlignment="1" applyProtection="1">
      <alignment vertical="center"/>
      <protection hidden="1"/>
    </xf>
    <xf numFmtId="0" fontId="11" fillId="2" borderId="0" xfId="3" applyFont="1" applyFill="1" applyAlignment="1" applyProtection="1">
      <alignment vertical="center"/>
      <protection hidden="1"/>
    </xf>
    <xf numFmtId="164" fontId="8" fillId="2" borderId="22" xfId="0" applyNumberFormat="1" applyFont="1" applyFill="1" applyBorder="1" applyAlignment="1" applyProtection="1">
      <alignment horizontal="center" vertical="center"/>
      <protection hidden="1"/>
    </xf>
    <xf numFmtId="164" fontId="6" fillId="2" borderId="5" xfId="0" applyNumberFormat="1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left" vertical="top" indent="1"/>
      <protection hidden="1"/>
    </xf>
    <xf numFmtId="0" fontId="11" fillId="2" borderId="20" xfId="3" applyFont="1" applyFill="1" applyBorder="1" applyProtection="1">
      <protection hidden="1"/>
    </xf>
    <xf numFmtId="0" fontId="11" fillId="2" borderId="16" xfId="3" applyFont="1" applyFill="1" applyBorder="1" applyProtection="1">
      <protection hidden="1"/>
    </xf>
    <xf numFmtId="0" fontId="11" fillId="2" borderId="33" xfId="3" applyFont="1" applyFill="1" applyBorder="1" applyProtection="1">
      <protection hidden="1"/>
    </xf>
    <xf numFmtId="0" fontId="11" fillId="2" borderId="28" xfId="0" applyFont="1" applyFill="1" applyBorder="1" applyProtection="1">
      <protection hidden="1"/>
    </xf>
    <xf numFmtId="165" fontId="13" fillId="2" borderId="15" xfId="0" applyNumberFormat="1" applyFont="1" applyFill="1" applyBorder="1" applyAlignment="1" applyProtection="1">
      <alignment horizontal="left" vertical="center" indent="2"/>
      <protection hidden="1"/>
    </xf>
    <xf numFmtId="43" fontId="3" fillId="2" borderId="16" xfId="1" applyFont="1" applyFill="1" applyBorder="1" applyAlignment="1" applyProtection="1">
      <alignment horizontal="left" indent="2"/>
      <protection hidden="1"/>
    </xf>
    <xf numFmtId="43" fontId="3" fillId="2" borderId="16" xfId="1" applyFont="1" applyFill="1" applyBorder="1" applyAlignment="1" applyProtection="1">
      <protection hidden="1"/>
    </xf>
    <xf numFmtId="2" fontId="3" fillId="2" borderId="16" xfId="0" applyNumberFormat="1" applyFont="1" applyFill="1" applyBorder="1" applyAlignment="1" applyProtection="1">
      <alignment horizontal="left"/>
      <protection hidden="1"/>
    </xf>
    <xf numFmtId="165" fontId="3" fillId="2" borderId="33" xfId="0" applyNumberFormat="1" applyFont="1" applyFill="1" applyBorder="1" applyAlignment="1" applyProtection="1">
      <alignment horizontal="right"/>
      <protection hidden="1"/>
    </xf>
    <xf numFmtId="165" fontId="13" fillId="2" borderId="23" xfId="0" applyNumberFormat="1" applyFont="1" applyFill="1" applyBorder="1" applyAlignment="1" applyProtection="1">
      <alignment horizontal="left" vertical="center" indent="1"/>
      <protection hidden="1"/>
    </xf>
    <xf numFmtId="165" fontId="13" fillId="2" borderId="18" xfId="0" applyNumberFormat="1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vertical="center" wrapText="1"/>
      <protection hidden="1"/>
    </xf>
    <xf numFmtId="165" fontId="13" fillId="2" borderId="5" xfId="0" applyNumberFormat="1" applyFont="1" applyFill="1" applyBorder="1" applyAlignment="1" applyProtection="1">
      <alignment horizontal="left" vertical="center" wrapText="1" indent="1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0" fontId="12" fillId="2" borderId="22" xfId="0" applyFont="1" applyFill="1" applyBorder="1" applyAlignment="1" applyProtection="1">
      <alignment horizontal="left" indent="2"/>
      <protection hidden="1"/>
    </xf>
    <xf numFmtId="0" fontId="12" fillId="2" borderId="0" xfId="0" applyFont="1" applyFill="1" applyAlignment="1" applyProtection="1">
      <alignment horizontal="left" indent="2"/>
      <protection hidden="1"/>
    </xf>
    <xf numFmtId="0" fontId="12" fillId="2" borderId="0" xfId="0" applyFont="1" applyFill="1" applyAlignment="1" applyProtection="1">
      <alignment horizontal="left"/>
      <protection hidden="1"/>
    </xf>
    <xf numFmtId="165" fontId="3" fillId="2" borderId="0" xfId="0" applyNumberFormat="1" applyFont="1" applyFill="1" applyAlignment="1" applyProtection="1">
      <alignment horizontal="left" vertical="top"/>
      <protection hidden="1"/>
    </xf>
    <xf numFmtId="0" fontId="11" fillId="2" borderId="0" xfId="0" applyFont="1" applyFill="1" applyAlignment="1" applyProtection="1">
      <alignment horizontal="center"/>
      <protection hidden="1"/>
    </xf>
    <xf numFmtId="0" fontId="5" fillId="2" borderId="20" xfId="0" applyFont="1" applyFill="1" applyBorder="1" applyProtection="1">
      <protection hidden="1"/>
    </xf>
    <xf numFmtId="0" fontId="11" fillId="2" borderId="16" xfId="0" applyFont="1" applyFill="1" applyBorder="1" applyProtection="1">
      <protection hidden="1"/>
    </xf>
    <xf numFmtId="164" fontId="5" fillId="2" borderId="15" xfId="0" applyNumberFormat="1" applyFont="1" applyFill="1" applyBorder="1" applyAlignment="1" applyProtection="1">
      <alignment horizontal="left" indent="2"/>
      <protection hidden="1"/>
    </xf>
    <xf numFmtId="0" fontId="3" fillId="2" borderId="16" xfId="4" applyFont="1" applyFill="1" applyBorder="1" applyProtection="1">
      <protection hidden="1"/>
    </xf>
    <xf numFmtId="0" fontId="3" fillId="2" borderId="15" xfId="4" applyFont="1" applyFill="1" applyBorder="1" applyProtection="1">
      <protection hidden="1"/>
    </xf>
    <xf numFmtId="0" fontId="12" fillId="2" borderId="16" xfId="3" applyFont="1" applyFill="1" applyBorder="1" applyAlignment="1" applyProtection="1">
      <alignment horizontal="right"/>
      <protection hidden="1"/>
    </xf>
    <xf numFmtId="0" fontId="11" fillId="2" borderId="4" xfId="0" applyFont="1" applyFill="1" applyBorder="1" applyAlignment="1" applyProtection="1">
      <alignment horizontal="left"/>
      <protection hidden="1"/>
    </xf>
    <xf numFmtId="0" fontId="11" fillId="2" borderId="28" xfId="0" applyFont="1" applyFill="1" applyBorder="1" applyAlignment="1" applyProtection="1">
      <alignment horizontal="center"/>
      <protection hidden="1"/>
    </xf>
    <xf numFmtId="164" fontId="3" fillId="2" borderId="27" xfId="0" applyNumberFormat="1" applyFont="1" applyFill="1" applyBorder="1" applyAlignment="1" applyProtection="1">
      <alignment horizontal="left" indent="2"/>
      <protection hidden="1"/>
    </xf>
    <xf numFmtId="0" fontId="3" fillId="2" borderId="0" xfId="4" applyFont="1" applyFill="1" applyProtection="1">
      <protection hidden="1"/>
    </xf>
    <xf numFmtId="165" fontId="3" fillId="2" borderId="0" xfId="0" applyNumberFormat="1" applyFont="1" applyFill="1" applyAlignment="1" applyProtection="1">
      <alignment horizontal="right"/>
      <protection hidden="1"/>
    </xf>
    <xf numFmtId="165" fontId="3" fillId="2" borderId="22" xfId="0" applyNumberFormat="1" applyFont="1" applyFill="1" applyBorder="1" applyAlignment="1" applyProtection="1">
      <alignment horizontal="right"/>
      <protection hidden="1"/>
    </xf>
    <xf numFmtId="6" fontId="11" fillId="2" borderId="5" xfId="3" applyNumberFormat="1" applyFont="1" applyFill="1" applyBorder="1" applyAlignment="1" applyProtection="1">
      <alignment horizontal="center"/>
      <protection hidden="1"/>
    </xf>
    <xf numFmtId="0" fontId="11" fillId="2" borderId="0" xfId="0" applyFont="1" applyFill="1" applyProtection="1">
      <protection hidden="1"/>
    </xf>
    <xf numFmtId="165" fontId="11" fillId="2" borderId="0" xfId="0" applyNumberFormat="1" applyFont="1" applyFill="1" applyAlignment="1" applyProtection="1">
      <alignment horizontal="center"/>
      <protection hidden="1"/>
    </xf>
    <xf numFmtId="164" fontId="3" fillId="2" borderId="22" xfId="0" applyNumberFormat="1" applyFont="1" applyFill="1" applyBorder="1" applyAlignment="1" applyProtection="1">
      <alignment horizontal="left" indent="2"/>
      <protection hidden="1"/>
    </xf>
    <xf numFmtId="166" fontId="11" fillId="2" borderId="0" xfId="0" applyNumberFormat="1" applyFont="1" applyFill="1" applyProtection="1">
      <protection hidden="1"/>
    </xf>
    <xf numFmtId="0" fontId="5" fillId="2" borderId="4" xfId="0" applyFont="1" applyFill="1" applyBorder="1" applyProtection="1">
      <protection hidden="1"/>
    </xf>
    <xf numFmtId="0" fontId="11" fillId="2" borderId="22" xfId="0" applyFont="1" applyFill="1" applyBorder="1" applyAlignment="1" applyProtection="1">
      <alignment horizontal="left" indent="2"/>
      <protection hidden="1"/>
    </xf>
    <xf numFmtId="0" fontId="11" fillId="2" borderId="4" xfId="0" applyFont="1" applyFill="1" applyBorder="1" applyProtection="1">
      <protection hidden="1"/>
    </xf>
    <xf numFmtId="0" fontId="11" fillId="2" borderId="5" xfId="0" applyFont="1" applyFill="1" applyBorder="1" applyProtection="1">
      <protection hidden="1"/>
    </xf>
    <xf numFmtId="164" fontId="12" fillId="2" borderId="5" xfId="0" applyNumberFormat="1" applyFont="1" applyFill="1" applyBorder="1" applyProtection="1">
      <protection hidden="1"/>
    </xf>
    <xf numFmtId="0" fontId="3" fillId="2" borderId="0" xfId="3" applyFont="1" applyFill="1" applyProtection="1">
      <protection hidden="1"/>
    </xf>
    <xf numFmtId="164" fontId="8" fillId="2" borderId="25" xfId="0" applyNumberFormat="1" applyFont="1" applyFill="1" applyBorder="1" applyAlignment="1" applyProtection="1">
      <alignment horizontal="center" vertical="center"/>
      <protection hidden="1"/>
    </xf>
    <xf numFmtId="0" fontId="11" fillId="2" borderId="23" xfId="0" applyFont="1" applyFill="1" applyBorder="1" applyProtection="1">
      <protection hidden="1"/>
    </xf>
    <xf numFmtId="0" fontId="11" fillId="2" borderId="18" xfId="0" applyFont="1" applyFill="1" applyBorder="1" applyProtection="1">
      <protection hidden="1"/>
    </xf>
    <xf numFmtId="0" fontId="11" fillId="2" borderId="25" xfId="0" applyFont="1" applyFill="1" applyBorder="1" applyProtection="1">
      <protection hidden="1"/>
    </xf>
    <xf numFmtId="0" fontId="11" fillId="2" borderId="25" xfId="0" applyFont="1" applyFill="1" applyBorder="1" applyAlignment="1" applyProtection="1">
      <alignment horizontal="left" indent="2"/>
      <protection hidden="1"/>
    </xf>
    <xf numFmtId="0" fontId="11" fillId="2" borderId="19" xfId="0" applyFont="1" applyFill="1" applyBorder="1" applyProtection="1">
      <protection hidden="1"/>
    </xf>
    <xf numFmtId="164" fontId="5" fillId="2" borderId="20" xfId="0" applyNumberFormat="1" applyFont="1" applyFill="1" applyBorder="1" applyAlignment="1" applyProtection="1">
      <alignment horizontal="left" indent="2"/>
      <protection hidden="1"/>
    </xf>
    <xf numFmtId="0" fontId="3" fillId="2" borderId="33" xfId="4" applyFont="1" applyFill="1" applyBorder="1" applyProtection="1">
      <protection hidden="1"/>
    </xf>
    <xf numFmtId="0" fontId="12" fillId="2" borderId="4" xfId="0" applyFont="1" applyFill="1" applyBorder="1" applyProtection="1">
      <protection hidden="1"/>
    </xf>
    <xf numFmtId="164" fontId="11" fillId="2" borderId="0" xfId="3" applyNumberFormat="1" applyFont="1" applyFill="1" applyAlignment="1" applyProtection="1">
      <alignment horizontal="center"/>
      <protection hidden="1"/>
    </xf>
    <xf numFmtId="0" fontId="5" fillId="2" borderId="6" xfId="3" applyFont="1" applyFill="1" applyBorder="1" applyAlignment="1" applyProtection="1">
      <alignment horizontal="left"/>
      <protection hidden="1"/>
    </xf>
    <xf numFmtId="0" fontId="5" fillId="2" borderId="7" xfId="3" applyFont="1" applyFill="1" applyBorder="1" applyAlignment="1" applyProtection="1">
      <alignment horizontal="centerContinuous"/>
      <protection hidden="1"/>
    </xf>
    <xf numFmtId="0" fontId="5" fillId="2" borderId="7" xfId="3" applyFont="1" applyFill="1" applyBorder="1" applyAlignment="1" applyProtection="1">
      <alignment horizontal="center"/>
      <protection hidden="1"/>
    </xf>
    <xf numFmtId="0" fontId="3" fillId="2" borderId="7" xfId="3" applyFont="1" applyFill="1" applyBorder="1" applyProtection="1">
      <protection hidden="1"/>
    </xf>
    <xf numFmtId="0" fontId="3" fillId="2" borderId="8" xfId="3" applyFont="1" applyFill="1" applyBorder="1" applyProtection="1">
      <protection hidden="1"/>
    </xf>
    <xf numFmtId="0" fontId="5" fillId="2" borderId="18" xfId="0" applyFont="1" applyFill="1" applyBorder="1" applyProtection="1">
      <protection hidden="1"/>
    </xf>
    <xf numFmtId="164" fontId="5" fillId="2" borderId="18" xfId="0" applyNumberFormat="1" applyFont="1" applyFill="1" applyBorder="1" applyAlignment="1" applyProtection="1">
      <alignment horizontal="center" shrinkToFit="1"/>
      <protection hidden="1"/>
    </xf>
    <xf numFmtId="164" fontId="5" fillId="2" borderId="19" xfId="0" applyNumberFormat="1" applyFont="1" applyFill="1" applyBorder="1" applyAlignment="1" applyProtection="1">
      <alignment horizontal="center" shrinkToFit="1"/>
      <protection hidden="1"/>
    </xf>
    <xf numFmtId="164" fontId="9" fillId="2" borderId="0" xfId="0" applyNumberFormat="1" applyFont="1" applyFill="1" applyAlignment="1" applyProtection="1">
      <alignment horizontal="center" shrinkToFit="1"/>
      <protection hidden="1"/>
    </xf>
    <xf numFmtId="164" fontId="9" fillId="2" borderId="5" xfId="0" applyNumberFormat="1" applyFont="1" applyFill="1" applyBorder="1" applyAlignment="1" applyProtection="1">
      <alignment horizontal="center" shrinkToFit="1"/>
      <protection hidden="1"/>
    </xf>
    <xf numFmtId="164" fontId="3" fillId="2" borderId="0" xfId="0" applyNumberFormat="1" applyFont="1" applyFill="1" applyAlignment="1" applyProtection="1">
      <alignment horizontal="left"/>
      <protection hidden="1"/>
    </xf>
    <xf numFmtId="165" fontId="3" fillId="2" borderId="5" xfId="0" applyNumberFormat="1" applyFont="1" applyFill="1" applyBorder="1" applyAlignment="1" applyProtection="1">
      <alignment horizontal="right"/>
      <protection hidden="1"/>
    </xf>
    <xf numFmtId="164" fontId="5" fillId="2" borderId="28" xfId="0" applyNumberFormat="1" applyFont="1" applyFill="1" applyBorder="1" applyAlignment="1" applyProtection="1">
      <alignment horizontal="left" shrinkToFit="1"/>
      <protection hidden="1"/>
    </xf>
    <xf numFmtId="164" fontId="5" fillId="2" borderId="31" xfId="0" applyNumberFormat="1" applyFont="1" applyFill="1" applyBorder="1" applyAlignment="1" applyProtection="1">
      <alignment horizontal="center" shrinkToFit="1"/>
      <protection hidden="1"/>
    </xf>
    <xf numFmtId="164" fontId="5" fillId="2" borderId="28" xfId="0" applyNumberFormat="1" applyFont="1" applyFill="1" applyBorder="1" applyAlignment="1" applyProtection="1">
      <alignment horizontal="right" shrinkToFit="1"/>
      <protection hidden="1"/>
    </xf>
    <xf numFmtId="165" fontId="3" fillId="2" borderId="0" xfId="0" applyNumberFormat="1" applyFont="1" applyFill="1" applyAlignment="1" applyProtection="1">
      <alignment horizontal="left" indent="1"/>
      <protection hidden="1"/>
    </xf>
    <xf numFmtId="164" fontId="8" fillId="2" borderId="4" xfId="0" applyNumberFormat="1" applyFont="1" applyFill="1" applyBorder="1" applyAlignment="1" applyProtection="1">
      <alignment horizontal="center"/>
      <protection hidden="1"/>
    </xf>
    <xf numFmtId="164" fontId="6" fillId="2" borderId="0" xfId="0" applyNumberFormat="1" applyFont="1" applyFill="1" applyAlignment="1" applyProtection="1">
      <alignment horizontal="center"/>
      <protection hidden="1"/>
    </xf>
    <xf numFmtId="0" fontId="5" fillId="2" borderId="0" xfId="0" applyFont="1" applyFill="1" applyProtection="1">
      <protection hidden="1"/>
    </xf>
    <xf numFmtId="164" fontId="5" fillId="2" borderId="0" xfId="0" applyNumberFormat="1" applyFont="1" applyFill="1" applyAlignment="1" applyProtection="1">
      <alignment horizontal="center" shrinkToFit="1"/>
      <protection hidden="1"/>
    </xf>
    <xf numFmtId="164" fontId="5" fillId="2" borderId="5" xfId="0" applyNumberFormat="1" applyFont="1" applyFill="1" applyBorder="1" applyAlignment="1" applyProtection="1">
      <alignment horizontal="center" shrinkToFit="1"/>
      <protection hidden="1"/>
    </xf>
    <xf numFmtId="164" fontId="8" fillId="2" borderId="26" xfId="0" applyNumberFormat="1" applyFont="1" applyFill="1" applyBorder="1" applyAlignment="1" applyProtection="1">
      <alignment horizontal="center" vertical="center"/>
      <protection hidden="1"/>
    </xf>
    <xf numFmtId="164" fontId="6" fillId="2" borderId="7" xfId="0" applyNumberFormat="1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left"/>
      <protection hidden="1"/>
    </xf>
    <xf numFmtId="164" fontId="3" fillId="2" borderId="18" xfId="0" applyNumberFormat="1" applyFont="1" applyFill="1" applyBorder="1" applyAlignment="1" applyProtection="1">
      <alignment horizontal="left"/>
      <protection hidden="1"/>
    </xf>
    <xf numFmtId="0" fontId="3" fillId="2" borderId="18" xfId="0" applyFont="1" applyFill="1" applyBorder="1" applyAlignment="1" applyProtection="1">
      <alignment horizontal="left"/>
      <protection hidden="1"/>
    </xf>
    <xf numFmtId="165" fontId="3" fillId="2" borderId="19" xfId="0" applyNumberFormat="1" applyFont="1" applyFill="1" applyBorder="1" applyAlignment="1" applyProtection="1">
      <alignment horizontal="right"/>
      <protection hidden="1"/>
    </xf>
    <xf numFmtId="164" fontId="3" fillId="2" borderId="30" xfId="0" applyNumberFormat="1" applyFont="1" applyFill="1" applyBorder="1" applyAlignment="1" applyProtection="1">
      <alignment horizontal="left" indent="2"/>
      <protection hidden="1"/>
    </xf>
    <xf numFmtId="165" fontId="5" fillId="2" borderId="0" xfId="0" applyNumberFormat="1" applyFont="1" applyFill="1" applyAlignment="1" applyProtection="1">
      <alignment horizontal="right"/>
      <protection hidden="1"/>
    </xf>
    <xf numFmtId="164" fontId="3" fillId="2" borderId="0" xfId="0" applyNumberFormat="1" applyFont="1" applyFill="1" applyAlignment="1" applyProtection="1">
      <alignment horizontal="left" vertical="top" wrapText="1"/>
      <protection hidden="1"/>
    </xf>
    <xf numFmtId="2" fontId="5" fillId="2" borderId="5" xfId="4" applyNumberFormat="1" applyFont="1" applyFill="1" applyBorder="1" applyAlignment="1" applyProtection="1">
      <alignment horizontal="right"/>
      <protection hidden="1"/>
    </xf>
    <xf numFmtId="164" fontId="3" fillId="2" borderId="4" xfId="0" applyNumberFormat="1" applyFont="1" applyFill="1" applyBorder="1" applyAlignment="1" applyProtection="1">
      <alignment horizontal="left" indent="2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3" fillId="2" borderId="5" xfId="4" applyFont="1" applyFill="1" applyBorder="1" applyProtection="1">
      <protection hidden="1"/>
    </xf>
    <xf numFmtId="164" fontId="3" fillId="2" borderId="0" xfId="0" applyNumberFormat="1" applyFont="1" applyFill="1" applyAlignment="1" applyProtection="1">
      <alignment horizontal="left" vertical="top"/>
      <protection hidden="1"/>
    </xf>
    <xf numFmtId="165" fontId="3" fillId="2" borderId="0" xfId="4" applyNumberFormat="1" applyFont="1" applyFill="1" applyProtection="1">
      <protection hidden="1"/>
    </xf>
    <xf numFmtId="0" fontId="3" fillId="2" borderId="8" xfId="0" applyFont="1" applyFill="1" applyBorder="1" applyProtection="1">
      <protection hidden="1"/>
    </xf>
    <xf numFmtId="164" fontId="5" fillId="2" borderId="4" xfId="0" applyNumberFormat="1" applyFont="1" applyFill="1" applyBorder="1" applyAlignment="1" applyProtection="1">
      <alignment horizontal="center" vertical="center"/>
      <protection hidden="1"/>
    </xf>
    <xf numFmtId="164" fontId="3" fillId="2" borderId="21" xfId="0" applyNumberFormat="1" applyFont="1" applyFill="1" applyBorder="1" applyAlignment="1" applyProtection="1">
      <alignment horizontal="center" vertical="center"/>
      <protection hidden="1"/>
    </xf>
    <xf numFmtId="164" fontId="5" fillId="2" borderId="22" xfId="0" applyNumberFormat="1" applyFont="1" applyFill="1" applyBorder="1" applyAlignment="1" applyProtection="1">
      <alignment horizontal="center" vertical="center"/>
      <protection hidden="1"/>
    </xf>
    <xf numFmtId="164" fontId="3" fillId="2" borderId="18" xfId="0" applyNumberFormat="1" applyFont="1" applyFill="1" applyBorder="1" applyAlignment="1" applyProtection="1">
      <alignment horizontal="center" vertical="center"/>
      <protection hidden="1"/>
    </xf>
    <xf numFmtId="164" fontId="3" fillId="2" borderId="24" xfId="0" applyNumberFormat="1" applyFont="1" applyFill="1" applyBorder="1" applyAlignment="1" applyProtection="1">
      <alignment horizontal="center" vertical="center"/>
      <protection hidden="1"/>
    </xf>
    <xf numFmtId="0" fontId="8" fillId="2" borderId="22" xfId="0" applyFont="1" applyFill="1" applyBorder="1" applyProtection="1">
      <protection hidden="1"/>
    </xf>
    <xf numFmtId="164" fontId="3" fillId="2" borderId="0" xfId="0" applyNumberFormat="1" applyFont="1" applyFill="1" applyAlignment="1" applyProtection="1">
      <alignment horizontal="center" shrinkToFit="1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11" fillId="2" borderId="21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165" fontId="5" fillId="2" borderId="4" xfId="0" applyNumberFormat="1" applyFont="1" applyFill="1" applyBorder="1" applyAlignment="1" applyProtection="1">
      <alignment horizontal="center" vertical="center"/>
      <protection hidden="1"/>
    </xf>
    <xf numFmtId="49" fontId="11" fillId="2" borderId="4" xfId="0" applyNumberFormat="1" applyFont="1" applyFill="1" applyBorder="1" applyAlignment="1" applyProtection="1">
      <alignment horizontal="center" vertical="center"/>
      <protection hidden="1"/>
    </xf>
    <xf numFmtId="164" fontId="3" fillId="2" borderId="4" xfId="0" applyNumberFormat="1" applyFont="1" applyFill="1" applyBorder="1" applyAlignment="1" applyProtection="1">
      <alignment horizontal="left" vertical="center"/>
      <protection hidden="1"/>
    </xf>
    <xf numFmtId="2" fontId="3" fillId="2" borderId="4" xfId="0" applyNumberFormat="1" applyFont="1" applyFill="1" applyBorder="1" applyAlignment="1" applyProtection="1">
      <alignment horizontal="left" vertical="center"/>
      <protection hidden="1"/>
    </xf>
    <xf numFmtId="0" fontId="5" fillId="2" borderId="2" xfId="0" applyFont="1" applyFill="1" applyBorder="1" applyProtection="1">
      <protection hidden="1"/>
    </xf>
    <xf numFmtId="164" fontId="11" fillId="2" borderId="28" xfId="0" applyNumberFormat="1" applyFont="1" applyFill="1" applyBorder="1" applyAlignment="1" applyProtection="1">
      <alignment horizontal="center" vertical="center"/>
      <protection hidden="1"/>
    </xf>
    <xf numFmtId="0" fontId="12" fillId="2" borderId="38" xfId="0" applyFont="1" applyFill="1" applyBorder="1" applyAlignment="1">
      <alignment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left" vertical="center" wrapText="1"/>
    </xf>
    <xf numFmtId="0" fontId="12" fillId="2" borderId="39" xfId="0" applyFont="1" applyFill="1" applyBorder="1" applyAlignment="1">
      <alignment horizontal="center" vertical="center" wrapText="1"/>
    </xf>
    <xf numFmtId="169" fontId="11" fillId="2" borderId="38" xfId="0" applyNumberFormat="1" applyFont="1" applyFill="1" applyBorder="1" applyAlignment="1">
      <alignment horizontal="center" vertical="center" shrinkToFit="1"/>
    </xf>
    <xf numFmtId="1" fontId="11" fillId="2" borderId="38" xfId="0" applyNumberFormat="1" applyFont="1" applyFill="1" applyBorder="1" applyAlignment="1">
      <alignment horizontal="center" vertical="center" shrinkToFit="1"/>
    </xf>
    <xf numFmtId="9" fontId="11" fillId="2" borderId="38" xfId="0" applyNumberFormat="1" applyFont="1" applyFill="1" applyBorder="1" applyAlignment="1">
      <alignment horizontal="center" vertical="center" shrinkToFit="1"/>
    </xf>
    <xf numFmtId="1" fontId="11" fillId="2" borderId="39" xfId="0" applyNumberFormat="1" applyFont="1" applyFill="1" applyBorder="1" applyAlignment="1">
      <alignment horizontal="center" vertical="center" shrinkToFit="1"/>
    </xf>
    <xf numFmtId="169" fontId="11" fillId="2" borderId="38" xfId="0" applyNumberFormat="1" applyFont="1" applyFill="1" applyBorder="1" applyAlignment="1">
      <alignment vertical="center" shrinkToFit="1"/>
    </xf>
    <xf numFmtId="0" fontId="12" fillId="2" borderId="38" xfId="0" applyFont="1" applyFill="1" applyBorder="1" applyAlignment="1">
      <alignment horizontal="left" vertical="top" wrapText="1" indent="1"/>
    </xf>
    <xf numFmtId="0" fontId="12" fillId="2" borderId="39" xfId="0" applyFont="1" applyFill="1" applyBorder="1" applyAlignment="1">
      <alignment horizontal="center" vertical="top" wrapText="1"/>
    </xf>
    <xf numFmtId="164" fontId="11" fillId="2" borderId="0" xfId="0" applyNumberFormat="1" applyFont="1" applyFill="1" applyAlignment="1" applyProtection="1">
      <alignment horizontal="center" vertical="center"/>
      <protection hidden="1"/>
    </xf>
    <xf numFmtId="164" fontId="11" fillId="2" borderId="18" xfId="0" applyNumberFormat="1" applyFont="1" applyFill="1" applyBorder="1" applyAlignment="1" applyProtection="1">
      <alignment horizontal="center" vertical="center"/>
      <protection hidden="1"/>
    </xf>
    <xf numFmtId="164" fontId="12" fillId="2" borderId="25" xfId="0" applyNumberFormat="1" applyFont="1" applyFill="1" applyBorder="1" applyAlignment="1" applyProtection="1">
      <alignment horizontal="center" vertical="center"/>
      <protection hidden="1"/>
    </xf>
    <xf numFmtId="164" fontId="11" fillId="2" borderId="19" xfId="0" applyNumberFormat="1" applyFont="1" applyFill="1" applyBorder="1" applyAlignment="1" applyProtection="1">
      <alignment horizontal="center" vertical="center"/>
      <protection hidden="1"/>
    </xf>
    <xf numFmtId="0" fontId="12" fillId="2" borderId="37" xfId="0" applyFont="1" applyFill="1" applyBorder="1" applyAlignment="1">
      <alignment vertical="top" wrapText="1"/>
    </xf>
    <xf numFmtId="165" fontId="11" fillId="2" borderId="38" xfId="0" applyNumberFormat="1" applyFont="1" applyFill="1" applyBorder="1" applyAlignment="1">
      <alignment horizontal="center" vertical="center" wrapText="1"/>
    </xf>
    <xf numFmtId="165" fontId="11" fillId="2" borderId="38" xfId="0" applyNumberFormat="1" applyFont="1" applyFill="1" applyBorder="1" applyAlignment="1">
      <alignment vertical="center" wrapText="1"/>
    </xf>
    <xf numFmtId="165" fontId="11" fillId="2" borderId="39" xfId="0" applyNumberFormat="1" applyFont="1" applyFill="1" applyBorder="1" applyAlignment="1">
      <alignment horizontal="center" vertical="center" wrapText="1"/>
    </xf>
    <xf numFmtId="165" fontId="11" fillId="2" borderId="15" xfId="0" applyNumberFormat="1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 applyProtection="1">
      <alignment horizontal="center" vertical="center"/>
      <protection hidden="1"/>
    </xf>
    <xf numFmtId="164" fontId="11" fillId="2" borderId="28" xfId="0" applyNumberFormat="1" applyFont="1" applyFill="1" applyBorder="1" applyAlignment="1" applyProtection="1">
      <alignment horizontal="left"/>
      <protection hidden="1"/>
    </xf>
    <xf numFmtId="164" fontId="12" fillId="2" borderId="4" xfId="0" applyNumberFormat="1" applyFont="1" applyFill="1" applyBorder="1" applyAlignment="1" applyProtection="1">
      <alignment horizontal="left" vertical="center"/>
      <protection hidden="1"/>
    </xf>
    <xf numFmtId="165" fontId="11" fillId="2" borderId="0" xfId="0" applyNumberFormat="1" applyFont="1" applyFill="1" applyAlignment="1" applyProtection="1">
      <alignment horizontal="center" vertical="center"/>
      <protection hidden="1"/>
    </xf>
    <xf numFmtId="164" fontId="12" fillId="2" borderId="0" xfId="0" applyNumberFormat="1" applyFont="1" applyFill="1" applyAlignment="1" applyProtection="1">
      <alignment horizontal="left" vertical="center"/>
      <protection hidden="1"/>
    </xf>
    <xf numFmtId="164" fontId="12" fillId="2" borderId="0" xfId="0" applyNumberFormat="1" applyFont="1" applyFill="1" applyAlignment="1" applyProtection="1">
      <alignment horizontal="center" shrinkToFit="1"/>
      <protection hidden="1"/>
    </xf>
    <xf numFmtId="164" fontId="12" fillId="2" borderId="5" xfId="0" applyNumberFormat="1" applyFont="1" applyFill="1" applyBorder="1" applyAlignment="1" applyProtection="1">
      <alignment horizontal="center" shrinkToFit="1"/>
      <protection hidden="1"/>
    </xf>
    <xf numFmtId="164" fontId="12" fillId="2" borderId="0" xfId="0" applyNumberFormat="1" applyFont="1" applyFill="1" applyAlignment="1" applyProtection="1">
      <alignment horizontal="left" shrinkToFit="1"/>
      <protection hidden="1"/>
    </xf>
    <xf numFmtId="164" fontId="12" fillId="2" borderId="0" xfId="0" applyNumberFormat="1" applyFont="1" applyFill="1" applyAlignment="1" applyProtection="1">
      <alignment horizontal="right" shrinkToFit="1"/>
      <protection hidden="1"/>
    </xf>
    <xf numFmtId="164" fontId="12" fillId="2" borderId="6" xfId="0" applyNumberFormat="1" applyFont="1" applyFill="1" applyBorder="1" applyAlignment="1" applyProtection="1">
      <alignment horizontal="left" vertical="center"/>
      <protection hidden="1"/>
    </xf>
    <xf numFmtId="164" fontId="11" fillId="2" borderId="7" xfId="0" applyNumberFormat="1" applyFont="1" applyFill="1" applyBorder="1" applyAlignment="1" applyProtection="1">
      <alignment horizontal="center" vertical="center"/>
      <protection hidden="1"/>
    </xf>
    <xf numFmtId="165" fontId="11" fillId="2" borderId="7" xfId="0" applyNumberFormat="1" applyFont="1" applyFill="1" applyBorder="1" applyAlignment="1" applyProtection="1">
      <alignment horizontal="center" vertical="center"/>
      <protection hidden="1"/>
    </xf>
    <xf numFmtId="164" fontId="12" fillId="2" borderId="7" xfId="0" applyNumberFormat="1" applyFont="1" applyFill="1" applyBorder="1" applyAlignment="1" applyProtection="1">
      <alignment horizontal="left" vertical="center"/>
      <protection hidden="1"/>
    </xf>
    <xf numFmtId="0" fontId="11" fillId="2" borderId="16" xfId="4" applyFont="1" applyFill="1" applyBorder="1" applyProtection="1">
      <protection hidden="1"/>
    </xf>
    <xf numFmtId="0" fontId="11" fillId="2" borderId="33" xfId="4" applyFont="1" applyFill="1" applyBorder="1" applyProtection="1">
      <protection hidden="1"/>
    </xf>
    <xf numFmtId="0" fontId="11" fillId="2" borderId="0" xfId="4" applyFont="1" applyFill="1" applyProtection="1">
      <protection hidden="1"/>
    </xf>
    <xf numFmtId="0" fontId="12" fillId="2" borderId="0" xfId="0" applyFont="1" applyFill="1" applyAlignment="1" applyProtection="1">
      <alignment horizontal="center"/>
      <protection hidden="1"/>
    </xf>
    <xf numFmtId="165" fontId="12" fillId="2" borderId="0" xfId="0" applyNumberFormat="1" applyFont="1" applyFill="1" applyAlignment="1" applyProtection="1">
      <alignment horizontal="right"/>
      <protection hidden="1"/>
    </xf>
    <xf numFmtId="164" fontId="11" fillId="2" borderId="0" xfId="0" applyNumberFormat="1" applyFont="1" applyFill="1" applyAlignment="1" applyProtection="1">
      <alignment horizontal="left" vertical="top" wrapText="1"/>
      <protection hidden="1"/>
    </xf>
    <xf numFmtId="2" fontId="12" fillId="2" borderId="5" xfId="4" applyNumberFormat="1" applyFont="1" applyFill="1" applyBorder="1" applyAlignment="1" applyProtection="1">
      <alignment horizontal="right"/>
      <protection hidden="1"/>
    </xf>
    <xf numFmtId="164" fontId="11" fillId="2" borderId="0" xfId="0" applyNumberFormat="1" applyFont="1" applyFill="1" applyAlignment="1" applyProtection="1">
      <alignment horizontal="center"/>
      <protection hidden="1"/>
    </xf>
    <xf numFmtId="164" fontId="11" fillId="2" borderId="0" xfId="0" applyNumberFormat="1" applyFont="1" applyFill="1" applyAlignment="1" applyProtection="1">
      <alignment horizontal="left"/>
      <protection hidden="1"/>
    </xf>
    <xf numFmtId="165" fontId="11" fillId="2" borderId="5" xfId="0" applyNumberFormat="1" applyFont="1" applyFill="1" applyBorder="1" applyAlignment="1" applyProtection="1">
      <alignment horizontal="right"/>
      <protection hidden="1"/>
    </xf>
    <xf numFmtId="0" fontId="11" fillId="2" borderId="0" xfId="4" applyFont="1" applyFill="1" applyAlignment="1" applyProtection="1">
      <alignment horizontal="right"/>
      <protection hidden="1"/>
    </xf>
    <xf numFmtId="6" fontId="11" fillId="2" borderId="0" xfId="4" applyNumberFormat="1" applyFont="1" applyFill="1" applyProtection="1">
      <protection hidden="1"/>
    </xf>
    <xf numFmtId="0" fontId="11" fillId="2" borderId="5" xfId="4" applyFont="1" applyFill="1" applyBorder="1" applyProtection="1">
      <protection hidden="1"/>
    </xf>
    <xf numFmtId="164" fontId="11" fillId="2" borderId="0" xfId="0" applyNumberFormat="1" applyFont="1" applyFill="1" applyAlignment="1" applyProtection="1">
      <alignment horizontal="left" vertical="top"/>
      <protection hidden="1"/>
    </xf>
    <xf numFmtId="0" fontId="11" fillId="2" borderId="6" xfId="0" applyFont="1" applyFill="1" applyBorder="1" applyProtection="1">
      <protection hidden="1"/>
    </xf>
    <xf numFmtId="0" fontId="11" fillId="2" borderId="7" xfId="0" applyFont="1" applyFill="1" applyBorder="1" applyProtection="1">
      <protection hidden="1"/>
    </xf>
    <xf numFmtId="0" fontId="11" fillId="2" borderId="8" xfId="0" applyFont="1" applyFill="1" applyBorder="1" applyProtection="1">
      <protection hidden="1"/>
    </xf>
    <xf numFmtId="0" fontId="25" fillId="2" borderId="0" xfId="0" applyFont="1" applyFill="1" applyAlignment="1" applyProtection="1">
      <alignment horizontal="center" vertical="top"/>
      <protection hidden="1"/>
    </xf>
    <xf numFmtId="0" fontId="25" fillId="2" borderId="0" xfId="0" applyFont="1" applyFill="1" applyAlignment="1" applyProtection="1">
      <alignment horizontal="center"/>
      <protection hidden="1"/>
    </xf>
    <xf numFmtId="0" fontId="11" fillId="2" borderId="0" xfId="0" applyFont="1" applyFill="1" applyAlignment="1" applyProtection="1">
      <alignment horizontal="right"/>
      <protection hidden="1"/>
    </xf>
    <xf numFmtId="6" fontId="11" fillId="2" borderId="0" xfId="0" applyNumberFormat="1" applyFont="1" applyFill="1" applyProtection="1">
      <protection hidden="1"/>
    </xf>
    <xf numFmtId="165" fontId="13" fillId="2" borderId="0" xfId="0" applyNumberFormat="1" applyFont="1" applyFill="1" applyAlignment="1" applyProtection="1">
      <alignment horizontal="right" vertical="center"/>
      <protection hidden="1"/>
    </xf>
    <xf numFmtId="0" fontId="11" fillId="2" borderId="0" xfId="3" applyFont="1" applyFill="1" applyAlignment="1" applyProtection="1">
      <alignment horizontal="right"/>
      <protection hidden="1"/>
    </xf>
    <xf numFmtId="2" fontId="3" fillId="2" borderId="0" xfId="0" applyNumberFormat="1" applyFont="1" applyFill="1" applyAlignment="1" applyProtection="1">
      <alignment horizontal="left" vertical="center" indent="1"/>
      <protection hidden="1"/>
    </xf>
    <xf numFmtId="166" fontId="11" fillId="2" borderId="38" xfId="0" applyNumberFormat="1" applyFont="1" applyFill="1" applyBorder="1" applyAlignment="1">
      <alignment horizontal="center" vertical="center" wrapText="1"/>
    </xf>
    <xf numFmtId="174" fontId="11" fillId="2" borderId="38" xfId="0" applyNumberFormat="1" applyFont="1" applyFill="1" applyBorder="1" applyAlignment="1">
      <alignment horizontal="center" vertical="center" wrapText="1"/>
    </xf>
    <xf numFmtId="173" fontId="11" fillId="2" borderId="50" xfId="1" applyNumberFormat="1" applyFont="1" applyFill="1" applyBorder="1" applyAlignment="1">
      <alignment vertical="center" wrapText="1"/>
    </xf>
    <xf numFmtId="166" fontId="11" fillId="2" borderId="50" xfId="0" applyNumberFormat="1" applyFont="1" applyFill="1" applyBorder="1" applyAlignment="1">
      <alignment horizontal="center" vertical="center" wrapText="1"/>
    </xf>
    <xf numFmtId="174" fontId="11" fillId="2" borderId="50" xfId="0" applyNumberFormat="1" applyFont="1" applyFill="1" applyBorder="1" applyAlignment="1">
      <alignment horizontal="center" vertical="center" wrapText="1"/>
    </xf>
    <xf numFmtId="165" fontId="11" fillId="2" borderId="50" xfId="0" applyNumberFormat="1" applyFont="1" applyFill="1" applyBorder="1" applyAlignment="1">
      <alignment horizontal="center" vertical="center" wrapText="1"/>
    </xf>
    <xf numFmtId="165" fontId="11" fillId="2" borderId="51" xfId="0" applyNumberFormat="1" applyFont="1" applyFill="1" applyBorder="1" applyAlignment="1">
      <alignment horizontal="center" vertical="center" wrapText="1"/>
    </xf>
    <xf numFmtId="165" fontId="5" fillId="2" borderId="33" xfId="0" applyNumberFormat="1" applyFont="1" applyFill="1" applyBorder="1" applyAlignment="1" applyProtection="1">
      <alignment horizontal="right" vertical="center"/>
      <protection hidden="1"/>
    </xf>
    <xf numFmtId="165" fontId="3" fillId="2" borderId="0" xfId="9" applyNumberFormat="1" applyFont="1" applyFill="1" applyBorder="1" applyAlignment="1" applyProtection="1">
      <alignment horizontal="left" vertical="center"/>
      <protection hidden="1"/>
    </xf>
    <xf numFmtId="0" fontId="3" fillId="3" borderId="9" xfId="0" applyFont="1" applyFill="1" applyBorder="1" applyAlignment="1" applyProtection="1">
      <alignment horizontal="left" vertical="center"/>
      <protection hidden="1"/>
    </xf>
    <xf numFmtId="0" fontId="4" fillId="3" borderId="10" xfId="0" applyFont="1" applyFill="1" applyBorder="1" applyAlignment="1" applyProtection="1">
      <alignment vertical="center"/>
      <protection hidden="1"/>
    </xf>
    <xf numFmtId="0" fontId="15" fillId="3" borderId="10" xfId="0" applyFont="1" applyFill="1" applyBorder="1" applyAlignment="1" applyProtection="1">
      <alignment horizontal="center" vertical="center"/>
      <protection hidden="1"/>
    </xf>
    <xf numFmtId="0" fontId="19" fillId="3" borderId="10" xfId="0" applyFont="1" applyFill="1" applyBorder="1" applyAlignment="1" applyProtection="1">
      <alignment horizontal="center" vertical="center"/>
      <protection hidden="1"/>
    </xf>
    <xf numFmtId="0" fontId="15" fillId="3" borderId="10" xfId="0" applyFont="1" applyFill="1" applyBorder="1" applyAlignment="1" applyProtection="1">
      <alignment horizontal="center"/>
      <protection hidden="1"/>
    </xf>
    <xf numFmtId="0" fontId="4" fillId="3" borderId="10" xfId="0" applyFont="1" applyFill="1" applyBorder="1" applyProtection="1">
      <protection hidden="1"/>
    </xf>
    <xf numFmtId="0" fontId="4" fillId="3" borderId="11" xfId="0" applyFont="1" applyFill="1" applyBorder="1" applyProtection="1">
      <protection hidden="1"/>
    </xf>
    <xf numFmtId="0" fontId="5" fillId="2" borderId="4" xfId="3" applyFont="1" applyFill="1" applyBorder="1" applyAlignment="1" applyProtection="1">
      <alignment horizontal="left"/>
      <protection hidden="1"/>
    </xf>
    <xf numFmtId="0" fontId="5" fillId="2" borderId="0" xfId="3" applyFont="1" applyFill="1" applyAlignment="1" applyProtection="1">
      <alignment horizontal="centerContinuous"/>
      <protection hidden="1"/>
    </xf>
    <xf numFmtId="0" fontId="5" fillId="2" borderId="0" xfId="3" applyFont="1" applyFill="1" applyAlignment="1" applyProtection="1">
      <alignment horizontal="center"/>
      <protection hidden="1"/>
    </xf>
    <xf numFmtId="0" fontId="3" fillId="2" borderId="5" xfId="3" applyFont="1" applyFill="1" applyBorder="1" applyProtection="1">
      <protection hidden="1"/>
    </xf>
    <xf numFmtId="0" fontId="5" fillId="0" borderId="6" xfId="0" applyFont="1" applyBorder="1"/>
    <xf numFmtId="0" fontId="5" fillId="0" borderId="9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0" borderId="9" xfId="10" applyFont="1" applyBorder="1" applyAlignment="1">
      <alignment horizontal="center"/>
    </xf>
    <xf numFmtId="0" fontId="5" fillId="0" borderId="53" xfId="10" applyFont="1" applyBorder="1" applyAlignment="1">
      <alignment horizontal="center"/>
    </xf>
    <xf numFmtId="0" fontId="5" fillId="0" borderId="8" xfId="10" applyFont="1" applyBorder="1" applyAlignment="1">
      <alignment horizontal="center"/>
    </xf>
    <xf numFmtId="164" fontId="5" fillId="0" borderId="53" xfId="10" applyNumberFormat="1" applyFont="1" applyBorder="1" applyAlignment="1">
      <alignment horizontal="center"/>
    </xf>
    <xf numFmtId="164" fontId="11" fillId="0" borderId="36" xfId="11" applyNumberFormat="1" applyFont="1" applyFill="1" applyBorder="1" applyAlignment="1">
      <alignment horizontal="center"/>
    </xf>
    <xf numFmtId="164" fontId="11" fillId="0" borderId="21" xfId="11" applyNumberFormat="1" applyFont="1" applyFill="1" applyBorder="1" applyAlignment="1">
      <alignment horizontal="center"/>
    </xf>
    <xf numFmtId="164" fontId="11" fillId="0" borderId="17" xfId="11" applyNumberFormat="1" applyFont="1" applyFill="1" applyBorder="1" applyAlignment="1">
      <alignment horizontal="center"/>
    </xf>
    <xf numFmtId="164" fontId="11" fillId="0" borderId="38" xfId="11" applyNumberFormat="1" applyFont="1" applyFill="1" applyBorder="1" applyAlignment="1">
      <alignment horizontal="center"/>
    </xf>
    <xf numFmtId="164" fontId="11" fillId="0" borderId="24" xfId="11" applyNumberFormat="1" applyFont="1" applyFill="1" applyBorder="1" applyAlignment="1">
      <alignment horizontal="center"/>
    </xf>
    <xf numFmtId="164" fontId="11" fillId="0" borderId="35" xfId="11" applyNumberFormat="1" applyFont="1" applyFill="1" applyBorder="1" applyAlignment="1">
      <alignment horizontal="center"/>
    </xf>
    <xf numFmtId="164" fontId="11" fillId="0" borderId="19" xfId="11" applyNumberFormat="1" applyFont="1" applyFill="1" applyBorder="1" applyAlignment="1">
      <alignment horizontal="center"/>
    </xf>
    <xf numFmtId="164" fontId="11" fillId="0" borderId="42" xfId="11" applyNumberFormat="1" applyFont="1" applyFill="1" applyBorder="1" applyAlignment="1">
      <alignment horizontal="center"/>
    </xf>
    <xf numFmtId="164" fontId="11" fillId="0" borderId="5" xfId="11" applyNumberFormat="1" applyFont="1" applyFill="1" applyBorder="1" applyAlignment="1">
      <alignment horizontal="center"/>
    </xf>
    <xf numFmtId="164" fontId="11" fillId="0" borderId="32" xfId="11" applyNumberFormat="1" applyFont="1" applyFill="1" applyBorder="1" applyAlignment="1">
      <alignment horizontal="center"/>
    </xf>
    <xf numFmtId="164" fontId="11" fillId="0" borderId="55" xfId="11" applyNumberFormat="1" applyFont="1" applyFill="1" applyBorder="1" applyAlignment="1">
      <alignment horizontal="center"/>
    </xf>
    <xf numFmtId="164" fontId="11" fillId="0" borderId="50" xfId="11" applyNumberFormat="1" applyFont="1" applyFill="1" applyBorder="1" applyAlignment="1">
      <alignment horizontal="center"/>
    </xf>
    <xf numFmtId="164" fontId="11" fillId="0" borderId="54" xfId="11" applyNumberFormat="1" applyFont="1" applyFill="1" applyBorder="1" applyAlignment="1">
      <alignment horizontal="center"/>
    </xf>
    <xf numFmtId="164" fontId="11" fillId="0" borderId="56" xfId="11" applyNumberFormat="1" applyFont="1" applyFill="1" applyBorder="1" applyAlignment="1">
      <alignment horizontal="center"/>
    </xf>
    <xf numFmtId="164" fontId="11" fillId="0" borderId="43" xfId="11" applyNumberFormat="1" applyFont="1" applyFill="1" applyBorder="1" applyAlignment="1">
      <alignment horizontal="center"/>
    </xf>
    <xf numFmtId="164" fontId="11" fillId="0" borderId="46" xfId="11" applyNumberFormat="1" applyFont="1" applyFill="1" applyBorder="1" applyAlignment="1">
      <alignment horizontal="center"/>
    </xf>
    <xf numFmtId="164" fontId="11" fillId="0" borderId="57" xfId="11" applyNumberFormat="1" applyFont="1" applyFill="1" applyBorder="1" applyAlignment="1">
      <alignment horizontal="center"/>
    </xf>
    <xf numFmtId="164" fontId="11" fillId="0" borderId="49" xfId="11" applyNumberFormat="1" applyFont="1" applyFill="1" applyBorder="1" applyAlignment="1">
      <alignment horizontal="center"/>
    </xf>
    <xf numFmtId="164" fontId="11" fillId="0" borderId="51" xfId="11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164" fontId="11" fillId="0" borderId="14" xfId="11" applyNumberFormat="1" applyFont="1" applyFill="1" applyBorder="1" applyAlignment="1">
      <alignment horizontal="center"/>
    </xf>
    <xf numFmtId="164" fontId="11" fillId="0" borderId="58" xfId="11" applyNumberFormat="1" applyFont="1" applyFill="1" applyBorder="1" applyAlignment="1">
      <alignment horizontal="center"/>
    </xf>
    <xf numFmtId="164" fontId="11" fillId="0" borderId="39" xfId="11" applyNumberFormat="1" applyFont="1" applyFill="1" applyBorder="1" applyAlignment="1">
      <alignment horizontal="center"/>
    </xf>
    <xf numFmtId="164" fontId="11" fillId="0" borderId="59" xfId="11" applyNumberFormat="1" applyFont="1" applyFill="1" applyBorder="1" applyAlignment="1">
      <alignment horizontal="center"/>
    </xf>
    <xf numFmtId="0" fontId="5" fillId="4" borderId="8" xfId="0" applyFont="1" applyFill="1" applyBorder="1"/>
    <xf numFmtId="164" fontId="3" fillId="0" borderId="45" xfId="11" applyNumberFormat="1" applyFont="1" applyFill="1" applyBorder="1" applyAlignment="1">
      <alignment horizontal="center"/>
    </xf>
    <xf numFmtId="164" fontId="3" fillId="0" borderId="58" xfId="11" applyNumberFormat="1" applyFont="1" applyFill="1" applyBorder="1" applyAlignment="1">
      <alignment horizontal="center"/>
    </xf>
    <xf numFmtId="164" fontId="3" fillId="0" borderId="17" xfId="11" applyNumberFormat="1" applyFont="1" applyFill="1" applyBorder="1" applyAlignment="1">
      <alignment horizontal="center"/>
    </xf>
    <xf numFmtId="164" fontId="3" fillId="0" borderId="24" xfId="11" applyNumberFormat="1" applyFont="1" applyFill="1" applyBorder="1" applyAlignment="1">
      <alignment horizontal="center"/>
    </xf>
    <xf numFmtId="164" fontId="3" fillId="0" borderId="42" xfId="11" applyNumberFormat="1" applyFont="1" applyFill="1" applyBorder="1" applyAlignment="1">
      <alignment horizontal="center"/>
    </xf>
    <xf numFmtId="164" fontId="3" fillId="0" borderId="56" xfId="11" applyNumberFormat="1" applyFont="1" applyFill="1" applyBorder="1" applyAlignment="1">
      <alignment horizontal="center"/>
    </xf>
    <xf numFmtId="164" fontId="3" fillId="0" borderId="37" xfId="11" applyNumberFormat="1" applyFont="1" applyFill="1" applyBorder="1" applyAlignment="1">
      <alignment horizontal="center"/>
    </xf>
    <xf numFmtId="164" fontId="3" fillId="0" borderId="38" xfId="11" applyNumberFormat="1" applyFont="1" applyFill="1" applyBorder="1" applyAlignment="1">
      <alignment horizontal="center"/>
    </xf>
    <xf numFmtId="164" fontId="3" fillId="0" borderId="39" xfId="11" applyNumberFormat="1" applyFont="1" applyFill="1" applyBorder="1" applyAlignment="1">
      <alignment horizontal="center"/>
    </xf>
    <xf numFmtId="164" fontId="3" fillId="0" borderId="60" xfId="11" applyNumberFormat="1" applyFont="1" applyFill="1" applyBorder="1" applyAlignment="1">
      <alignment horizontal="center"/>
    </xf>
    <xf numFmtId="164" fontId="3" fillId="0" borderId="40" xfId="11" applyNumberFormat="1" applyFont="1" applyFill="1" applyBorder="1" applyAlignment="1">
      <alignment horizontal="center"/>
    </xf>
    <xf numFmtId="164" fontId="3" fillId="0" borderId="27" xfId="11" applyNumberFormat="1" applyFont="1" applyFill="1" applyBorder="1" applyAlignment="1">
      <alignment horizontal="center"/>
    </xf>
    <xf numFmtId="164" fontId="3" fillId="0" borderId="28" xfId="11" applyNumberFormat="1" applyFont="1" applyFill="1" applyBorder="1" applyAlignment="1">
      <alignment horizontal="center"/>
    </xf>
    <xf numFmtId="164" fontId="3" fillId="0" borderId="41" xfId="11" applyNumberFormat="1" applyFont="1" applyFill="1" applyBorder="1" applyAlignment="1">
      <alignment horizontal="center"/>
    </xf>
    <xf numFmtId="164" fontId="3" fillId="0" borderId="47" xfId="11" applyNumberFormat="1" applyFont="1" applyFill="1" applyBorder="1" applyAlignment="1">
      <alignment horizontal="center"/>
    </xf>
    <xf numFmtId="164" fontId="3" fillId="0" borderId="55" xfId="11" applyNumberFormat="1" applyFont="1" applyFill="1" applyBorder="1" applyAlignment="1">
      <alignment horizontal="center"/>
    </xf>
    <xf numFmtId="164" fontId="3" fillId="0" borderId="50" xfId="11" applyNumberFormat="1" applyFont="1" applyFill="1" applyBorder="1" applyAlignment="1">
      <alignment horizontal="center"/>
    </xf>
    <xf numFmtId="0" fontId="5" fillId="0" borderId="12" xfId="0" applyFont="1" applyBorder="1"/>
    <xf numFmtId="0" fontId="3" fillId="0" borderId="35" xfId="0" applyFont="1" applyBorder="1"/>
    <xf numFmtId="0" fontId="5" fillId="0" borderId="20" xfId="0" applyFont="1" applyBorder="1"/>
    <xf numFmtId="0" fontId="3" fillId="0" borderId="33" xfId="0" applyFont="1" applyBorder="1"/>
    <xf numFmtId="164" fontId="11" fillId="0" borderId="33" xfId="11" applyNumberFormat="1" applyFont="1" applyFill="1" applyBorder="1" applyAlignment="1">
      <alignment horizontal="center"/>
    </xf>
    <xf numFmtId="0" fontId="3" fillId="0" borderId="8" xfId="0" applyFont="1" applyBorder="1"/>
    <xf numFmtId="164" fontId="11" fillId="0" borderId="61" xfId="11" applyNumberFormat="1" applyFont="1" applyFill="1" applyBorder="1" applyAlignment="1">
      <alignment horizontal="center"/>
    </xf>
    <xf numFmtId="164" fontId="11" fillId="0" borderId="8" xfId="11" applyNumberFormat="1" applyFont="1" applyFill="1" applyBorder="1" applyAlignment="1">
      <alignment horizontal="center"/>
    </xf>
    <xf numFmtId="2" fontId="3" fillId="0" borderId="0" xfId="0" applyNumberFormat="1" applyFont="1" applyAlignment="1" applyProtection="1">
      <alignment horizontal="left" vertical="center" indent="1"/>
      <protection hidden="1"/>
    </xf>
    <xf numFmtId="0" fontId="4" fillId="3" borderId="16" xfId="0" applyFont="1" applyFill="1" applyBorder="1" applyProtection="1">
      <protection hidden="1"/>
    </xf>
    <xf numFmtId="0" fontId="4" fillId="3" borderId="33" xfId="0" applyFont="1" applyFill="1" applyBorder="1" applyProtection="1">
      <protection hidden="1"/>
    </xf>
    <xf numFmtId="0" fontId="20" fillId="3" borderId="20" xfId="0" applyFont="1" applyFill="1" applyBorder="1" applyAlignment="1">
      <alignment horizontal="center"/>
    </xf>
    <xf numFmtId="0" fontId="20" fillId="3" borderId="63" xfId="0" applyFont="1" applyFill="1" applyBorder="1" applyAlignment="1">
      <alignment horizontal="center"/>
    </xf>
    <xf numFmtId="164" fontId="24" fillId="0" borderId="20" xfId="0" applyNumberFormat="1" applyFont="1" applyBorder="1" applyAlignment="1">
      <alignment horizontal="center"/>
    </xf>
    <xf numFmtId="164" fontId="24" fillId="0" borderId="15" xfId="0" applyNumberFormat="1" applyFont="1" applyBorder="1" applyAlignment="1">
      <alignment horizontal="center"/>
    </xf>
    <xf numFmtId="0" fontId="29" fillId="3" borderId="68" xfId="0" applyFont="1" applyFill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4" fillId="0" borderId="72" xfId="0" applyFont="1" applyBorder="1" applyAlignment="1">
      <alignment horizontal="center" vertical="center" wrapText="1"/>
    </xf>
    <xf numFmtId="0" fontId="24" fillId="2" borderId="38" xfId="3" applyFont="1" applyFill="1" applyBorder="1" applyAlignment="1" applyProtection="1">
      <alignment horizontal="center"/>
      <protection hidden="1"/>
    </xf>
    <xf numFmtId="0" fontId="24" fillId="0" borderId="78" xfId="0" applyFont="1" applyBorder="1" applyAlignment="1">
      <alignment horizontal="center" vertical="center" wrapText="1"/>
    </xf>
    <xf numFmtId="0" fontId="24" fillId="2" borderId="78" xfId="3" applyFont="1" applyFill="1" applyBorder="1" applyAlignment="1" applyProtection="1">
      <alignment horizontal="center"/>
      <protection hidden="1"/>
    </xf>
    <xf numFmtId="0" fontId="33" fillId="3" borderId="78" xfId="3" applyFont="1" applyFill="1" applyBorder="1" applyAlignment="1" applyProtection="1">
      <alignment horizontal="center"/>
      <protection hidden="1"/>
    </xf>
    <xf numFmtId="0" fontId="28" fillId="3" borderId="81" xfId="0" applyFont="1" applyFill="1" applyBorder="1" applyAlignment="1">
      <alignment vertical="center"/>
    </xf>
    <xf numFmtId="0" fontId="28" fillId="3" borderId="82" xfId="0" applyFont="1" applyFill="1" applyBorder="1" applyAlignment="1">
      <alignment vertical="center"/>
    </xf>
    <xf numFmtId="0" fontId="28" fillId="3" borderId="83" xfId="0" applyFont="1" applyFill="1" applyBorder="1" applyAlignment="1">
      <alignment vertical="center"/>
    </xf>
    <xf numFmtId="0" fontId="20" fillId="3" borderId="15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0" fillId="3" borderId="17" xfId="0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9" fontId="7" fillId="2" borderId="38" xfId="0" applyNumberFormat="1" applyFont="1" applyFill="1" applyBorder="1" applyAlignment="1">
      <alignment horizontal="center"/>
    </xf>
    <xf numFmtId="164" fontId="34" fillId="2" borderId="38" xfId="0" applyNumberFormat="1" applyFont="1" applyFill="1" applyBorder="1" applyAlignment="1">
      <alignment horizontal="center"/>
    </xf>
    <xf numFmtId="164" fontId="33" fillId="3" borderId="38" xfId="0" applyNumberFormat="1" applyFont="1" applyFill="1" applyBorder="1" applyAlignment="1">
      <alignment horizontal="center"/>
    </xf>
    <xf numFmtId="0" fontId="7" fillId="2" borderId="0" xfId="0" applyFont="1" applyFill="1" applyAlignment="1">
      <alignment vertical="center" wrapText="1"/>
    </xf>
    <xf numFmtId="164" fontId="34" fillId="5" borderId="38" xfId="0" applyNumberFormat="1" applyFont="1" applyFill="1" applyBorder="1" applyAlignment="1">
      <alignment horizontal="center"/>
    </xf>
    <xf numFmtId="164" fontId="34" fillId="0" borderId="38" xfId="0" applyNumberFormat="1" applyFont="1" applyBorder="1" applyAlignment="1">
      <alignment horizontal="center"/>
    </xf>
    <xf numFmtId="164" fontId="20" fillId="3" borderId="38" xfId="0" applyNumberFormat="1" applyFont="1" applyFill="1" applyBorder="1" applyAlignment="1">
      <alignment horizontal="center"/>
    </xf>
    <xf numFmtId="164" fontId="24" fillId="2" borderId="15" xfId="0" applyNumberFormat="1" applyFont="1" applyFill="1" applyBorder="1"/>
    <xf numFmtId="164" fontId="24" fillId="2" borderId="17" xfId="0" applyNumberFormat="1" applyFont="1" applyFill="1" applyBorder="1"/>
    <xf numFmtId="0" fontId="24" fillId="0" borderId="34" xfId="0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85" xfId="0" applyFont="1" applyBorder="1" applyAlignment="1">
      <alignment horizontal="center" vertical="center" wrapText="1"/>
    </xf>
    <xf numFmtId="0" fontId="24" fillId="0" borderId="86" xfId="0" applyFont="1" applyBorder="1" applyAlignment="1">
      <alignment horizontal="center" vertical="center" wrapText="1"/>
    </xf>
    <xf numFmtId="0" fontId="24" fillId="2" borderId="15" xfId="3" applyFont="1" applyFill="1" applyBorder="1" applyAlignment="1" applyProtection="1">
      <alignment horizontal="center"/>
      <protection hidden="1"/>
    </xf>
    <xf numFmtId="0" fontId="24" fillId="2" borderId="37" xfId="3" applyFont="1" applyFill="1" applyBorder="1" applyAlignment="1" applyProtection="1">
      <alignment horizontal="center"/>
      <protection hidden="1"/>
    </xf>
    <xf numFmtId="0" fontId="24" fillId="2" borderId="87" xfId="3" applyFont="1" applyFill="1" applyBorder="1" applyAlignment="1" applyProtection="1">
      <alignment horizontal="center"/>
      <protection hidden="1"/>
    </xf>
    <xf numFmtId="0" fontId="24" fillId="2" borderId="88" xfId="3" applyFont="1" applyFill="1" applyBorder="1" applyAlignment="1" applyProtection="1">
      <alignment horizontal="center"/>
      <protection hidden="1"/>
    </xf>
    <xf numFmtId="164" fontId="33" fillId="3" borderId="89" xfId="0" applyNumberFormat="1" applyFont="1" applyFill="1" applyBorder="1" applyAlignment="1">
      <alignment horizontal="center"/>
    </xf>
    <xf numFmtId="164" fontId="34" fillId="0" borderId="46" xfId="0" applyNumberFormat="1" applyFont="1" applyBorder="1" applyAlignment="1">
      <alignment horizontal="center"/>
    </xf>
    <xf numFmtId="164" fontId="34" fillId="0" borderId="15" xfId="0" applyNumberFormat="1" applyFont="1" applyBorder="1" applyAlignment="1">
      <alignment horizontal="center"/>
    </xf>
    <xf numFmtId="164" fontId="34" fillId="0" borderId="27" xfId="0" applyNumberFormat="1" applyFont="1" applyBorder="1" applyAlignment="1">
      <alignment horizontal="center"/>
    </xf>
    <xf numFmtId="0" fontId="20" fillId="3" borderId="92" xfId="0" applyFont="1" applyFill="1" applyBorder="1" applyAlignment="1">
      <alignment horizontal="center"/>
    </xf>
    <xf numFmtId="0" fontId="29" fillId="3" borderId="96" xfId="0" applyFont="1" applyFill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33" fillId="3" borderId="39" xfId="0" applyFont="1" applyFill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33" fillId="3" borderId="51" xfId="0" applyFont="1" applyFill="1" applyBorder="1" applyAlignment="1">
      <alignment horizontal="center" vertical="center" wrapText="1"/>
    </xf>
    <xf numFmtId="164" fontId="34" fillId="2" borderId="99" xfId="0" applyNumberFormat="1" applyFont="1" applyFill="1" applyBorder="1" applyAlignment="1">
      <alignment horizontal="center"/>
    </xf>
    <xf numFmtId="164" fontId="34" fillId="5" borderId="99" xfId="0" applyNumberFormat="1" applyFont="1" applyFill="1" applyBorder="1" applyAlignment="1">
      <alignment horizontal="center"/>
    </xf>
    <xf numFmtId="164" fontId="34" fillId="0" borderId="100" xfId="0" applyNumberFormat="1" applyFont="1" applyBorder="1" applyAlignment="1">
      <alignment horizontal="center"/>
    </xf>
    <xf numFmtId="164" fontId="34" fillId="0" borderId="101" xfId="0" applyNumberFormat="1" applyFont="1" applyBorder="1" applyAlignment="1">
      <alignment horizontal="center"/>
    </xf>
    <xf numFmtId="0" fontId="8" fillId="6" borderId="20" xfId="0" applyFont="1" applyFill="1" applyBorder="1" applyAlignment="1" applyProtection="1">
      <alignment horizontal="center" vertical="center"/>
      <protection hidden="1"/>
    </xf>
    <xf numFmtId="0" fontId="6" fillId="6" borderId="18" xfId="0" applyFont="1" applyFill="1" applyBorder="1" applyAlignment="1" applyProtection="1">
      <alignment horizontal="center" vertical="center"/>
      <protection hidden="1"/>
    </xf>
    <xf numFmtId="0" fontId="6" fillId="6" borderId="19" xfId="0" applyFont="1" applyFill="1" applyBorder="1" applyAlignment="1" applyProtection="1">
      <alignment horizontal="center" vertical="center"/>
      <protection hidden="1"/>
    </xf>
    <xf numFmtId="0" fontId="8" fillId="6" borderId="16" xfId="0" applyFont="1" applyFill="1" applyBorder="1" applyAlignment="1" applyProtection="1">
      <alignment horizontal="center" vertical="center"/>
      <protection hidden="1"/>
    </xf>
    <xf numFmtId="0" fontId="6" fillId="6" borderId="16" xfId="0" applyFont="1" applyFill="1" applyBorder="1" applyAlignment="1" applyProtection="1">
      <alignment horizontal="center" vertical="center"/>
      <protection hidden="1"/>
    </xf>
    <xf numFmtId="164" fontId="24" fillId="0" borderId="16" xfId="0" applyNumberFormat="1" applyFont="1" applyBorder="1" applyAlignment="1">
      <alignment horizontal="center"/>
    </xf>
    <xf numFmtId="164" fontId="6" fillId="2" borderId="19" xfId="0" applyNumberFormat="1" applyFont="1" applyFill="1" applyBorder="1" applyAlignment="1" applyProtection="1">
      <alignment horizontal="center" vertical="center"/>
      <protection hidden="1"/>
    </xf>
    <xf numFmtId="0" fontId="8" fillId="6" borderId="23" xfId="0" applyFont="1" applyFill="1" applyBorder="1" applyAlignment="1" applyProtection="1">
      <alignment horizontal="center" vertical="center"/>
      <protection hidden="1"/>
    </xf>
    <xf numFmtId="164" fontId="8" fillId="2" borderId="0" xfId="0" applyNumberFormat="1" applyFont="1" applyFill="1" applyAlignment="1" applyProtection="1">
      <alignment horizontal="center" vertical="center"/>
      <protection hidden="1"/>
    </xf>
    <xf numFmtId="165" fontId="3" fillId="2" borderId="0" xfId="0" applyNumberFormat="1" applyFont="1" applyFill="1" applyAlignment="1" applyProtection="1">
      <alignment horizontal="right" vertical="center"/>
      <protection hidden="1"/>
    </xf>
    <xf numFmtId="2" fontId="3" fillId="2" borderId="0" xfId="7" applyNumberFormat="1" applyFont="1" applyFill="1" applyAlignment="1" applyProtection="1">
      <alignment horizontal="left" vertical="center"/>
      <protection hidden="1"/>
    </xf>
    <xf numFmtId="165" fontId="3" fillId="2" borderId="0" xfId="7" applyNumberFormat="1" applyFont="1" applyFill="1" applyAlignment="1" applyProtection="1">
      <alignment horizontal="right" vertical="center"/>
      <protection hidden="1"/>
    </xf>
    <xf numFmtId="165" fontId="13" fillId="2" borderId="0" xfId="0" applyNumberFormat="1" applyFont="1" applyFill="1" applyAlignment="1" applyProtection="1">
      <alignment horizontal="left" vertical="center"/>
      <protection hidden="1"/>
    </xf>
    <xf numFmtId="0" fontId="11" fillId="2" borderId="0" xfId="0" applyFont="1" applyFill="1" applyAlignment="1" applyProtection="1">
      <alignment horizontal="right" vertical="center"/>
      <protection hidden="1"/>
    </xf>
    <xf numFmtId="2" fontId="3" fillId="2" borderId="0" xfId="0" applyNumberFormat="1" applyFont="1" applyFill="1" applyAlignment="1" applyProtection="1">
      <alignment horizontal="right"/>
      <protection hidden="1"/>
    </xf>
    <xf numFmtId="0" fontId="6" fillId="6" borderId="24" xfId="0" applyFont="1" applyFill="1" applyBorder="1" applyAlignment="1" applyProtection="1">
      <alignment horizontal="center" vertical="center"/>
      <protection hidden="1"/>
    </xf>
    <xf numFmtId="0" fontId="3" fillId="2" borderId="18" xfId="4" applyFont="1" applyFill="1" applyBorder="1" applyProtection="1">
      <protection hidden="1"/>
    </xf>
    <xf numFmtId="164" fontId="5" fillId="2" borderId="18" xfId="0" applyNumberFormat="1" applyFont="1" applyFill="1" applyBorder="1" applyAlignment="1" applyProtection="1">
      <alignment horizontal="center" vertical="center"/>
      <protection hidden="1"/>
    </xf>
    <xf numFmtId="0" fontId="8" fillId="6" borderId="18" xfId="0" applyFont="1" applyFill="1" applyBorder="1" applyAlignment="1" applyProtection="1">
      <alignment horizontal="center" vertical="center"/>
      <protection hidden="1"/>
    </xf>
    <xf numFmtId="164" fontId="5" fillId="2" borderId="0" xfId="0" applyNumberFormat="1" applyFont="1" applyFill="1" applyAlignment="1" applyProtection="1">
      <alignment horizontal="center" vertical="center"/>
      <protection hidden="1"/>
    </xf>
    <xf numFmtId="0" fontId="8" fillId="6" borderId="25" xfId="0" applyFont="1" applyFill="1" applyBorder="1" applyAlignment="1" applyProtection="1">
      <alignment horizontal="center" vertical="center"/>
      <protection hidden="1"/>
    </xf>
    <xf numFmtId="164" fontId="5" fillId="2" borderId="21" xfId="0" applyNumberFormat="1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Protection="1">
      <protection hidden="1"/>
    </xf>
    <xf numFmtId="164" fontId="6" fillId="2" borderId="8" xfId="0" applyNumberFormat="1" applyFont="1" applyFill="1" applyBorder="1" applyAlignment="1" applyProtection="1">
      <alignment horizontal="center" vertical="center"/>
      <protection hidden="1"/>
    </xf>
    <xf numFmtId="164" fontId="5" fillId="2" borderId="0" xfId="0" applyNumberFormat="1" applyFont="1" applyFill="1" applyAlignment="1" applyProtection="1">
      <alignment horizontal="right" shrinkToFit="1"/>
      <protection hidden="1"/>
    </xf>
    <xf numFmtId="165" fontId="3" fillId="2" borderId="28" xfId="0" applyNumberFormat="1" applyFont="1" applyFill="1" applyBorder="1" applyAlignment="1" applyProtection="1">
      <alignment horizontal="center"/>
      <protection hidden="1"/>
    </xf>
    <xf numFmtId="165" fontId="3" fillId="0" borderId="0" xfId="7" applyNumberFormat="1" applyFont="1" applyAlignment="1" applyProtection="1">
      <alignment horizontal="right" vertical="center"/>
      <protection hidden="1"/>
    </xf>
    <xf numFmtId="164" fontId="3" fillId="2" borderId="0" xfId="0" applyNumberFormat="1" applyFont="1" applyFill="1" applyAlignment="1" applyProtection="1">
      <alignment horizontal="left" indent="5" shrinkToFit="1"/>
      <protection hidden="1"/>
    </xf>
    <xf numFmtId="165" fontId="3" fillId="2" borderId="0" xfId="0" applyNumberFormat="1" applyFont="1" applyFill="1" applyAlignment="1" applyProtection="1">
      <alignment horizontal="left" indent="5"/>
      <protection hidden="1"/>
    </xf>
    <xf numFmtId="164" fontId="5" fillId="2" borderId="18" xfId="0" applyNumberFormat="1" applyFont="1" applyFill="1" applyBorder="1" applyAlignment="1" applyProtection="1">
      <alignment horizontal="left" indent="5" shrinkToFit="1"/>
      <protection hidden="1"/>
    </xf>
    <xf numFmtId="165" fontId="3" fillId="2" borderId="18" xfId="0" applyNumberFormat="1" applyFont="1" applyFill="1" applyBorder="1" applyAlignment="1" applyProtection="1">
      <alignment horizontal="right"/>
      <protection hidden="1"/>
    </xf>
    <xf numFmtId="164" fontId="5" fillId="2" borderId="2" xfId="0" applyNumberFormat="1" applyFont="1" applyFill="1" applyBorder="1" applyAlignment="1" applyProtection="1">
      <alignment horizontal="center" shrinkToFit="1"/>
      <protection hidden="1"/>
    </xf>
    <xf numFmtId="164" fontId="5" fillId="2" borderId="5" xfId="0" applyNumberFormat="1" applyFont="1" applyFill="1" applyBorder="1" applyAlignment="1" applyProtection="1">
      <alignment horizontal="right" shrinkToFit="1"/>
      <protection hidden="1"/>
    </xf>
    <xf numFmtId="165" fontId="3" fillId="2" borderId="5" xfId="0" applyNumberFormat="1" applyFont="1" applyFill="1" applyBorder="1" applyAlignment="1" applyProtection="1">
      <alignment horizontal="right" vertical="center"/>
      <protection hidden="1"/>
    </xf>
    <xf numFmtId="165" fontId="3" fillId="2" borderId="5" xfId="7" applyNumberFormat="1" applyFont="1" applyFill="1" applyBorder="1" applyAlignment="1" applyProtection="1">
      <alignment horizontal="right" vertical="center"/>
      <protection hidden="1"/>
    </xf>
    <xf numFmtId="164" fontId="8" fillId="2" borderId="30" xfId="0" applyNumberFormat="1" applyFont="1" applyFill="1" applyBorder="1" applyAlignment="1" applyProtection="1">
      <alignment horizontal="center" vertical="center"/>
      <protection hidden="1"/>
    </xf>
    <xf numFmtId="165" fontId="3" fillId="2" borderId="5" xfId="0" applyNumberFormat="1" applyFont="1" applyFill="1" applyBorder="1" applyAlignment="1" applyProtection="1">
      <alignment horizontal="left" indent="1"/>
      <protection hidden="1"/>
    </xf>
    <xf numFmtId="164" fontId="3" fillId="2" borderId="5" xfId="0" applyNumberFormat="1" applyFont="1" applyFill="1" applyBorder="1" applyAlignment="1" applyProtection="1">
      <alignment horizontal="left"/>
      <protection hidden="1"/>
    </xf>
    <xf numFmtId="164" fontId="3" fillId="2" borderId="19" xfId="0" applyNumberFormat="1" applyFont="1" applyFill="1" applyBorder="1" applyAlignment="1" applyProtection="1">
      <alignment horizontal="left"/>
      <protection hidden="1"/>
    </xf>
    <xf numFmtId="6" fontId="3" fillId="2" borderId="0" xfId="4" applyNumberFormat="1" applyFont="1" applyFill="1" applyProtection="1">
      <protection hidden="1"/>
    </xf>
    <xf numFmtId="164" fontId="6" fillId="2" borderId="29" xfId="0" applyNumberFormat="1" applyFont="1" applyFill="1" applyBorder="1" applyAlignment="1" applyProtection="1">
      <alignment horizontal="center" vertical="center"/>
      <protection hidden="1"/>
    </xf>
    <xf numFmtId="164" fontId="6" fillId="2" borderId="28" xfId="0" applyNumberFormat="1" applyFont="1" applyFill="1" applyBorder="1" applyAlignment="1" applyProtection="1">
      <alignment horizontal="center" vertical="center"/>
      <protection hidden="1"/>
    </xf>
    <xf numFmtId="164" fontId="8" fillId="2" borderId="6" xfId="0" applyNumberFormat="1" applyFont="1" applyFill="1" applyBorder="1" applyAlignment="1" applyProtection="1">
      <alignment horizontal="center" vertical="center"/>
      <protection hidden="1"/>
    </xf>
    <xf numFmtId="164" fontId="3" fillId="2" borderId="6" xfId="0" applyNumberFormat="1" applyFont="1" applyFill="1" applyBorder="1" applyAlignment="1" applyProtection="1">
      <alignment horizontal="left" vertical="center"/>
      <protection hidden="1"/>
    </xf>
    <xf numFmtId="165" fontId="3" fillId="2" borderId="7" xfId="9" applyNumberFormat="1" applyFont="1" applyFill="1" applyBorder="1" applyAlignment="1" applyProtection="1">
      <alignment horizontal="left" vertical="center"/>
      <protection hidden="1"/>
    </xf>
    <xf numFmtId="165" fontId="3" fillId="2" borderId="8" xfId="9" applyNumberFormat="1" applyFont="1" applyFill="1" applyBorder="1" applyAlignment="1" applyProtection="1">
      <alignment horizontal="left" vertical="center"/>
      <protection hidden="1"/>
    </xf>
    <xf numFmtId="2" fontId="3" fillId="2" borderId="33" xfId="0" applyNumberFormat="1" applyFont="1" applyFill="1" applyBorder="1" applyAlignment="1" applyProtection="1">
      <alignment horizontal="left"/>
      <protection hidden="1"/>
    </xf>
    <xf numFmtId="0" fontId="13" fillId="2" borderId="5" xfId="0" applyFont="1" applyFill="1" applyBorder="1" applyAlignment="1" applyProtection="1">
      <alignment vertical="center" wrapText="1"/>
      <protection hidden="1"/>
    </xf>
    <xf numFmtId="0" fontId="12" fillId="2" borderId="23" xfId="0" applyFont="1" applyFill="1" applyBorder="1" applyAlignment="1" applyProtection="1">
      <alignment horizontal="left" indent="2"/>
      <protection hidden="1"/>
    </xf>
    <xf numFmtId="0" fontId="12" fillId="2" borderId="18" xfId="0" applyFont="1" applyFill="1" applyBorder="1" applyAlignment="1" applyProtection="1">
      <alignment horizontal="left" indent="2"/>
      <protection hidden="1"/>
    </xf>
    <xf numFmtId="0" fontId="12" fillId="2" borderId="18" xfId="0" applyFont="1" applyFill="1" applyBorder="1" applyAlignment="1" applyProtection="1">
      <alignment horizontal="left"/>
      <protection hidden="1"/>
    </xf>
    <xf numFmtId="165" fontId="3" fillId="2" borderId="18" xfId="0" applyNumberFormat="1" applyFont="1" applyFill="1" applyBorder="1" applyAlignment="1" applyProtection="1">
      <alignment horizontal="left" vertical="top"/>
      <protection hidden="1"/>
    </xf>
    <xf numFmtId="165" fontId="3" fillId="2" borderId="18" xfId="0" applyNumberFormat="1" applyFont="1" applyFill="1" applyBorder="1" applyAlignment="1" applyProtection="1">
      <alignment horizontal="center" vertical="center"/>
      <protection hidden="1"/>
    </xf>
    <xf numFmtId="165" fontId="3" fillId="2" borderId="19" xfId="0" applyNumberFormat="1" applyFont="1" applyFill="1" applyBorder="1" applyAlignment="1" applyProtection="1">
      <alignment horizontal="center" vertical="center"/>
      <protection hidden="1"/>
    </xf>
    <xf numFmtId="0" fontId="3" fillId="2" borderId="0" xfId="6" applyFont="1" applyFill="1" applyAlignment="1" applyProtection="1">
      <alignment horizontal="left" vertical="center"/>
      <protection hidden="1"/>
    </xf>
    <xf numFmtId="165" fontId="13" fillId="2" borderId="21" xfId="0" applyNumberFormat="1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vertical="center" wrapText="1"/>
      <protection hidden="1"/>
    </xf>
    <xf numFmtId="165" fontId="13" fillId="2" borderId="31" xfId="0" applyNumberFormat="1" applyFont="1" applyFill="1" applyBorder="1" applyAlignment="1" applyProtection="1">
      <alignment horizontal="left" vertical="center"/>
      <protection hidden="1"/>
    </xf>
    <xf numFmtId="165" fontId="3" fillId="2" borderId="5" xfId="9" applyNumberFormat="1" applyFont="1" applyFill="1" applyBorder="1" applyAlignment="1" applyProtection="1">
      <alignment horizontal="left" vertical="center"/>
      <protection hidden="1"/>
    </xf>
    <xf numFmtId="164" fontId="6" fillId="2" borderId="4" xfId="0" applyNumberFormat="1" applyFont="1" applyFill="1" applyBorder="1" applyAlignment="1" applyProtection="1">
      <alignment horizontal="center" vertical="center"/>
      <protection hidden="1"/>
    </xf>
    <xf numFmtId="0" fontId="11" fillId="2" borderId="21" xfId="0" applyFont="1" applyFill="1" applyBorder="1" applyProtection="1">
      <protection hidden="1"/>
    </xf>
    <xf numFmtId="164" fontId="8" fillId="2" borderId="18" xfId="0" applyNumberFormat="1" applyFont="1" applyFill="1" applyBorder="1" applyAlignment="1" applyProtection="1">
      <alignment horizontal="center" vertical="center"/>
      <protection hidden="1"/>
    </xf>
    <xf numFmtId="164" fontId="6" fillId="2" borderId="23" xfId="0" applyNumberFormat="1" applyFont="1" applyFill="1" applyBorder="1" applyAlignment="1" applyProtection="1">
      <alignment horizontal="center" vertical="center"/>
      <protection hidden="1"/>
    </xf>
    <xf numFmtId="0" fontId="11" fillId="2" borderId="24" xfId="0" applyFont="1" applyFill="1" applyBorder="1" applyProtection="1">
      <protection hidden="1"/>
    </xf>
    <xf numFmtId="0" fontId="3" fillId="2" borderId="7" xfId="4" applyFont="1" applyFill="1" applyBorder="1" applyProtection="1">
      <protection hidden="1"/>
    </xf>
    <xf numFmtId="0" fontId="5" fillId="2" borderId="7" xfId="4" applyFont="1" applyFill="1" applyBorder="1" applyProtection="1">
      <protection hidden="1"/>
    </xf>
    <xf numFmtId="0" fontId="3" fillId="2" borderId="8" xfId="4" applyFont="1" applyFill="1" applyBorder="1" applyProtection="1">
      <protection hidden="1"/>
    </xf>
    <xf numFmtId="0" fontId="17" fillId="3" borderId="12" xfId="0" applyFont="1" applyFill="1" applyBorder="1" applyAlignment="1" applyProtection="1">
      <alignment horizontal="center" vertical="center"/>
      <protection hidden="1"/>
    </xf>
    <xf numFmtId="16" fontId="17" fillId="3" borderId="13" xfId="0" applyNumberFormat="1" applyFont="1" applyFill="1" applyBorder="1" applyAlignment="1" applyProtection="1">
      <alignment horizontal="center" vertical="center"/>
      <protection hidden="1"/>
    </xf>
    <xf numFmtId="16" fontId="17" fillId="3" borderId="14" xfId="0" applyNumberFormat="1" applyFont="1" applyFill="1" applyBorder="1" applyAlignment="1" applyProtection="1">
      <alignment horizontal="center" vertical="center"/>
      <protection hidden="1"/>
    </xf>
    <xf numFmtId="0" fontId="16" fillId="3" borderId="13" xfId="0" applyFont="1" applyFill="1" applyBorder="1" applyAlignment="1" applyProtection="1">
      <alignment vertical="center"/>
      <protection hidden="1"/>
    </xf>
    <xf numFmtId="0" fontId="16" fillId="3" borderId="35" xfId="0" applyFont="1" applyFill="1" applyBorder="1" applyAlignment="1" applyProtection="1">
      <alignment vertical="center"/>
      <protection hidden="1"/>
    </xf>
    <xf numFmtId="0" fontId="6" fillId="6" borderId="17" xfId="0" applyFont="1" applyFill="1" applyBorder="1" applyAlignment="1" applyProtection="1">
      <alignment horizontal="center" vertical="center"/>
      <protection hidden="1"/>
    </xf>
    <xf numFmtId="165" fontId="8" fillId="2" borderId="38" xfId="0" applyNumberFormat="1" applyFont="1" applyFill="1" applyBorder="1" applyAlignment="1" applyProtection="1">
      <alignment vertical="center"/>
      <protection hidden="1"/>
    </xf>
    <xf numFmtId="165" fontId="3" fillId="2" borderId="28" xfId="0" applyNumberFormat="1" applyFont="1" applyFill="1" applyBorder="1" applyAlignment="1" applyProtection="1">
      <alignment horizontal="center" vertical="center"/>
      <protection hidden="1"/>
    </xf>
    <xf numFmtId="165" fontId="3" fillId="2" borderId="31" xfId="0" applyNumberFormat="1" applyFont="1" applyFill="1" applyBorder="1" applyAlignment="1" applyProtection="1">
      <alignment horizontal="center" vertical="center"/>
      <protection hidden="1"/>
    </xf>
    <xf numFmtId="165" fontId="6" fillId="2" borderId="0" xfId="0" applyNumberFormat="1" applyFont="1" applyFill="1" applyAlignment="1" applyProtection="1">
      <alignment horizontal="center" vertical="center"/>
      <protection hidden="1"/>
    </xf>
    <xf numFmtId="165" fontId="8" fillId="2" borderId="38" xfId="0" applyNumberFormat="1" applyFont="1" applyFill="1" applyBorder="1" applyAlignment="1" applyProtection="1">
      <alignment horizontal="center" vertical="center"/>
      <protection hidden="1"/>
    </xf>
    <xf numFmtId="2" fontId="6" fillId="2" borderId="16" xfId="0" applyNumberFormat="1" applyFont="1" applyFill="1" applyBorder="1" applyAlignment="1" applyProtection="1">
      <alignment horizontal="left" vertical="center"/>
      <protection hidden="1"/>
    </xf>
    <xf numFmtId="165" fontId="6" fillId="2" borderId="16" xfId="0" applyNumberFormat="1" applyFont="1" applyFill="1" applyBorder="1" applyAlignment="1" applyProtection="1">
      <alignment horizontal="left" vertical="center"/>
      <protection hidden="1"/>
    </xf>
    <xf numFmtId="165" fontId="6" fillId="2" borderId="17" xfId="0" applyNumberFormat="1" applyFont="1" applyFill="1" applyBorder="1" applyAlignment="1" applyProtection="1">
      <alignment horizontal="left" vertical="center"/>
      <protection hidden="1"/>
    </xf>
    <xf numFmtId="165" fontId="6" fillId="2" borderId="38" xfId="0" applyNumberFormat="1" applyFont="1" applyFill="1" applyBorder="1" applyAlignment="1" applyProtection="1">
      <alignment vertical="center"/>
      <protection hidden="1"/>
    </xf>
    <xf numFmtId="9" fontId="6" fillId="2" borderId="38" xfId="9" applyFont="1" applyFill="1" applyBorder="1" applyAlignment="1" applyProtection="1">
      <alignment horizontal="center" vertical="center"/>
      <protection hidden="1"/>
    </xf>
    <xf numFmtId="174" fontId="6" fillId="2" borderId="40" xfId="0" applyNumberFormat="1" applyFont="1" applyFill="1" applyBorder="1" applyAlignment="1" applyProtection="1">
      <alignment vertical="center"/>
      <protection hidden="1"/>
    </xf>
    <xf numFmtId="9" fontId="6" fillId="2" borderId="40" xfId="9" applyFont="1" applyFill="1" applyBorder="1" applyAlignment="1" applyProtection="1">
      <alignment vertical="center"/>
      <protection hidden="1"/>
    </xf>
    <xf numFmtId="2" fontId="6" fillId="2" borderId="18" xfId="0" applyNumberFormat="1" applyFont="1" applyFill="1" applyBorder="1" applyAlignment="1" applyProtection="1">
      <alignment horizontal="left" vertical="center"/>
      <protection hidden="1"/>
    </xf>
    <xf numFmtId="165" fontId="6" fillId="2" borderId="18" xfId="0" applyNumberFormat="1" applyFont="1" applyFill="1" applyBorder="1" applyAlignment="1" applyProtection="1">
      <alignment horizontal="left" vertical="center"/>
      <protection hidden="1"/>
    </xf>
    <xf numFmtId="165" fontId="6" fillId="2" borderId="24" xfId="0" applyNumberFormat="1" applyFont="1" applyFill="1" applyBorder="1" applyAlignment="1" applyProtection="1">
      <alignment horizontal="left" vertical="center"/>
      <protection hidden="1"/>
    </xf>
    <xf numFmtId="174" fontId="6" fillId="2" borderId="42" xfId="0" applyNumberFormat="1" applyFont="1" applyFill="1" applyBorder="1" applyAlignment="1" applyProtection="1">
      <alignment vertical="center"/>
      <protection hidden="1"/>
    </xf>
    <xf numFmtId="9" fontId="6" fillId="2" borderId="42" xfId="9" applyFont="1" applyFill="1" applyBorder="1" applyAlignment="1" applyProtection="1">
      <alignment vertical="center"/>
      <protection hidden="1"/>
    </xf>
    <xf numFmtId="165" fontId="6" fillId="2" borderId="0" xfId="0" applyNumberFormat="1" applyFont="1" applyFill="1" applyAlignment="1" applyProtection="1">
      <alignment vertical="center"/>
      <protection hidden="1"/>
    </xf>
    <xf numFmtId="165" fontId="6" fillId="2" borderId="0" xfId="7" applyNumberFormat="1" applyFont="1" applyFill="1" applyAlignment="1" applyProtection="1">
      <alignment vertical="center"/>
      <protection hidden="1"/>
    </xf>
    <xf numFmtId="165" fontId="3" fillId="2" borderId="0" xfId="7" applyNumberFormat="1" applyFont="1" applyFill="1" applyAlignment="1" applyProtection="1">
      <alignment horizontal="center" vertical="center"/>
      <protection hidden="1"/>
    </xf>
    <xf numFmtId="0" fontId="32" fillId="2" borderId="0" xfId="3" applyFont="1" applyFill="1" applyProtection="1">
      <protection hidden="1"/>
    </xf>
    <xf numFmtId="165" fontId="6" fillId="2" borderId="0" xfId="0" applyNumberFormat="1" applyFont="1" applyFill="1" applyAlignment="1" applyProtection="1">
      <alignment horizontal="left" vertical="center"/>
      <protection hidden="1"/>
    </xf>
    <xf numFmtId="164" fontId="6" fillId="2" borderId="0" xfId="0" applyNumberFormat="1" applyFont="1" applyFill="1" applyAlignment="1" applyProtection="1">
      <alignment horizontal="left" vertical="center"/>
      <protection hidden="1"/>
    </xf>
    <xf numFmtId="165" fontId="6" fillId="2" borderId="28" xfId="0" applyNumberFormat="1" applyFont="1" applyFill="1" applyBorder="1" applyAlignment="1" applyProtection="1">
      <alignment horizontal="left" vertical="center" indent="1"/>
      <protection hidden="1"/>
    </xf>
    <xf numFmtId="165" fontId="6" fillId="2" borderId="0" xfId="0" applyNumberFormat="1" applyFont="1" applyFill="1" applyAlignment="1" applyProtection="1">
      <alignment horizontal="left" vertical="center" indent="1"/>
      <protection hidden="1"/>
    </xf>
    <xf numFmtId="165" fontId="6" fillId="2" borderId="0" xfId="7" applyNumberFormat="1" applyFont="1" applyFill="1" applyAlignment="1" applyProtection="1">
      <alignment horizontal="left" vertical="center" indent="1"/>
      <protection hidden="1"/>
    </xf>
    <xf numFmtId="164" fontId="6" fillId="2" borderId="0" xfId="0" applyNumberFormat="1" applyFont="1" applyFill="1" applyAlignment="1" applyProtection="1">
      <alignment horizontal="left" vertical="center" indent="1"/>
      <protection hidden="1"/>
    </xf>
    <xf numFmtId="164" fontId="11" fillId="2" borderId="8" xfId="0" applyNumberFormat="1" applyFont="1" applyFill="1" applyBorder="1" applyAlignment="1" applyProtection="1">
      <alignment horizontal="center" vertical="center"/>
      <protection hidden="1"/>
    </xf>
    <xf numFmtId="165" fontId="6" fillId="2" borderId="17" xfId="0" applyNumberFormat="1" applyFont="1" applyFill="1" applyBorder="1" applyAlignment="1" applyProtection="1">
      <alignment horizontal="center" vertical="center"/>
      <protection hidden="1"/>
    </xf>
    <xf numFmtId="0" fontId="15" fillId="3" borderId="9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173" fontId="11" fillId="2" borderId="41" xfId="1" applyNumberFormat="1" applyFont="1" applyFill="1" applyBorder="1" applyAlignment="1">
      <alignment horizontal="left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1" fillId="2" borderId="18" xfId="3" applyFont="1" applyFill="1" applyBorder="1" applyProtection="1">
      <protection hidden="1"/>
    </xf>
    <xf numFmtId="0" fontId="11" fillId="2" borderId="19" xfId="3" applyFont="1" applyFill="1" applyBorder="1" applyProtection="1">
      <protection hidden="1"/>
    </xf>
    <xf numFmtId="164" fontId="11" fillId="2" borderId="28" xfId="0" applyNumberFormat="1" applyFont="1" applyFill="1" applyBorder="1" applyAlignment="1" applyProtection="1">
      <alignment horizontal="center"/>
      <protection hidden="1"/>
    </xf>
    <xf numFmtId="2" fontId="15" fillId="3" borderId="12" xfId="0" applyNumberFormat="1" applyFont="1" applyFill="1" applyBorder="1" applyAlignment="1" applyProtection="1">
      <alignment horizontal="left" vertical="center"/>
      <protection hidden="1"/>
    </xf>
    <xf numFmtId="2" fontId="4" fillId="3" borderId="13" xfId="0" applyNumberFormat="1" applyFont="1" applyFill="1" applyBorder="1" applyAlignment="1" applyProtection="1">
      <alignment horizontal="left" vertical="center"/>
      <protection hidden="1"/>
    </xf>
    <xf numFmtId="2" fontId="15" fillId="3" borderId="13" xfId="0" applyNumberFormat="1" applyFont="1" applyFill="1" applyBorder="1" applyAlignment="1" applyProtection="1">
      <alignment horizontal="right" vertical="center"/>
      <protection hidden="1"/>
    </xf>
    <xf numFmtId="165" fontId="15" fillId="3" borderId="35" xfId="0" applyNumberFormat="1" applyFont="1" applyFill="1" applyBorder="1" applyAlignment="1" applyProtection="1">
      <alignment horizontal="center" vertical="center"/>
      <protection hidden="1"/>
    </xf>
    <xf numFmtId="164" fontId="15" fillId="3" borderId="15" xfId="0" applyNumberFormat="1" applyFont="1" applyFill="1" applyBorder="1" applyAlignment="1" applyProtection="1">
      <alignment horizontal="left" indent="2"/>
      <protection hidden="1"/>
    </xf>
    <xf numFmtId="0" fontId="4" fillId="3" borderId="16" xfId="4" applyFont="1" applyFill="1" applyBorder="1" applyProtection="1">
      <protection hidden="1"/>
    </xf>
    <xf numFmtId="0" fontId="4" fillId="3" borderId="33" xfId="4" applyFont="1" applyFill="1" applyBorder="1" applyProtection="1">
      <protection hidden="1"/>
    </xf>
    <xf numFmtId="2" fontId="3" fillId="2" borderId="30" xfId="0" applyNumberFormat="1" applyFont="1" applyFill="1" applyBorder="1" applyAlignment="1" applyProtection="1">
      <alignment horizontal="left" vertical="center"/>
      <protection hidden="1"/>
    </xf>
    <xf numFmtId="2" fontId="3" fillId="2" borderId="28" xfId="0" applyNumberFormat="1" applyFont="1" applyFill="1" applyBorder="1" applyAlignment="1" applyProtection="1">
      <alignment horizontal="left" vertical="center"/>
      <protection hidden="1"/>
    </xf>
    <xf numFmtId="166" fontId="3" fillId="2" borderId="0" xfId="0" applyNumberFormat="1" applyFont="1" applyFill="1" applyProtection="1">
      <protection hidden="1"/>
    </xf>
    <xf numFmtId="0" fontId="3" fillId="2" borderId="22" xfId="0" applyFont="1" applyFill="1" applyBorder="1" applyAlignment="1" applyProtection="1">
      <alignment horizontal="left" indent="2"/>
      <protection hidden="1"/>
    </xf>
    <xf numFmtId="0" fontId="3" fillId="2" borderId="25" xfId="0" applyFont="1" applyFill="1" applyBorder="1" applyProtection="1">
      <protection hidden="1"/>
    </xf>
    <xf numFmtId="0" fontId="3" fillId="2" borderId="18" xfId="0" applyFont="1" applyFill="1" applyBorder="1" applyProtection="1">
      <protection hidden="1"/>
    </xf>
    <xf numFmtId="0" fontId="3" fillId="2" borderId="19" xfId="0" applyFont="1" applyFill="1" applyBorder="1" applyProtection="1">
      <protection hidden="1"/>
    </xf>
    <xf numFmtId="164" fontId="5" fillId="2" borderId="18" xfId="0" applyNumberFormat="1" applyFont="1" applyFill="1" applyBorder="1" applyProtection="1">
      <protection hidden="1"/>
    </xf>
    <xf numFmtId="0" fontId="3" fillId="0" borderId="0" xfId="0" applyFont="1" applyProtection="1">
      <protection hidden="1"/>
    </xf>
    <xf numFmtId="0" fontId="5" fillId="2" borderId="16" xfId="0" applyFont="1" applyFill="1" applyBorder="1" applyAlignment="1" applyProtection="1">
      <alignment vertical="center"/>
      <protection hidden="1"/>
    </xf>
    <xf numFmtId="0" fontId="4" fillId="2" borderId="22" xfId="0" applyFont="1" applyFill="1" applyBorder="1" applyAlignment="1" applyProtection="1">
      <alignment vertical="center"/>
      <protection hidden="1"/>
    </xf>
    <xf numFmtId="165" fontId="3" fillId="0" borderId="0" xfId="9" applyNumberFormat="1" applyFont="1" applyFill="1" applyBorder="1" applyAlignment="1" applyProtection="1">
      <alignment horizontal="left" vertical="center"/>
      <protection hidden="1"/>
    </xf>
    <xf numFmtId="165" fontId="3" fillId="0" borderId="0" xfId="9" applyNumberFormat="1" applyFont="1" applyFill="1" applyBorder="1" applyAlignment="1" applyProtection="1">
      <alignment horizontal="center" vertical="center"/>
      <protection hidden="1"/>
    </xf>
    <xf numFmtId="0" fontId="5" fillId="2" borderId="0" xfId="6" applyFont="1" applyFill="1" applyAlignment="1" applyProtection="1">
      <alignment horizontal="left" vertical="center"/>
      <protection hidden="1"/>
    </xf>
    <xf numFmtId="165" fontId="5" fillId="2" borderId="0" xfId="0" applyNumberFormat="1" applyFont="1" applyFill="1" applyAlignment="1" applyProtection="1">
      <alignment horizontal="center" vertical="center"/>
      <protection hidden="1"/>
    </xf>
    <xf numFmtId="0" fontId="5" fillId="9" borderId="16" xfId="0" applyFont="1" applyFill="1" applyBorder="1" applyAlignment="1" applyProtection="1">
      <alignment vertical="center"/>
      <protection hidden="1"/>
    </xf>
    <xf numFmtId="2" fontId="5" fillId="9" borderId="16" xfId="0" applyNumberFormat="1" applyFont="1" applyFill="1" applyBorder="1" applyAlignment="1" applyProtection="1">
      <alignment horizontal="left" vertical="center"/>
      <protection hidden="1"/>
    </xf>
    <xf numFmtId="2" fontId="3" fillId="9" borderId="16" xfId="0" applyNumberFormat="1" applyFont="1" applyFill="1" applyBorder="1" applyAlignment="1" applyProtection="1">
      <alignment horizontal="left" vertical="center"/>
      <protection hidden="1"/>
    </xf>
    <xf numFmtId="164" fontId="36" fillId="2" borderId="0" xfId="0" applyNumberFormat="1" applyFont="1" applyFill="1" applyAlignment="1" applyProtection="1">
      <alignment horizontal="left"/>
      <protection hidden="1"/>
    </xf>
    <xf numFmtId="0" fontId="8" fillId="6" borderId="44" xfId="0" applyFont="1" applyFill="1" applyBorder="1" applyAlignment="1" applyProtection="1">
      <alignment horizontal="center" vertical="center"/>
      <protection hidden="1"/>
    </xf>
    <xf numFmtId="164" fontId="8" fillId="2" borderId="60" xfId="0" applyNumberFormat="1" applyFont="1" applyFill="1" applyBorder="1" applyAlignment="1" applyProtection="1">
      <alignment horizontal="center" vertical="center"/>
      <protection hidden="1"/>
    </xf>
    <xf numFmtId="164" fontId="6" fillId="2" borderId="18" xfId="0" applyNumberFormat="1" applyFont="1" applyFill="1" applyBorder="1" applyAlignment="1" applyProtection="1">
      <alignment vertical="center"/>
      <protection hidden="1"/>
    </xf>
    <xf numFmtId="164" fontId="6" fillId="2" borderId="22" xfId="0" applyNumberFormat="1" applyFont="1" applyFill="1" applyBorder="1" applyAlignment="1" applyProtection="1">
      <alignment horizontal="center" vertical="center"/>
      <protection hidden="1"/>
    </xf>
    <xf numFmtId="164" fontId="8" fillId="2" borderId="45" xfId="0" applyNumberFormat="1" applyFont="1" applyFill="1" applyBorder="1" applyAlignment="1" applyProtection="1">
      <alignment horizontal="center" vertical="center"/>
      <protection hidden="1"/>
    </xf>
    <xf numFmtId="164" fontId="6" fillId="2" borderId="19" xfId="0" applyNumberFormat="1" applyFont="1" applyFill="1" applyBorder="1" applyAlignment="1" applyProtection="1">
      <alignment vertical="center"/>
      <protection hidden="1"/>
    </xf>
    <xf numFmtId="0" fontId="8" fillId="6" borderId="30" xfId="0" applyFont="1" applyFill="1" applyBorder="1" applyAlignment="1" applyProtection="1">
      <alignment vertical="center"/>
      <protection hidden="1"/>
    </xf>
    <xf numFmtId="0" fontId="34" fillId="6" borderId="40" xfId="0" applyFont="1" applyFill="1" applyBorder="1" applyAlignment="1" applyProtection="1">
      <alignment horizontal="center" vertical="center" wrapText="1"/>
      <protection hidden="1"/>
    </xf>
    <xf numFmtId="0" fontId="34" fillId="6" borderId="41" xfId="0" applyFont="1" applyFill="1" applyBorder="1" applyAlignment="1" applyProtection="1">
      <alignment horizontal="center" vertical="center" wrapText="1"/>
      <protection hidden="1"/>
    </xf>
    <xf numFmtId="0" fontId="24" fillId="2" borderId="0" xfId="3" applyFont="1" applyFill="1" applyProtection="1">
      <protection hidden="1"/>
    </xf>
    <xf numFmtId="0" fontId="24" fillId="2" borderId="0" xfId="0" applyFont="1" applyFill="1" applyProtection="1">
      <protection hidden="1"/>
    </xf>
    <xf numFmtId="0" fontId="37" fillId="2" borderId="0" xfId="2" applyFont="1" applyFill="1" applyBorder="1" applyAlignment="1" applyProtection="1">
      <protection hidden="1"/>
    </xf>
    <xf numFmtId="0" fontId="24" fillId="2" borderId="5" xfId="0" applyFont="1" applyFill="1" applyBorder="1" applyProtection="1">
      <protection hidden="1"/>
    </xf>
    <xf numFmtId="0" fontId="24" fillId="2" borderId="7" xfId="0" applyFont="1" applyFill="1" applyBorder="1" applyProtection="1">
      <protection hidden="1"/>
    </xf>
    <xf numFmtId="0" fontId="37" fillId="2" borderId="7" xfId="2" applyFont="1" applyFill="1" applyBorder="1" applyAlignment="1" applyProtection="1">
      <protection hidden="1"/>
    </xf>
    <xf numFmtId="0" fontId="24" fillId="2" borderId="8" xfId="0" applyFont="1" applyFill="1" applyBorder="1" applyProtection="1">
      <protection hidden="1"/>
    </xf>
    <xf numFmtId="0" fontId="24" fillId="2" borderId="1" xfId="0" applyFont="1" applyFill="1" applyBorder="1" applyProtection="1">
      <protection hidden="1"/>
    </xf>
    <xf numFmtId="0" fontId="24" fillId="2" borderId="2" xfId="0" applyFont="1" applyFill="1" applyBorder="1" applyProtection="1">
      <protection hidden="1"/>
    </xf>
    <xf numFmtId="0" fontId="24" fillId="2" borderId="3" xfId="0" applyFont="1" applyFill="1" applyBorder="1" applyProtection="1">
      <protection hidden="1"/>
    </xf>
    <xf numFmtId="0" fontId="24" fillId="2" borderId="4" xfId="0" applyFont="1" applyFill="1" applyBorder="1" applyProtection="1">
      <protection hidden="1"/>
    </xf>
    <xf numFmtId="164" fontId="24" fillId="2" borderId="0" xfId="3" applyNumberFormat="1" applyFont="1" applyFill="1" applyProtection="1">
      <protection hidden="1"/>
    </xf>
    <xf numFmtId="0" fontId="24" fillId="2" borderId="5" xfId="3" applyFont="1" applyFill="1" applyBorder="1" applyProtection="1">
      <protection hidden="1"/>
    </xf>
    <xf numFmtId="0" fontId="24" fillId="2" borderId="107" xfId="0" applyFont="1" applyFill="1" applyBorder="1" applyProtection="1">
      <protection hidden="1"/>
    </xf>
    <xf numFmtId="0" fontId="24" fillId="2" borderId="2" xfId="3" applyFont="1" applyFill="1" applyBorder="1" applyProtection="1">
      <protection hidden="1"/>
    </xf>
    <xf numFmtId="0" fontId="24" fillId="2" borderId="3" xfId="3" applyFont="1" applyFill="1" applyBorder="1" applyProtection="1">
      <protection hidden="1"/>
    </xf>
    <xf numFmtId="0" fontId="11" fillId="2" borderId="28" xfId="3" applyFont="1" applyFill="1" applyBorder="1" applyProtection="1">
      <protection hidden="1"/>
    </xf>
    <xf numFmtId="0" fontId="24" fillId="2" borderId="18" xfId="3" applyFont="1" applyFill="1" applyBorder="1" applyProtection="1">
      <protection hidden="1"/>
    </xf>
    <xf numFmtId="164" fontId="11" fillId="2" borderId="0" xfId="3" applyNumberFormat="1" applyFont="1" applyFill="1" applyAlignment="1" applyProtection="1">
      <alignment horizontal="left"/>
      <protection hidden="1"/>
    </xf>
    <xf numFmtId="0" fontId="32" fillId="2" borderId="1" xfId="0" applyFont="1" applyFill="1" applyBorder="1" applyProtection="1">
      <protection hidden="1"/>
    </xf>
    <xf numFmtId="0" fontId="32" fillId="2" borderId="2" xfId="0" applyFont="1" applyFill="1" applyBorder="1" applyProtection="1">
      <protection hidden="1"/>
    </xf>
    <xf numFmtId="0" fontId="32" fillId="2" borderId="3" xfId="0" applyFont="1" applyFill="1" applyBorder="1" applyProtection="1">
      <protection hidden="1"/>
    </xf>
    <xf numFmtId="0" fontId="24" fillId="2" borderId="4" xfId="3" applyFont="1" applyFill="1" applyBorder="1" applyProtection="1">
      <protection hidden="1"/>
    </xf>
    <xf numFmtId="0" fontId="24" fillId="2" borderId="23" xfId="3" applyFont="1" applyFill="1" applyBorder="1" applyProtection="1">
      <protection hidden="1"/>
    </xf>
    <xf numFmtId="165" fontId="24" fillId="2" borderId="0" xfId="0" applyNumberFormat="1" applyFont="1" applyFill="1" applyAlignment="1" applyProtection="1">
      <alignment horizontal="center"/>
      <protection hidden="1"/>
    </xf>
    <xf numFmtId="166" fontId="24" fillId="2" borderId="0" xfId="0" applyNumberFormat="1" applyFont="1" applyFill="1" applyProtection="1">
      <protection hidden="1"/>
    </xf>
    <xf numFmtId="164" fontId="24" fillId="2" borderId="5" xfId="3" applyNumberFormat="1" applyFont="1" applyFill="1" applyBorder="1" applyProtection="1">
      <protection hidden="1"/>
    </xf>
    <xf numFmtId="0" fontId="11" fillId="2" borderId="0" xfId="3" applyFont="1" applyFill="1" applyAlignment="1" applyProtection="1">
      <alignment horizontal="left"/>
      <protection hidden="1"/>
    </xf>
    <xf numFmtId="0" fontId="24" fillId="2" borderId="21" xfId="0" applyFont="1" applyFill="1" applyBorder="1" applyProtection="1">
      <protection hidden="1"/>
    </xf>
    <xf numFmtId="0" fontId="34" fillId="2" borderId="0" xfId="0" applyFont="1" applyFill="1" applyProtection="1">
      <protection hidden="1"/>
    </xf>
    <xf numFmtId="164" fontId="11" fillId="0" borderId="0" xfId="3" applyNumberFormat="1" applyFont="1" applyAlignment="1" applyProtection="1">
      <alignment horizontal="left"/>
      <protection hidden="1"/>
    </xf>
    <xf numFmtId="164" fontId="3" fillId="2" borderId="0" xfId="5" applyNumberFormat="1" applyFill="1" applyAlignment="1" applyProtection="1">
      <alignment horizontal="left"/>
      <protection hidden="1"/>
    </xf>
    <xf numFmtId="165" fontId="3" fillId="2" borderId="0" xfId="5" applyNumberFormat="1" applyFill="1" applyAlignment="1" applyProtection="1">
      <alignment horizontal="center"/>
      <protection hidden="1"/>
    </xf>
    <xf numFmtId="0" fontId="34" fillId="2" borderId="22" xfId="0" applyFont="1" applyFill="1" applyBorder="1" applyProtection="1">
      <protection hidden="1"/>
    </xf>
    <xf numFmtId="0" fontId="24" fillId="2" borderId="22" xfId="0" applyFont="1" applyFill="1" applyBorder="1" applyProtection="1">
      <protection hidden="1"/>
    </xf>
    <xf numFmtId="0" fontId="34" fillId="2" borderId="18" xfId="0" applyFont="1" applyFill="1" applyBorder="1" applyProtection="1">
      <protection hidden="1"/>
    </xf>
    <xf numFmtId="0" fontId="40" fillId="2" borderId="3" xfId="0" applyFont="1" applyFill="1" applyBorder="1" applyAlignment="1">
      <alignment vertical="top" wrapText="1"/>
    </xf>
    <xf numFmtId="0" fontId="40" fillId="2" borderId="5" xfId="0" applyFont="1" applyFill="1" applyBorder="1" applyAlignment="1">
      <alignment vertical="top" wrapText="1"/>
    </xf>
    <xf numFmtId="0" fontId="40" fillId="2" borderId="0" xfId="0" applyFont="1" applyFill="1" applyAlignment="1">
      <alignment vertical="top" wrapText="1"/>
    </xf>
    <xf numFmtId="0" fontId="40" fillId="2" borderId="26" xfId="0" applyFont="1" applyFill="1" applyBorder="1" applyAlignment="1">
      <alignment vertical="top" wrapText="1"/>
    </xf>
    <xf numFmtId="0" fontId="40" fillId="2" borderId="7" xfId="0" applyFont="1" applyFill="1" applyBorder="1" applyAlignment="1">
      <alignment vertical="top" wrapText="1"/>
    </xf>
    <xf numFmtId="0" fontId="40" fillId="2" borderId="32" xfId="0" applyFont="1" applyFill="1" applyBorder="1" applyAlignment="1">
      <alignment vertical="top" wrapText="1"/>
    </xf>
    <xf numFmtId="0" fontId="40" fillId="2" borderId="8" xfId="0" applyFont="1" applyFill="1" applyBorder="1" applyAlignment="1">
      <alignment vertical="top" wrapText="1"/>
    </xf>
    <xf numFmtId="0" fontId="24" fillId="2" borderId="28" xfId="0" applyFont="1" applyFill="1" applyBorder="1" applyProtection="1">
      <protection hidden="1"/>
    </xf>
    <xf numFmtId="0" fontId="24" fillId="2" borderId="28" xfId="3" applyFont="1" applyFill="1" applyBorder="1" applyProtection="1">
      <protection hidden="1"/>
    </xf>
    <xf numFmtId="0" fontId="11" fillId="2" borderId="31" xfId="3" applyFont="1" applyFill="1" applyBorder="1" applyProtection="1">
      <protection hidden="1"/>
    </xf>
    <xf numFmtId="0" fontId="24" fillId="2" borderId="38" xfId="0" applyFont="1" applyFill="1" applyBorder="1" applyAlignment="1">
      <alignment horizontal="center" vertical="center" wrapText="1"/>
    </xf>
    <xf numFmtId="0" fontId="24" fillId="2" borderId="7" xfId="3" applyFont="1" applyFill="1" applyBorder="1" applyProtection="1">
      <protection hidden="1"/>
    </xf>
    <xf numFmtId="2" fontId="20" fillId="3" borderId="40" xfId="0" applyNumberFormat="1" applyFont="1" applyFill="1" applyBorder="1" applyAlignment="1">
      <alignment horizontal="center" vertical="center"/>
    </xf>
    <xf numFmtId="2" fontId="20" fillId="3" borderId="41" xfId="0" applyNumberFormat="1" applyFont="1" applyFill="1" applyBorder="1" applyAlignment="1">
      <alignment horizontal="center" vertical="center"/>
    </xf>
    <xf numFmtId="2" fontId="20" fillId="3" borderId="24" xfId="0" applyNumberFormat="1" applyFont="1" applyFill="1" applyBorder="1" applyAlignment="1">
      <alignment horizontal="center" vertical="center"/>
    </xf>
    <xf numFmtId="2" fontId="20" fillId="3" borderId="42" xfId="0" applyNumberFormat="1" applyFont="1" applyFill="1" applyBorder="1" applyAlignment="1">
      <alignment horizontal="center" vertical="center"/>
    </xf>
    <xf numFmtId="2" fontId="20" fillId="3" borderId="43" xfId="0" applyNumberFormat="1" applyFont="1" applyFill="1" applyBorder="1" applyAlignment="1">
      <alignment horizontal="center" vertical="center"/>
    </xf>
    <xf numFmtId="171" fontId="34" fillId="0" borderId="17" xfId="0" applyNumberFormat="1" applyFont="1" applyBorder="1" applyAlignment="1">
      <alignment horizontal="center"/>
    </xf>
    <xf numFmtId="171" fontId="42" fillId="0" borderId="38" xfId="0" applyNumberFormat="1" applyFont="1" applyBorder="1" applyAlignment="1">
      <alignment horizontal="center" vertical="center"/>
    </xf>
    <xf numFmtId="171" fontId="42" fillId="0" borderId="39" xfId="0" applyNumberFormat="1" applyFont="1" applyBorder="1" applyAlignment="1">
      <alignment horizontal="center" vertical="center"/>
    </xf>
    <xf numFmtId="171" fontId="34" fillId="0" borderId="37" xfId="0" applyNumberFormat="1" applyFont="1" applyBorder="1" applyAlignment="1">
      <alignment horizontal="center"/>
    </xf>
    <xf numFmtId="171" fontId="42" fillId="2" borderId="38" xfId="0" applyNumberFormat="1" applyFont="1" applyFill="1" applyBorder="1" applyAlignment="1">
      <alignment horizontal="center" vertical="center"/>
    </xf>
    <xf numFmtId="171" fontId="20" fillId="3" borderId="40" xfId="0" applyNumberFormat="1" applyFont="1" applyFill="1" applyBorder="1" applyAlignment="1">
      <alignment horizontal="center" vertical="center"/>
    </xf>
    <xf numFmtId="171" fontId="20" fillId="3" borderId="41" xfId="0" applyNumberFormat="1" applyFont="1" applyFill="1" applyBorder="1" applyAlignment="1">
      <alignment horizontal="center" vertical="center"/>
    </xf>
    <xf numFmtId="171" fontId="20" fillId="3" borderId="42" xfId="0" applyNumberFormat="1" applyFont="1" applyFill="1" applyBorder="1" applyAlignment="1">
      <alignment horizontal="center" vertical="center"/>
    </xf>
    <xf numFmtId="0" fontId="34" fillId="0" borderId="37" xfId="0" applyFont="1" applyBorder="1" applyAlignment="1">
      <alignment horizontal="center"/>
    </xf>
    <xf numFmtId="172" fontId="42" fillId="0" borderId="39" xfId="0" applyNumberFormat="1" applyFont="1" applyBorder="1" applyAlignment="1">
      <alignment horizontal="center" vertical="center"/>
    </xf>
    <xf numFmtId="172" fontId="42" fillId="0" borderId="51" xfId="0" applyNumberFormat="1" applyFont="1" applyBorder="1" applyAlignment="1">
      <alignment horizontal="center" vertical="center"/>
    </xf>
    <xf numFmtId="0" fontId="24" fillId="2" borderId="38" xfId="3" applyFont="1" applyFill="1" applyBorder="1" applyProtection="1">
      <protection hidden="1"/>
    </xf>
    <xf numFmtId="0" fontId="24" fillId="2" borderId="27" xfId="3" applyFont="1" applyFill="1" applyBorder="1" applyAlignment="1" applyProtection="1">
      <alignment horizontal="right"/>
      <protection hidden="1"/>
    </xf>
    <xf numFmtId="164" fontId="24" fillId="2" borderId="31" xfId="3" applyNumberFormat="1" applyFont="1" applyFill="1" applyBorder="1" applyAlignment="1" applyProtection="1">
      <alignment horizontal="left" indent="1"/>
      <protection hidden="1"/>
    </xf>
    <xf numFmtId="0" fontId="24" fillId="2" borderId="22" xfId="3" applyFont="1" applyFill="1" applyBorder="1" applyAlignment="1" applyProtection="1">
      <alignment horizontal="right"/>
      <protection hidden="1"/>
    </xf>
    <xf numFmtId="164" fontId="24" fillId="2" borderId="5" xfId="3" applyNumberFormat="1" applyFont="1" applyFill="1" applyBorder="1" applyAlignment="1" applyProtection="1">
      <alignment horizontal="left" indent="1"/>
      <protection hidden="1"/>
    </xf>
    <xf numFmtId="0" fontId="24" fillId="2" borderId="25" xfId="3" applyFont="1" applyFill="1" applyBorder="1" applyAlignment="1" applyProtection="1">
      <alignment horizontal="right"/>
      <protection hidden="1"/>
    </xf>
    <xf numFmtId="164" fontId="24" fillId="2" borderId="19" xfId="3" applyNumberFormat="1" applyFont="1" applyFill="1" applyBorder="1" applyAlignment="1" applyProtection="1">
      <alignment horizontal="left" indent="2"/>
      <protection hidden="1"/>
    </xf>
    <xf numFmtId="0" fontId="28" fillId="3" borderId="15" xfId="3" applyFont="1" applyFill="1" applyBorder="1" applyProtection="1">
      <protection hidden="1"/>
    </xf>
    <xf numFmtId="0" fontId="28" fillId="3" borderId="16" xfId="3" applyFont="1" applyFill="1" applyBorder="1" applyProtection="1">
      <protection hidden="1"/>
    </xf>
    <xf numFmtId="0" fontId="28" fillId="3" borderId="33" xfId="3" applyFont="1" applyFill="1" applyBorder="1" applyProtection="1">
      <protection hidden="1"/>
    </xf>
    <xf numFmtId="0" fontId="33" fillId="3" borderId="15" xfId="3" applyFont="1" applyFill="1" applyBorder="1" applyAlignment="1" applyProtection="1">
      <alignment horizontal="center"/>
      <protection hidden="1"/>
    </xf>
    <xf numFmtId="0" fontId="33" fillId="3" borderId="17" xfId="3" applyFont="1" applyFill="1" applyBorder="1" applyAlignment="1" applyProtection="1">
      <alignment horizontal="center"/>
      <protection hidden="1"/>
    </xf>
    <xf numFmtId="164" fontId="24" fillId="2" borderId="15" xfId="3" applyNumberFormat="1" applyFont="1" applyFill="1" applyBorder="1" applyAlignment="1" applyProtection="1">
      <alignment horizontal="left" indent="4"/>
      <protection hidden="1"/>
    </xf>
    <xf numFmtId="164" fontId="24" fillId="2" borderId="33" xfId="3" applyNumberFormat="1" applyFont="1" applyFill="1" applyBorder="1" applyAlignment="1" applyProtection="1">
      <alignment horizontal="left" indent="4"/>
      <protection hidden="1"/>
    </xf>
    <xf numFmtId="0" fontId="43" fillId="0" borderId="0" xfId="0" applyFont="1"/>
    <xf numFmtId="0" fontId="24" fillId="0" borderId="0" xfId="0" applyFont="1"/>
    <xf numFmtId="0" fontId="33" fillId="3" borderId="0" xfId="3" applyFont="1" applyFill="1" applyProtection="1">
      <protection hidden="1"/>
    </xf>
    <xf numFmtId="0" fontId="24" fillId="3" borderId="0" xfId="3" applyFont="1" applyFill="1" applyProtection="1">
      <protection hidden="1"/>
    </xf>
    <xf numFmtId="0" fontId="24" fillId="3" borderId="5" xfId="3" applyFont="1" applyFill="1" applyBorder="1" applyProtection="1">
      <protection hidden="1"/>
    </xf>
    <xf numFmtId="0" fontId="28" fillId="3" borderId="22" xfId="3" applyFont="1" applyFill="1" applyBorder="1" applyProtection="1">
      <protection hidden="1"/>
    </xf>
    <xf numFmtId="0" fontId="28" fillId="3" borderId="0" xfId="3" applyFont="1" applyFill="1" applyProtection="1">
      <protection hidden="1"/>
    </xf>
    <xf numFmtId="0" fontId="28" fillId="3" borderId="5" xfId="3" applyFont="1" applyFill="1" applyBorder="1" applyProtection="1">
      <protection hidden="1"/>
    </xf>
    <xf numFmtId="164" fontId="24" fillId="2" borderId="38" xfId="3" applyNumberFormat="1" applyFont="1" applyFill="1" applyBorder="1" applyAlignment="1" applyProtection="1">
      <alignment horizontal="left" indent="4"/>
      <protection hidden="1"/>
    </xf>
    <xf numFmtId="164" fontId="24" fillId="2" borderId="39" xfId="3" applyNumberFormat="1" applyFont="1" applyFill="1" applyBorder="1" applyAlignment="1" applyProtection="1">
      <alignment horizontal="left" indent="4"/>
      <protection hidden="1"/>
    </xf>
    <xf numFmtId="0" fontId="24" fillId="2" borderId="15" xfId="3" applyFont="1" applyFill="1" applyBorder="1" applyAlignment="1" applyProtection="1">
      <alignment horizontal="right"/>
      <protection hidden="1"/>
    </xf>
    <xf numFmtId="164" fontId="24" fillId="2" borderId="17" xfId="3" applyNumberFormat="1" applyFont="1" applyFill="1" applyBorder="1" applyAlignment="1" applyProtection="1">
      <alignment horizontal="left" indent="1"/>
      <protection hidden="1"/>
    </xf>
    <xf numFmtId="164" fontId="24" fillId="2" borderId="17" xfId="3" applyNumberFormat="1" applyFont="1" applyFill="1" applyBorder="1" applyAlignment="1" applyProtection="1">
      <alignment horizontal="left" indent="2"/>
      <protection hidden="1"/>
    </xf>
    <xf numFmtId="0" fontId="39" fillId="2" borderId="18" xfId="3" applyFont="1" applyFill="1" applyBorder="1" applyAlignment="1" applyProtection="1">
      <alignment horizontal="left"/>
      <protection hidden="1"/>
    </xf>
    <xf numFmtId="0" fontId="39" fillId="2" borderId="24" xfId="3" applyFont="1" applyFill="1" applyBorder="1" applyAlignment="1" applyProtection="1">
      <alignment horizontal="left"/>
      <protection hidden="1"/>
    </xf>
    <xf numFmtId="0" fontId="39" fillId="2" borderId="27" xfId="3" applyFont="1" applyFill="1" applyBorder="1" applyProtection="1">
      <protection hidden="1"/>
    </xf>
    <xf numFmtId="0" fontId="39" fillId="2" borderId="28" xfId="3" applyFont="1" applyFill="1" applyBorder="1" applyProtection="1">
      <protection hidden="1"/>
    </xf>
    <xf numFmtId="0" fontId="38" fillId="2" borderId="28" xfId="3" applyFont="1" applyFill="1" applyBorder="1" applyAlignment="1" applyProtection="1">
      <alignment wrapText="1"/>
      <protection hidden="1"/>
    </xf>
    <xf numFmtId="0" fontId="38" fillId="2" borderId="28" xfId="3" applyFont="1" applyFill="1" applyBorder="1" applyProtection="1">
      <protection hidden="1"/>
    </xf>
    <xf numFmtId="0" fontId="32" fillId="2" borderId="22" xfId="3" applyFont="1" applyFill="1" applyBorder="1" applyProtection="1">
      <protection hidden="1"/>
    </xf>
    <xf numFmtId="9" fontId="24" fillId="2" borderId="0" xfId="3" applyNumberFormat="1" applyFont="1" applyFill="1" applyAlignment="1" applyProtection="1">
      <alignment wrapText="1"/>
      <protection hidden="1"/>
    </xf>
    <xf numFmtId="0" fontId="24" fillId="2" borderId="0" xfId="3" applyFont="1" applyFill="1" applyAlignment="1" applyProtection="1">
      <alignment wrapText="1"/>
      <protection hidden="1"/>
    </xf>
    <xf numFmtId="9" fontId="24" fillId="2" borderId="0" xfId="3" applyNumberFormat="1" applyFont="1" applyFill="1" applyProtection="1">
      <protection hidden="1"/>
    </xf>
    <xf numFmtId="171" fontId="20" fillId="3" borderId="43" xfId="0" applyNumberFormat="1" applyFont="1" applyFill="1" applyBorder="1" applyAlignment="1">
      <alignment horizontal="center" vertical="center"/>
    </xf>
    <xf numFmtId="172" fontId="42" fillId="0" borderId="38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/>
    </xf>
    <xf numFmtId="172" fontId="42" fillId="0" borderId="50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/>
    </xf>
    <xf numFmtId="0" fontId="33" fillId="3" borderId="44" xfId="0" applyFont="1" applyFill="1" applyBorder="1"/>
    <xf numFmtId="2" fontId="20" fillId="7" borderId="40" xfId="0" applyNumberFormat="1" applyFont="1" applyFill="1" applyBorder="1" applyAlignment="1">
      <alignment horizontal="center" vertical="center"/>
    </xf>
    <xf numFmtId="2" fontId="20" fillId="6" borderId="40" xfId="0" applyNumberFormat="1" applyFont="1" applyFill="1" applyBorder="1" applyAlignment="1">
      <alignment horizontal="center" vertical="center"/>
    </xf>
    <xf numFmtId="0" fontId="33" fillId="3" borderId="45" xfId="0" applyFont="1" applyFill="1" applyBorder="1"/>
    <xf numFmtId="2" fontId="20" fillId="7" borderId="42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33" fillId="3" borderId="37" xfId="0" applyFont="1" applyFill="1" applyBorder="1"/>
    <xf numFmtId="176" fontId="24" fillId="0" borderId="38" xfId="1" applyNumberFormat="1" applyFont="1" applyBorder="1" applyAlignment="1">
      <alignment horizontal="center" vertical="center"/>
    </xf>
    <xf numFmtId="176" fontId="24" fillId="8" borderId="38" xfId="1" applyNumberFormat="1" applyFont="1" applyFill="1" applyBorder="1" applyAlignment="1">
      <alignment horizontal="center" vertical="center"/>
    </xf>
    <xf numFmtId="176" fontId="24" fillId="8" borderId="39" xfId="1" applyNumberFormat="1" applyFont="1" applyFill="1" applyBorder="1" applyAlignment="1">
      <alignment horizontal="center" vertical="center"/>
    </xf>
    <xf numFmtId="176" fontId="38" fillId="9" borderId="38" xfId="1" applyNumberFormat="1" applyFont="1" applyFill="1" applyBorder="1" applyAlignment="1">
      <alignment horizontal="center" vertical="center"/>
    </xf>
    <xf numFmtId="176" fontId="38" fillId="9" borderId="39" xfId="1" applyNumberFormat="1" applyFont="1" applyFill="1" applyBorder="1" applyAlignment="1">
      <alignment horizontal="center" vertical="center"/>
    </xf>
    <xf numFmtId="171" fontId="42" fillId="2" borderId="39" xfId="0" applyNumberFormat="1" applyFont="1" applyFill="1" applyBorder="1" applyAlignment="1">
      <alignment horizontal="center" vertical="center"/>
    </xf>
    <xf numFmtId="0" fontId="33" fillId="3" borderId="52" xfId="0" applyFont="1" applyFill="1" applyBorder="1"/>
    <xf numFmtId="176" fontId="24" fillId="0" borderId="50" xfId="1" applyNumberFormat="1" applyFont="1" applyBorder="1" applyAlignment="1">
      <alignment horizontal="center" vertical="center"/>
    </xf>
    <xf numFmtId="176" fontId="24" fillId="8" borderId="50" xfId="1" applyNumberFormat="1" applyFont="1" applyFill="1" applyBorder="1" applyAlignment="1">
      <alignment horizontal="center" vertical="center"/>
    </xf>
    <xf numFmtId="176" fontId="24" fillId="8" borderId="51" xfId="1" applyNumberFormat="1" applyFont="1" applyFill="1" applyBorder="1" applyAlignment="1">
      <alignment horizontal="center" vertical="center"/>
    </xf>
    <xf numFmtId="176" fontId="38" fillId="9" borderId="50" xfId="1" applyNumberFormat="1" applyFont="1" applyFill="1" applyBorder="1" applyAlignment="1">
      <alignment horizontal="center" vertical="center"/>
    </xf>
    <xf numFmtId="176" fontId="38" fillId="9" borderId="51" xfId="1" applyNumberFormat="1" applyFont="1" applyFill="1" applyBorder="1" applyAlignment="1">
      <alignment horizontal="center" vertical="center"/>
    </xf>
    <xf numFmtId="2" fontId="20" fillId="3" borderId="29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/>
    </xf>
    <xf numFmtId="164" fontId="24" fillId="0" borderId="17" xfId="0" applyNumberFormat="1" applyFont="1" applyBorder="1" applyAlignment="1">
      <alignment horizontal="center" vertical="center"/>
    </xf>
    <xf numFmtId="164" fontId="24" fillId="0" borderId="38" xfId="0" applyNumberFormat="1" applyFont="1" applyBorder="1" applyAlignment="1">
      <alignment horizontal="center" vertical="center"/>
    </xf>
    <xf numFmtId="0" fontId="33" fillId="3" borderId="17" xfId="0" applyFont="1" applyFill="1" applyBorder="1"/>
    <xf numFmtId="0" fontId="33" fillId="3" borderId="49" xfId="0" applyFont="1" applyFill="1" applyBorder="1"/>
    <xf numFmtId="164" fontId="24" fillId="0" borderId="49" xfId="0" applyNumberFormat="1" applyFont="1" applyBorder="1" applyAlignment="1">
      <alignment horizontal="center" vertical="center"/>
    </xf>
    <xf numFmtId="164" fontId="24" fillId="0" borderId="50" xfId="0" applyNumberFormat="1" applyFont="1" applyBorder="1" applyAlignment="1">
      <alignment horizontal="center" vertical="center"/>
    </xf>
    <xf numFmtId="0" fontId="33" fillId="3" borderId="36" xfId="0" applyFont="1" applyFill="1" applyBorder="1" applyAlignment="1">
      <alignment horizontal="center"/>
    </xf>
    <xf numFmtId="0" fontId="33" fillId="3" borderId="24" xfId="0" applyFont="1" applyFill="1" applyBorder="1" applyAlignment="1">
      <alignment horizontal="center"/>
    </xf>
    <xf numFmtId="164" fontId="24" fillId="0" borderId="17" xfId="0" applyNumberFormat="1" applyFont="1" applyBorder="1"/>
    <xf numFmtId="171" fontId="42" fillId="2" borderId="42" xfId="0" applyNumberFormat="1" applyFont="1" applyFill="1" applyBorder="1" applyAlignment="1">
      <alignment horizontal="center" vertical="center"/>
    </xf>
    <xf numFmtId="0" fontId="24" fillId="0" borderId="5" xfId="0" applyFont="1" applyBorder="1"/>
    <xf numFmtId="0" fontId="24" fillId="0" borderId="6" xfId="0" applyFont="1" applyBorder="1"/>
    <xf numFmtId="0" fontId="24" fillId="0" borderId="7" xfId="0" applyFont="1" applyBorder="1"/>
    <xf numFmtId="0" fontId="24" fillId="0" borderId="8" xfId="0" applyFont="1" applyBorder="1"/>
    <xf numFmtId="0" fontId="24" fillId="10" borderId="0" xfId="0" applyFont="1" applyFill="1"/>
    <xf numFmtId="0" fontId="24" fillId="10" borderId="4" xfId="0" applyFont="1" applyFill="1" applyBorder="1"/>
    <xf numFmtId="0" fontId="34" fillId="2" borderId="0" xfId="3" applyFont="1" applyFill="1" applyProtection="1">
      <protection hidden="1"/>
    </xf>
    <xf numFmtId="10" fontId="24" fillId="10" borderId="0" xfId="0" applyNumberFormat="1" applyFont="1" applyFill="1"/>
    <xf numFmtId="0" fontId="34" fillId="2" borderId="6" xfId="3" applyFont="1" applyFill="1" applyBorder="1" applyAlignment="1" applyProtection="1">
      <alignment horizontal="left" vertical="center"/>
      <protection hidden="1"/>
    </xf>
    <xf numFmtId="0" fontId="34" fillId="2" borderId="7" xfId="3" applyFont="1" applyFill="1" applyBorder="1" applyAlignment="1" applyProtection="1">
      <alignment horizontal="left" vertical="center"/>
      <protection hidden="1"/>
    </xf>
    <xf numFmtId="0" fontId="24" fillId="2" borderId="8" xfId="3" applyFont="1" applyFill="1" applyBorder="1" applyProtection="1">
      <protection hidden="1"/>
    </xf>
    <xf numFmtId="176" fontId="24" fillId="0" borderId="39" xfId="1" applyNumberFormat="1" applyFont="1" applyFill="1" applyBorder="1"/>
    <xf numFmtId="176" fontId="24" fillId="0" borderId="51" xfId="1" applyNumberFormat="1" applyFont="1" applyFill="1" applyBorder="1"/>
    <xf numFmtId="164" fontId="34" fillId="2" borderId="0" xfId="3" applyNumberFormat="1" applyFont="1" applyFill="1" applyProtection="1">
      <protection hidden="1"/>
    </xf>
    <xf numFmtId="0" fontId="44" fillId="2" borderId="0" xfId="3" applyFont="1" applyFill="1" applyProtection="1">
      <protection hidden="1"/>
    </xf>
    <xf numFmtId="0" fontId="45" fillId="2" borderId="0" xfId="3" applyFont="1" applyFill="1" applyProtection="1">
      <protection hidden="1"/>
    </xf>
    <xf numFmtId="164" fontId="46" fillId="0" borderId="0" xfId="0" applyNumberFormat="1" applyFont="1" applyAlignment="1">
      <alignment horizontal="center" vertical="center"/>
    </xf>
    <xf numFmtId="0" fontId="47" fillId="2" borderId="0" xfId="0" applyFont="1" applyFill="1" applyAlignment="1" applyProtection="1">
      <alignment horizontal="center" vertical="top"/>
      <protection hidden="1"/>
    </xf>
    <xf numFmtId="0" fontId="34" fillId="2" borderId="0" xfId="0" applyFont="1" applyFill="1" applyAlignment="1" applyProtection="1">
      <alignment horizontal="center"/>
      <protection hidden="1"/>
    </xf>
    <xf numFmtId="0" fontId="48" fillId="2" borderId="1" xfId="0" applyFont="1" applyFill="1" applyBorder="1" applyProtection="1">
      <protection hidden="1"/>
    </xf>
    <xf numFmtId="0" fontId="48" fillId="2" borderId="2" xfId="0" applyFont="1" applyFill="1" applyBorder="1" applyProtection="1">
      <protection hidden="1"/>
    </xf>
    <xf numFmtId="0" fontId="48" fillId="2" borderId="4" xfId="0" applyFont="1" applyFill="1" applyBorder="1" applyProtection="1">
      <protection hidden="1"/>
    </xf>
    <xf numFmtId="0" fontId="48" fillId="2" borderId="0" xfId="0" applyFont="1" applyFill="1" applyProtection="1">
      <protection hidden="1"/>
    </xf>
    <xf numFmtId="0" fontId="45" fillId="2" borderId="0" xfId="0" applyFont="1" applyFill="1" applyProtection="1">
      <protection hidden="1"/>
    </xf>
    <xf numFmtId="0" fontId="48" fillId="2" borderId="5" xfId="0" applyFont="1" applyFill="1" applyBorder="1" applyProtection="1">
      <protection hidden="1"/>
    </xf>
    <xf numFmtId="0" fontId="49" fillId="2" borderId="4" xfId="0" applyFont="1" applyFill="1" applyBorder="1" applyAlignment="1" applyProtection="1">
      <alignment horizontal="left"/>
      <protection hidden="1"/>
    </xf>
    <xf numFmtId="0" fontId="48" fillId="2" borderId="0" xfId="0" applyFont="1" applyFill="1" applyAlignment="1" applyProtection="1">
      <alignment horizontal="centerContinuous"/>
      <protection hidden="1"/>
    </xf>
    <xf numFmtId="0" fontId="50" fillId="2" borderId="0" xfId="2" applyFont="1" applyFill="1" applyBorder="1" applyAlignment="1" applyProtection="1">
      <protection hidden="1"/>
    </xf>
    <xf numFmtId="0" fontId="49" fillId="2" borderId="0" xfId="0" applyFont="1" applyFill="1" applyAlignment="1" applyProtection="1">
      <alignment horizontal="center"/>
      <protection hidden="1"/>
    </xf>
    <xf numFmtId="0" fontId="45" fillId="2" borderId="5" xfId="0" applyFont="1" applyFill="1" applyBorder="1" applyProtection="1">
      <protection hidden="1"/>
    </xf>
    <xf numFmtId="0" fontId="45" fillId="2" borderId="0" xfId="3" applyFont="1" applyFill="1" applyAlignment="1" applyProtection="1">
      <alignment vertical="center"/>
      <protection hidden="1"/>
    </xf>
    <xf numFmtId="0" fontId="48" fillId="2" borderId="6" xfId="0" applyFont="1" applyFill="1" applyBorder="1" applyProtection="1">
      <protection hidden="1"/>
    </xf>
    <xf numFmtId="0" fontId="45" fillId="2" borderId="7" xfId="0" applyFont="1" applyFill="1" applyBorder="1" applyProtection="1">
      <protection hidden="1"/>
    </xf>
    <xf numFmtId="0" fontId="50" fillId="2" borderId="7" xfId="2" applyFont="1" applyFill="1" applyBorder="1" applyAlignment="1" applyProtection="1">
      <protection hidden="1"/>
    </xf>
    <xf numFmtId="0" fontId="48" fillId="2" borderId="7" xfId="0" applyFont="1" applyFill="1" applyBorder="1" applyProtection="1">
      <protection hidden="1"/>
    </xf>
    <xf numFmtId="0" fontId="45" fillId="2" borderId="8" xfId="0" applyFont="1" applyFill="1" applyBorder="1" applyProtection="1">
      <protection hidden="1"/>
    </xf>
    <xf numFmtId="0" fontId="44" fillId="2" borderId="4" xfId="0" applyFont="1" applyFill="1" applyBorder="1" applyProtection="1">
      <protection hidden="1"/>
    </xf>
    <xf numFmtId="0" fontId="44" fillId="2" borderId="0" xfId="0" applyFont="1" applyFill="1" applyProtection="1">
      <protection hidden="1"/>
    </xf>
    <xf numFmtId="0" fontId="44" fillId="2" borderId="5" xfId="0" applyFont="1" applyFill="1" applyBorder="1" applyProtection="1">
      <protection hidden="1"/>
    </xf>
    <xf numFmtId="0" fontId="44" fillId="2" borderId="107" xfId="0" applyFont="1" applyFill="1" applyBorder="1" applyProtection="1">
      <protection hidden="1"/>
    </xf>
    <xf numFmtId="0" fontId="44" fillId="2" borderId="2" xfId="0" applyFont="1" applyFill="1" applyBorder="1" applyProtection="1">
      <protection hidden="1"/>
    </xf>
    <xf numFmtId="0" fontId="51" fillId="2" borderId="2" xfId="0" applyFont="1" applyFill="1" applyBorder="1" applyProtection="1">
      <protection hidden="1"/>
    </xf>
    <xf numFmtId="164" fontId="51" fillId="2" borderId="2" xfId="0" applyNumberFormat="1" applyFont="1" applyFill="1" applyBorder="1" applyAlignment="1" applyProtection="1">
      <alignment horizontal="center" shrinkToFit="1"/>
      <protection hidden="1"/>
    </xf>
    <xf numFmtId="0" fontId="44" fillId="2" borderId="2" xfId="3" applyFont="1" applyFill="1" applyBorder="1" applyProtection="1">
      <protection hidden="1"/>
    </xf>
    <xf numFmtId="0" fontId="44" fillId="2" borderId="3" xfId="3" applyFont="1" applyFill="1" applyBorder="1" applyProtection="1">
      <protection hidden="1"/>
    </xf>
    <xf numFmtId="164" fontId="11" fillId="2" borderId="0" xfId="3" applyNumberFormat="1" applyFont="1" applyFill="1" applyProtection="1">
      <protection hidden="1"/>
    </xf>
    <xf numFmtId="164" fontId="11" fillId="0" borderId="0" xfId="3" applyNumberFormat="1" applyFont="1" applyProtection="1">
      <protection hidden="1"/>
    </xf>
    <xf numFmtId="0" fontId="12" fillId="2" borderId="18" xfId="3" applyFont="1" applyFill="1" applyBorder="1" applyAlignment="1" applyProtection="1">
      <alignment horizontal="center"/>
      <protection hidden="1"/>
    </xf>
    <xf numFmtId="0" fontId="11" fillId="2" borderId="4" xfId="3" applyFont="1" applyFill="1" applyBorder="1" applyProtection="1">
      <protection hidden="1"/>
    </xf>
    <xf numFmtId="164" fontId="3" fillId="0" borderId="0" xfId="0" applyNumberFormat="1" applyFont="1" applyAlignment="1" applyProtection="1">
      <alignment horizontal="left" vertical="center"/>
      <protection hidden="1"/>
    </xf>
    <xf numFmtId="2" fontId="3" fillId="0" borderId="0" xfId="0" applyNumberFormat="1" applyFont="1" applyAlignment="1" applyProtection="1">
      <alignment horizontal="left" vertical="center"/>
      <protection hidden="1"/>
    </xf>
    <xf numFmtId="0" fontId="8" fillId="6" borderId="15" xfId="0" applyFont="1" applyFill="1" applyBorder="1" applyAlignment="1" applyProtection="1">
      <alignment horizontal="center" vertical="center"/>
      <protection hidden="1"/>
    </xf>
    <xf numFmtId="2" fontId="5" fillId="2" borderId="15" xfId="0" applyNumberFormat="1" applyFont="1" applyFill="1" applyBorder="1" applyAlignment="1" applyProtection="1">
      <alignment horizontal="left" vertical="center"/>
      <protection hidden="1"/>
    </xf>
    <xf numFmtId="2" fontId="3" fillId="2" borderId="22" xfId="0" applyNumberFormat="1" applyFont="1" applyFill="1" applyBorder="1" applyAlignment="1" applyProtection="1">
      <alignment horizontal="left" vertical="center" indent="1"/>
      <protection hidden="1"/>
    </xf>
    <xf numFmtId="164" fontId="3" fillId="0" borderId="0" xfId="0" applyNumberFormat="1" applyFont="1" applyAlignment="1" applyProtection="1">
      <alignment horizontal="right" vertical="center"/>
      <protection hidden="1"/>
    </xf>
    <xf numFmtId="165" fontId="3" fillId="0" borderId="21" xfId="0" applyNumberFormat="1" applyFont="1" applyBorder="1" applyAlignment="1" applyProtection="1">
      <alignment horizontal="left" vertical="center"/>
      <protection hidden="1"/>
    </xf>
    <xf numFmtId="165" fontId="3" fillId="0" borderId="0" xfId="0" applyNumberFormat="1" applyFont="1" applyAlignment="1" applyProtection="1">
      <alignment horizontal="right" vertical="center"/>
      <protection hidden="1"/>
    </xf>
    <xf numFmtId="165" fontId="3" fillId="2" borderId="17" xfId="0" applyNumberFormat="1" applyFont="1" applyFill="1" applyBorder="1" applyAlignment="1" applyProtection="1">
      <alignment horizontal="center" vertical="center"/>
      <protection hidden="1"/>
    </xf>
    <xf numFmtId="2" fontId="3" fillId="2" borderId="22" xfId="0" applyNumberFormat="1" applyFont="1" applyFill="1" applyBorder="1" applyAlignment="1" applyProtection="1">
      <alignment horizontal="left" vertical="center"/>
      <protection hidden="1"/>
    </xf>
    <xf numFmtId="0" fontId="5" fillId="9" borderId="0" xfId="6" applyFont="1" applyFill="1" applyAlignment="1" applyProtection="1">
      <alignment horizontal="left" vertical="center"/>
      <protection hidden="1"/>
    </xf>
    <xf numFmtId="165" fontId="13" fillId="9" borderId="0" xfId="0" applyNumberFormat="1" applyFont="1" applyFill="1" applyAlignment="1" applyProtection="1">
      <alignment horizontal="center" vertical="center"/>
      <protection hidden="1"/>
    </xf>
    <xf numFmtId="165" fontId="5" fillId="9" borderId="0" xfId="0" applyNumberFormat="1" applyFont="1" applyFill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164" fontId="3" fillId="0" borderId="0" xfId="0" applyNumberFormat="1" applyFont="1" applyAlignment="1" applyProtection="1">
      <alignment horizontal="center" vertical="center"/>
      <protection hidden="1"/>
    </xf>
    <xf numFmtId="165" fontId="3" fillId="0" borderId="21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vertical="center"/>
      <protection hidden="1"/>
    </xf>
    <xf numFmtId="165" fontId="3" fillId="2" borderId="17" xfId="0" applyNumberFormat="1" applyFont="1" applyFill="1" applyBorder="1" applyAlignment="1" applyProtection="1">
      <alignment horizontal="right" vertical="center"/>
      <protection hidden="1"/>
    </xf>
    <xf numFmtId="164" fontId="3" fillId="2" borderId="22" xfId="0" applyNumberFormat="1" applyFont="1" applyFill="1" applyBorder="1" applyAlignment="1" applyProtection="1">
      <alignment horizontal="left" vertical="center"/>
      <protection hidden="1"/>
    </xf>
    <xf numFmtId="165" fontId="13" fillId="2" borderId="29" xfId="0" applyNumberFormat="1" applyFont="1" applyFill="1" applyBorder="1" applyAlignment="1" applyProtection="1">
      <alignment horizontal="center" vertical="center"/>
      <protection hidden="1"/>
    </xf>
    <xf numFmtId="164" fontId="3" fillId="0" borderId="22" xfId="0" applyNumberFormat="1" applyFont="1" applyBorder="1" applyAlignment="1" applyProtection="1">
      <alignment horizontal="left" vertical="center"/>
      <protection hidden="1"/>
    </xf>
    <xf numFmtId="164" fontId="11" fillId="0" borderId="0" xfId="0" applyNumberFormat="1" applyFont="1" applyAlignment="1" applyProtection="1">
      <alignment horizontal="center" vertical="center"/>
      <protection hidden="1"/>
    </xf>
    <xf numFmtId="2" fontId="3" fillId="0" borderId="22" xfId="0" applyNumberFormat="1" applyFont="1" applyBorder="1" applyAlignment="1" applyProtection="1">
      <alignment horizontal="left" vertical="center"/>
      <protection hidden="1"/>
    </xf>
    <xf numFmtId="0" fontId="5" fillId="2" borderId="16" xfId="0" applyFont="1" applyFill="1" applyBorder="1" applyProtection="1">
      <protection hidden="1"/>
    </xf>
    <xf numFmtId="0" fontId="11" fillId="2" borderId="0" xfId="0" applyFont="1" applyFill="1" applyAlignment="1" applyProtection="1">
      <alignment horizontal="left"/>
      <protection hidden="1"/>
    </xf>
    <xf numFmtId="0" fontId="3" fillId="2" borderId="0" xfId="0" applyFont="1" applyFill="1" applyAlignment="1" applyProtection="1">
      <alignment wrapText="1"/>
      <protection hidden="1"/>
    </xf>
    <xf numFmtId="0" fontId="52" fillId="2" borderId="0" xfId="0" applyFont="1" applyFill="1" applyAlignment="1" applyProtection="1">
      <alignment horizontal="center" vertical="top"/>
      <protection hidden="1"/>
    </xf>
    <xf numFmtId="0" fontId="3" fillId="2" borderId="0" xfId="0" applyFont="1" applyFill="1" applyAlignment="1" applyProtection="1">
      <alignment horizontal="center"/>
      <protection hidden="1"/>
    </xf>
    <xf numFmtId="164" fontId="6" fillId="2" borderId="18" xfId="0" applyNumberFormat="1" applyFont="1" applyFill="1" applyBorder="1" applyAlignment="1" applyProtection="1">
      <alignment horizontal="center"/>
      <protection hidden="1"/>
    </xf>
    <xf numFmtId="0" fontId="32" fillId="2" borderId="18" xfId="3" applyFont="1" applyFill="1" applyBorder="1" applyProtection="1">
      <protection hidden="1"/>
    </xf>
    <xf numFmtId="0" fontId="11" fillId="2" borderId="27" xfId="0" applyFont="1" applyFill="1" applyBorder="1" applyProtection="1">
      <protection hidden="1"/>
    </xf>
    <xf numFmtId="0" fontId="5" fillId="2" borderId="28" xfId="0" applyFont="1" applyFill="1" applyBorder="1" applyProtection="1">
      <protection hidden="1"/>
    </xf>
    <xf numFmtId="164" fontId="5" fillId="2" borderId="28" xfId="0" applyNumberFormat="1" applyFont="1" applyFill="1" applyBorder="1" applyAlignment="1" applyProtection="1">
      <alignment horizontal="center" shrinkToFit="1"/>
      <protection hidden="1"/>
    </xf>
    <xf numFmtId="0" fontId="11" fillId="2" borderId="29" xfId="3" applyFont="1" applyFill="1" applyBorder="1" applyProtection="1">
      <protection hidden="1"/>
    </xf>
    <xf numFmtId="0" fontId="11" fillId="2" borderId="22" xfId="3" applyFont="1" applyFill="1" applyBorder="1" applyProtection="1">
      <protection hidden="1"/>
    </xf>
    <xf numFmtId="164" fontId="9" fillId="2" borderId="21" xfId="0" applyNumberFormat="1" applyFont="1" applyFill="1" applyBorder="1" applyAlignment="1" applyProtection="1">
      <alignment horizontal="center" shrinkToFit="1"/>
      <protection hidden="1"/>
    </xf>
    <xf numFmtId="164" fontId="11" fillId="2" borderId="22" xfId="3" applyNumberFormat="1" applyFont="1" applyFill="1" applyBorder="1" applyProtection="1">
      <protection hidden="1"/>
    </xf>
    <xf numFmtId="164" fontId="5" fillId="2" borderId="24" xfId="0" applyNumberFormat="1" applyFont="1" applyFill="1" applyBorder="1" applyAlignment="1" applyProtection="1">
      <alignment horizontal="center" shrinkToFit="1"/>
      <protection hidden="1"/>
    </xf>
    <xf numFmtId="164" fontId="5" fillId="2" borderId="29" xfId="0" applyNumberFormat="1" applyFont="1" applyFill="1" applyBorder="1" applyAlignment="1" applyProtection="1">
      <alignment horizontal="center" shrinkToFit="1"/>
      <protection hidden="1"/>
    </xf>
    <xf numFmtId="165" fontId="3" fillId="2" borderId="21" xfId="0" applyNumberFormat="1" applyFont="1" applyFill="1" applyBorder="1" applyAlignment="1" applyProtection="1">
      <alignment horizontal="right"/>
      <protection hidden="1"/>
    </xf>
    <xf numFmtId="0" fontId="11" fillId="2" borderId="21" xfId="3" applyFont="1" applyFill="1" applyBorder="1" applyProtection="1">
      <protection hidden="1"/>
    </xf>
    <xf numFmtId="164" fontId="11" fillId="2" borderId="25" xfId="3" applyNumberFormat="1" applyFont="1" applyFill="1" applyBorder="1" applyProtection="1">
      <protection hidden="1"/>
    </xf>
    <xf numFmtId="0" fontId="11" fillId="2" borderId="24" xfId="3" applyFont="1" applyFill="1" applyBorder="1" applyProtection="1">
      <protection hidden="1"/>
    </xf>
    <xf numFmtId="164" fontId="11" fillId="2" borderId="27" xfId="3" applyNumberFormat="1" applyFont="1" applyFill="1" applyBorder="1" applyProtection="1">
      <protection hidden="1"/>
    </xf>
    <xf numFmtId="164" fontId="3" fillId="2" borderId="28" xfId="0" applyNumberFormat="1" applyFont="1" applyFill="1" applyBorder="1" applyAlignment="1" applyProtection="1">
      <alignment horizontal="left"/>
      <protection hidden="1"/>
    </xf>
    <xf numFmtId="0" fontId="11" fillId="2" borderId="25" xfId="3" applyFont="1" applyFill="1" applyBorder="1" applyProtection="1">
      <protection hidden="1"/>
    </xf>
    <xf numFmtId="0" fontId="32" fillId="2" borderId="15" xfId="0" applyFont="1" applyFill="1" applyBorder="1" applyProtection="1">
      <protection hidden="1"/>
    </xf>
    <xf numFmtId="0" fontId="32" fillId="2" borderId="16" xfId="0" applyFont="1" applyFill="1" applyBorder="1" applyProtection="1">
      <protection hidden="1"/>
    </xf>
    <xf numFmtId="0" fontId="32" fillId="2" borderId="17" xfId="0" applyFont="1" applyFill="1" applyBorder="1" applyProtection="1">
      <protection hidden="1"/>
    </xf>
    <xf numFmtId="164" fontId="46" fillId="0" borderId="22" xfId="0" applyNumberFormat="1" applyFont="1" applyBorder="1" applyAlignment="1">
      <alignment horizontal="left" vertical="center" indent="4"/>
    </xf>
    <xf numFmtId="164" fontId="46" fillId="0" borderId="0" xfId="0" applyNumberFormat="1" applyFont="1" applyAlignment="1">
      <alignment horizontal="left" vertical="center" indent="4"/>
    </xf>
    <xf numFmtId="164" fontId="11" fillId="2" borderId="0" xfId="0" applyNumberFormat="1" applyFont="1" applyFill="1" applyProtection="1">
      <protection hidden="1"/>
    </xf>
    <xf numFmtId="164" fontId="11" fillId="2" borderId="5" xfId="3" applyNumberFormat="1" applyFont="1" applyFill="1" applyBorder="1" applyProtection="1">
      <protection hidden="1"/>
    </xf>
    <xf numFmtId="0" fontId="3" fillId="2" borderId="22" xfId="0" applyFont="1" applyFill="1" applyBorder="1" applyProtection="1">
      <protection hidden="1"/>
    </xf>
    <xf numFmtId="0" fontId="11" fillId="2" borderId="22" xfId="0" applyFont="1" applyFill="1" applyBorder="1" applyProtection="1">
      <protection hidden="1"/>
    </xf>
    <xf numFmtId="0" fontId="5" fillId="2" borderId="22" xfId="0" applyFont="1" applyFill="1" applyBorder="1" applyProtection="1">
      <protection hidden="1"/>
    </xf>
    <xf numFmtId="164" fontId="3" fillId="2" borderId="22" xfId="0" applyNumberFormat="1" applyFont="1" applyFill="1" applyBorder="1" applyProtection="1">
      <protection hidden="1"/>
    </xf>
    <xf numFmtId="0" fontId="52" fillId="2" borderId="28" xfId="0" applyFont="1" applyFill="1" applyBorder="1" applyAlignment="1" applyProtection="1">
      <alignment horizontal="center" vertical="top"/>
      <protection hidden="1"/>
    </xf>
    <xf numFmtId="0" fontId="11" fillId="2" borderId="29" xfId="0" applyFont="1" applyFill="1" applyBorder="1" applyProtection="1">
      <protection hidden="1"/>
    </xf>
    <xf numFmtId="171" fontId="8" fillId="2" borderId="27" xfId="0" applyNumberFormat="1" applyFont="1" applyFill="1" applyBorder="1" applyAlignment="1" applyProtection="1">
      <alignment horizontal="center" vertical="center"/>
      <protection hidden="1"/>
    </xf>
    <xf numFmtId="171" fontId="8" fillId="2" borderId="22" xfId="0" applyNumberFormat="1" applyFont="1" applyFill="1" applyBorder="1" applyAlignment="1" applyProtection="1">
      <alignment horizontal="center" vertical="center"/>
      <protection hidden="1"/>
    </xf>
    <xf numFmtId="164" fontId="8" fillId="2" borderId="27" xfId="0" applyNumberFormat="1" applyFont="1" applyFill="1" applyBorder="1" applyAlignment="1" applyProtection="1">
      <alignment horizontal="center" vertical="center"/>
      <protection hidden="1"/>
    </xf>
    <xf numFmtId="0" fontId="32" fillId="2" borderId="18" xfId="0" applyFont="1" applyFill="1" applyBorder="1" applyProtection="1">
      <protection hidden="1"/>
    </xf>
    <xf numFmtId="0" fontId="32" fillId="2" borderId="24" xfId="0" applyFont="1" applyFill="1" applyBorder="1" applyProtection="1">
      <protection hidden="1"/>
    </xf>
    <xf numFmtId="0" fontId="24" fillId="2" borderId="27" xfId="0" applyFont="1" applyFill="1" applyBorder="1" applyProtection="1">
      <protection hidden="1"/>
    </xf>
    <xf numFmtId="0" fontId="24" fillId="2" borderId="29" xfId="0" applyFont="1" applyFill="1" applyBorder="1" applyProtection="1">
      <protection hidden="1"/>
    </xf>
    <xf numFmtId="0" fontId="44" fillId="2" borderId="25" xfId="3" applyFont="1" applyFill="1" applyBorder="1" applyProtection="1">
      <protection hidden="1"/>
    </xf>
    <xf numFmtId="0" fontId="44" fillId="2" borderId="18" xfId="3" applyFont="1" applyFill="1" applyBorder="1" applyProtection="1">
      <protection hidden="1"/>
    </xf>
    <xf numFmtId="0" fontId="44" fillId="2" borderId="24" xfId="3" applyFont="1" applyFill="1" applyBorder="1" applyProtection="1">
      <protection hidden="1"/>
    </xf>
    <xf numFmtId="0" fontId="32" fillId="2" borderId="23" xfId="0" applyFont="1" applyFill="1" applyBorder="1" applyProtection="1">
      <protection hidden="1"/>
    </xf>
    <xf numFmtId="0" fontId="32" fillId="2" borderId="19" xfId="0" applyFont="1" applyFill="1" applyBorder="1" applyProtection="1">
      <protection hidden="1"/>
    </xf>
    <xf numFmtId="2" fontId="11" fillId="2" borderId="0" xfId="3" applyNumberFormat="1" applyFont="1" applyFill="1" applyProtection="1">
      <protection hidden="1"/>
    </xf>
    <xf numFmtId="6" fontId="11" fillId="2" borderId="0" xfId="0" applyNumberFormat="1" applyFont="1" applyFill="1" applyAlignment="1" applyProtection="1">
      <alignment vertical="center"/>
      <protection hidden="1"/>
    </xf>
    <xf numFmtId="6" fontId="3" fillId="2" borderId="0" xfId="4" applyNumberFormat="1" applyFont="1" applyFill="1" applyAlignment="1" applyProtection="1">
      <alignment vertical="center"/>
      <protection hidden="1"/>
    </xf>
    <xf numFmtId="0" fontId="11" fillId="10" borderId="0" xfId="0" applyFont="1" applyFill="1"/>
    <xf numFmtId="0" fontId="3" fillId="2" borderId="3" xfId="3" applyFont="1" applyFill="1" applyBorder="1" applyProtection="1">
      <protection hidden="1"/>
    </xf>
    <xf numFmtId="164" fontId="15" fillId="3" borderId="37" xfId="0" applyNumberFormat="1" applyFont="1" applyFill="1" applyBorder="1"/>
    <xf numFmtId="164" fontId="15" fillId="3" borderId="38" xfId="0" applyNumberFormat="1" applyFont="1" applyFill="1" applyBorder="1"/>
    <xf numFmtId="2" fontId="15" fillId="3" borderId="38" xfId="0" applyNumberFormat="1" applyFont="1" applyFill="1" applyBorder="1" applyAlignment="1">
      <alignment horizontal="center" wrapText="1"/>
    </xf>
    <xf numFmtId="2" fontId="15" fillId="3" borderId="39" xfId="0" applyNumberFormat="1" applyFont="1" applyFill="1" applyBorder="1" applyAlignment="1">
      <alignment horizontal="center" wrapText="1"/>
    </xf>
    <xf numFmtId="176" fontId="11" fillId="0" borderId="38" xfId="1" applyNumberFormat="1" applyFont="1" applyFill="1" applyBorder="1" applyAlignment="1">
      <alignment horizontal="center" vertical="center"/>
    </xf>
    <xf numFmtId="176" fontId="11" fillId="0" borderId="39" xfId="1" applyNumberFormat="1" applyFont="1" applyFill="1" applyBorder="1" applyAlignment="1">
      <alignment horizontal="center" vertical="center"/>
    </xf>
    <xf numFmtId="176" fontId="11" fillId="0" borderId="50" xfId="1" applyNumberFormat="1" applyFont="1" applyFill="1" applyBorder="1" applyAlignment="1">
      <alignment horizontal="center" vertical="center"/>
    </xf>
    <xf numFmtId="176" fontId="11" fillId="0" borderId="51" xfId="1" applyNumberFormat="1" applyFont="1" applyFill="1" applyBorder="1" applyAlignment="1">
      <alignment horizontal="center" vertical="center"/>
    </xf>
    <xf numFmtId="0" fontId="11" fillId="10" borderId="4" xfId="0" applyFont="1" applyFill="1" applyBorder="1"/>
    <xf numFmtId="164" fontId="3" fillId="2" borderId="0" xfId="0" applyNumberFormat="1" applyFont="1" applyFill="1" applyAlignment="1" applyProtection="1">
      <alignment vertical="center"/>
      <protection hidden="1"/>
    </xf>
    <xf numFmtId="176" fontId="11" fillId="0" borderId="38" xfId="1" quotePrefix="1" applyNumberFormat="1" applyFont="1" applyFill="1" applyBorder="1" applyAlignment="1">
      <alignment horizontal="center" vertical="center"/>
    </xf>
    <xf numFmtId="10" fontId="11" fillId="10" borderId="0" xfId="0" applyNumberFormat="1" applyFont="1" applyFill="1"/>
    <xf numFmtId="0" fontId="3" fillId="2" borderId="6" xfId="3" applyFont="1" applyFill="1" applyBorder="1" applyAlignment="1" applyProtection="1">
      <alignment horizontal="left" vertical="center"/>
      <protection hidden="1"/>
    </xf>
    <xf numFmtId="0" fontId="3" fillId="2" borderId="7" xfId="3" applyFont="1" applyFill="1" applyBorder="1" applyAlignment="1" applyProtection="1">
      <alignment horizontal="left" vertical="center"/>
      <protection hidden="1"/>
    </xf>
    <xf numFmtId="0" fontId="11" fillId="2" borderId="7" xfId="3" applyFont="1" applyFill="1" applyBorder="1" applyProtection="1">
      <protection hidden="1"/>
    </xf>
    <xf numFmtId="0" fontId="11" fillId="2" borderId="8" xfId="3" applyFont="1" applyFill="1" applyBorder="1" applyProtection="1">
      <protection hidden="1"/>
    </xf>
    <xf numFmtId="6" fontId="3" fillId="2" borderId="0" xfId="3" applyNumberFormat="1" applyFont="1" applyFill="1" applyAlignment="1" applyProtection="1">
      <alignment horizontal="left"/>
      <protection hidden="1"/>
    </xf>
    <xf numFmtId="0" fontId="3" fillId="2" borderId="0" xfId="3" applyFont="1" applyFill="1" applyAlignment="1" applyProtection="1">
      <alignment horizontal="right" wrapText="1"/>
      <protection hidden="1"/>
    </xf>
    <xf numFmtId="165" fontId="3" fillId="2" borderId="27" xfId="0" applyNumberFormat="1" applyFont="1" applyFill="1" applyBorder="1" applyAlignment="1" applyProtection="1">
      <alignment horizontal="right"/>
      <protection hidden="1"/>
    </xf>
    <xf numFmtId="0" fontId="3" fillId="2" borderId="28" xfId="3" applyFont="1" applyFill="1" applyBorder="1" applyAlignment="1" applyProtection="1">
      <alignment horizontal="right"/>
      <protection hidden="1"/>
    </xf>
    <xf numFmtId="6" fontId="3" fillId="2" borderId="28" xfId="3" applyNumberFormat="1" applyFont="1" applyFill="1" applyBorder="1" applyAlignment="1" applyProtection="1">
      <alignment horizontal="left"/>
      <protection hidden="1"/>
    </xf>
    <xf numFmtId="0" fontId="3" fillId="2" borderId="21" xfId="0" applyFont="1" applyFill="1" applyBorder="1" applyProtection="1">
      <protection hidden="1"/>
    </xf>
    <xf numFmtId="164" fontId="5" fillId="2" borderId="24" xfId="0" applyNumberFormat="1" applyFont="1" applyFill="1" applyBorder="1" applyProtection="1">
      <protection hidden="1"/>
    </xf>
    <xf numFmtId="0" fontId="17" fillId="3" borderId="20" xfId="0" applyFont="1" applyFill="1" applyBorder="1" applyAlignment="1" applyProtection="1">
      <alignment horizontal="center" vertical="center"/>
      <protection hidden="1"/>
    </xf>
    <xf numFmtId="0" fontId="17" fillId="3" borderId="16" xfId="0" applyFont="1" applyFill="1" applyBorder="1" applyAlignment="1" applyProtection="1">
      <alignment horizontal="center" vertical="center"/>
      <protection hidden="1"/>
    </xf>
    <xf numFmtId="0" fontId="17" fillId="3" borderId="33" xfId="0" applyFont="1" applyFill="1" applyBorder="1" applyAlignment="1" applyProtection="1">
      <alignment horizontal="center" vertical="center"/>
      <protection hidden="1"/>
    </xf>
    <xf numFmtId="0" fontId="11" fillId="2" borderId="47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 applyProtection="1">
      <alignment horizontal="center" vertical="center"/>
      <protection hidden="1"/>
    </xf>
    <xf numFmtId="0" fontId="19" fillId="3" borderId="10" xfId="0" applyFont="1" applyFill="1" applyBorder="1" applyAlignment="1" applyProtection="1">
      <alignment horizontal="center" vertical="center"/>
      <protection hidden="1"/>
    </xf>
    <xf numFmtId="0" fontId="19" fillId="3" borderId="11" xfId="0" applyFont="1" applyFill="1" applyBorder="1" applyAlignment="1" applyProtection="1">
      <alignment horizontal="center" vertical="center"/>
      <protection hidden="1"/>
    </xf>
    <xf numFmtId="0" fontId="16" fillId="3" borderId="12" xfId="0" applyFont="1" applyFill="1" applyBorder="1" applyAlignment="1" applyProtection="1">
      <alignment horizontal="center" vertical="center"/>
      <protection hidden="1"/>
    </xf>
    <xf numFmtId="0" fontId="16" fillId="3" borderId="13" xfId="0" applyFont="1" applyFill="1" applyBorder="1" applyAlignment="1" applyProtection="1">
      <alignment horizontal="center" vertical="center"/>
      <protection hidden="1"/>
    </xf>
    <xf numFmtId="0" fontId="16" fillId="3" borderId="14" xfId="0" applyFont="1" applyFill="1" applyBorder="1" applyAlignment="1" applyProtection="1">
      <alignment horizontal="center" vertical="center"/>
      <protection hidden="1"/>
    </xf>
    <xf numFmtId="0" fontId="16" fillId="3" borderId="34" xfId="0" applyFont="1" applyFill="1" applyBorder="1" applyAlignment="1" applyProtection="1">
      <alignment horizontal="center" vertical="center"/>
      <protection hidden="1"/>
    </xf>
    <xf numFmtId="0" fontId="20" fillId="3" borderId="1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5" fillId="0" borderId="15" xfId="0" applyNumberFormat="1" applyFont="1" applyBorder="1" applyAlignment="1" applyProtection="1">
      <alignment horizontal="left" vertical="center"/>
      <protection hidden="1"/>
    </xf>
    <xf numFmtId="2" fontId="5" fillId="0" borderId="16" xfId="0" applyNumberFormat="1" applyFont="1" applyBorder="1" applyAlignment="1" applyProtection="1">
      <alignment horizontal="left" vertical="center"/>
      <protection hidden="1"/>
    </xf>
    <xf numFmtId="2" fontId="5" fillId="0" borderId="17" xfId="0" applyNumberFormat="1" applyFont="1" applyBorder="1" applyAlignment="1" applyProtection="1">
      <alignment horizontal="left" vertical="center"/>
      <protection hidden="1"/>
    </xf>
    <xf numFmtId="165" fontId="18" fillId="6" borderId="16" xfId="0" applyNumberFormat="1" applyFont="1" applyFill="1" applyBorder="1" applyAlignment="1" applyProtection="1">
      <alignment horizontal="center" vertical="center"/>
      <protection hidden="1"/>
    </xf>
    <xf numFmtId="165" fontId="18" fillId="6" borderId="33" xfId="0" applyNumberFormat="1" applyFont="1" applyFill="1" applyBorder="1" applyAlignment="1" applyProtection="1">
      <alignment horizontal="center" vertical="center"/>
      <protection hidden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173" fontId="11" fillId="2" borderId="40" xfId="1" applyNumberFormat="1" applyFont="1" applyFill="1" applyBorder="1" applyAlignment="1">
      <alignment horizontal="center" vertical="center" wrapText="1"/>
    </xf>
    <xf numFmtId="173" fontId="11" fillId="2" borderId="46" xfId="1" applyNumberFormat="1" applyFont="1" applyFill="1" applyBorder="1" applyAlignment="1">
      <alignment horizontal="center" vertical="center" wrapText="1"/>
    </xf>
    <xf numFmtId="173" fontId="11" fillId="2" borderId="42" xfId="1" applyNumberFormat="1" applyFont="1" applyFill="1" applyBorder="1" applyAlignment="1">
      <alignment horizontal="center" vertical="center" wrapText="1"/>
    </xf>
    <xf numFmtId="174" fontId="11" fillId="2" borderId="40" xfId="0" applyNumberFormat="1" applyFont="1" applyFill="1" applyBorder="1" applyAlignment="1">
      <alignment horizontal="center" vertical="center" wrapText="1"/>
    </xf>
    <xf numFmtId="174" fontId="11" fillId="2" borderId="46" xfId="0" applyNumberFormat="1" applyFont="1" applyFill="1" applyBorder="1" applyAlignment="1">
      <alignment horizontal="center" vertical="center" wrapText="1"/>
    </xf>
    <xf numFmtId="174" fontId="11" fillId="2" borderId="42" xfId="0" applyNumberFormat="1" applyFont="1" applyFill="1" applyBorder="1" applyAlignment="1">
      <alignment horizontal="center" vertical="center" wrapText="1"/>
    </xf>
    <xf numFmtId="173" fontId="11" fillId="2" borderId="41" xfId="1" applyNumberFormat="1" applyFont="1" applyFill="1" applyBorder="1" applyAlignment="1">
      <alignment horizontal="center" vertical="center" wrapText="1"/>
    </xf>
    <xf numFmtId="173" fontId="11" fillId="2" borderId="43" xfId="1" applyNumberFormat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 applyProtection="1">
      <alignment horizontal="center" vertical="center"/>
      <protection hidden="1"/>
    </xf>
    <xf numFmtId="0" fontId="17" fillId="3" borderId="18" xfId="0" applyFont="1" applyFill="1" applyBorder="1" applyAlignment="1" applyProtection="1">
      <alignment horizontal="center" vertical="center"/>
      <protection hidden="1"/>
    </xf>
    <xf numFmtId="0" fontId="17" fillId="3" borderId="19" xfId="0" applyFont="1" applyFill="1" applyBorder="1" applyAlignment="1" applyProtection="1">
      <alignment horizontal="center" vertical="center"/>
      <protection hidden="1"/>
    </xf>
    <xf numFmtId="0" fontId="16" fillId="3" borderId="25" xfId="0" applyFont="1" applyFill="1" applyBorder="1" applyAlignment="1" applyProtection="1">
      <alignment horizontal="center"/>
      <protection hidden="1"/>
    </xf>
    <xf numFmtId="0" fontId="16" fillId="3" borderId="18" xfId="0" applyFont="1" applyFill="1" applyBorder="1" applyAlignment="1" applyProtection="1">
      <alignment horizontal="center"/>
      <protection hidden="1"/>
    </xf>
    <xf numFmtId="0" fontId="16" fillId="3" borderId="19" xfId="0" applyFont="1" applyFill="1" applyBorder="1" applyAlignment="1" applyProtection="1">
      <alignment horizontal="center"/>
      <protection hidden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171" fontId="17" fillId="3" borderId="37" xfId="0" applyNumberFormat="1" applyFont="1" applyFill="1" applyBorder="1" applyAlignment="1">
      <alignment horizontal="center" vertical="center"/>
    </xf>
    <xf numFmtId="171" fontId="17" fillId="3" borderId="38" xfId="0" applyNumberFormat="1" applyFont="1" applyFill="1" applyBorder="1" applyAlignment="1">
      <alignment horizontal="center" vertical="center"/>
    </xf>
    <xf numFmtId="171" fontId="17" fillId="3" borderId="39" xfId="0" applyNumberFormat="1" applyFont="1" applyFill="1" applyBorder="1" applyAlignment="1">
      <alignment horizontal="center" vertical="center"/>
    </xf>
    <xf numFmtId="173" fontId="11" fillId="2" borderId="41" xfId="1" applyNumberFormat="1" applyFont="1" applyFill="1" applyBorder="1" applyAlignment="1">
      <alignment horizontal="left" vertical="center" wrapText="1"/>
    </xf>
    <xf numFmtId="173" fontId="11" fillId="2" borderId="43" xfId="1" applyNumberFormat="1" applyFont="1" applyFill="1" applyBorder="1" applyAlignment="1">
      <alignment horizontal="left" vertical="center" wrapText="1"/>
    </xf>
    <xf numFmtId="171" fontId="24" fillId="3" borderId="37" xfId="0" applyNumberFormat="1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172" fontId="16" fillId="3" borderId="13" xfId="0" applyNumberFormat="1" applyFont="1" applyFill="1" applyBorder="1" applyAlignment="1">
      <alignment horizontal="center" vertical="center"/>
    </xf>
    <xf numFmtId="172" fontId="16" fillId="3" borderId="35" xfId="0" applyNumberFormat="1" applyFont="1" applyFill="1" applyBorder="1" applyAlignment="1">
      <alignment horizontal="center" vertical="center"/>
    </xf>
    <xf numFmtId="172" fontId="20" fillId="3" borderId="29" xfId="0" applyNumberFormat="1" applyFont="1" applyFill="1" applyBorder="1" applyAlignment="1">
      <alignment horizontal="center"/>
    </xf>
    <xf numFmtId="172" fontId="20" fillId="3" borderId="21" xfId="0" applyNumberFormat="1" applyFont="1" applyFill="1" applyBorder="1" applyAlignment="1">
      <alignment horizontal="center"/>
    </xf>
    <xf numFmtId="172" fontId="20" fillId="3" borderId="24" xfId="0" applyNumberFormat="1" applyFont="1" applyFill="1" applyBorder="1" applyAlignment="1">
      <alignment horizontal="center"/>
    </xf>
    <xf numFmtId="0" fontId="20" fillId="3" borderId="42" xfId="8" applyFont="1" applyFill="1" applyBorder="1" applyAlignment="1">
      <alignment horizontal="center"/>
    </xf>
    <xf numFmtId="0" fontId="20" fillId="3" borderId="18" xfId="0" applyFont="1" applyFill="1" applyBorder="1"/>
    <xf numFmtId="0" fontId="20" fillId="3" borderId="19" xfId="0" applyFont="1" applyFill="1" applyBorder="1"/>
    <xf numFmtId="0" fontId="20" fillId="3" borderId="17" xfId="0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171" fontId="17" fillId="3" borderId="17" xfId="0" applyNumberFormat="1" applyFont="1" applyFill="1" applyBorder="1" applyAlignment="1">
      <alignment horizontal="center" vertical="center"/>
    </xf>
    <xf numFmtId="0" fontId="19" fillId="3" borderId="30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 applyProtection="1">
      <alignment horizontal="center" vertical="top"/>
      <protection hidden="1"/>
    </xf>
    <xf numFmtId="0" fontId="13" fillId="2" borderId="16" xfId="0" applyFont="1" applyFill="1" applyBorder="1" applyAlignment="1" applyProtection="1">
      <alignment horizontal="center" vertical="top"/>
      <protection hidden="1"/>
    </xf>
    <xf numFmtId="0" fontId="13" fillId="2" borderId="17" xfId="0" applyFont="1" applyFill="1" applyBorder="1" applyAlignment="1" applyProtection="1">
      <alignment horizontal="center" vertical="top"/>
      <protection hidden="1"/>
    </xf>
    <xf numFmtId="0" fontId="16" fillId="3" borderId="9" xfId="0" applyFont="1" applyFill="1" applyBorder="1" applyAlignment="1" applyProtection="1">
      <alignment horizontal="center" vertical="center"/>
      <protection hidden="1"/>
    </xf>
    <xf numFmtId="0" fontId="16" fillId="3" borderId="10" xfId="0" applyFont="1" applyFill="1" applyBorder="1" applyAlignment="1" applyProtection="1">
      <alignment horizontal="center" vertical="center"/>
      <protection hidden="1"/>
    </xf>
    <xf numFmtId="0" fontId="16" fillId="3" borderId="11" xfId="0" applyFont="1" applyFill="1" applyBorder="1" applyAlignment="1" applyProtection="1">
      <alignment horizontal="center" vertical="center"/>
      <protection hidden="1"/>
    </xf>
    <xf numFmtId="0" fontId="30" fillId="3" borderId="97" xfId="0" applyFont="1" applyFill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center" vertical="center" wrapText="1"/>
    </xf>
    <xf numFmtId="0" fontId="30" fillId="3" borderId="98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0" fillId="3" borderId="17" xfId="0" applyFont="1" applyFill="1" applyBorder="1" applyAlignment="1">
      <alignment horizontal="center"/>
    </xf>
    <xf numFmtId="0" fontId="19" fillId="3" borderId="4" xfId="0" applyFont="1" applyFill="1" applyBorder="1" applyAlignment="1" applyProtection="1">
      <alignment horizontal="center" vertical="center"/>
      <protection hidden="1"/>
    </xf>
    <xf numFmtId="0" fontId="19" fillId="3" borderId="0" xfId="0" applyFont="1" applyFill="1" applyAlignment="1" applyProtection="1">
      <alignment horizontal="center" vertical="center"/>
      <protection hidden="1"/>
    </xf>
    <xf numFmtId="0" fontId="19" fillId="3" borderId="5" xfId="0" applyFont="1" applyFill="1" applyBorder="1" applyAlignment="1" applyProtection="1">
      <alignment horizontal="center" vertical="center"/>
      <protection hidden="1"/>
    </xf>
    <xf numFmtId="0" fontId="29" fillId="3" borderId="93" xfId="0" applyFont="1" applyFill="1" applyBorder="1" applyAlignment="1">
      <alignment horizontal="center" vertical="center" wrapText="1"/>
    </xf>
    <xf numFmtId="0" fontId="29" fillId="3" borderId="95" xfId="0" applyFont="1" applyFill="1" applyBorder="1" applyAlignment="1">
      <alignment horizontal="center" vertical="center" wrapText="1"/>
    </xf>
    <xf numFmtId="0" fontId="29" fillId="3" borderId="65" xfId="0" applyFont="1" applyFill="1" applyBorder="1" applyAlignment="1">
      <alignment horizontal="center" vertical="center" wrapText="1"/>
    </xf>
    <xf numFmtId="0" fontId="29" fillId="3" borderId="68" xfId="0" applyFont="1" applyFill="1" applyBorder="1" applyAlignment="1">
      <alignment horizontal="center" vertical="center" wrapText="1"/>
    </xf>
    <xf numFmtId="0" fontId="29" fillId="3" borderId="94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/>
    </xf>
    <xf numFmtId="164" fontId="24" fillId="2" borderId="38" xfId="0" applyNumberFormat="1" applyFont="1" applyFill="1" applyBorder="1" applyAlignment="1">
      <alignment horizontal="center"/>
    </xf>
    <xf numFmtId="0" fontId="20" fillId="3" borderId="90" xfId="0" applyFont="1" applyFill="1" applyBorder="1" applyAlignment="1">
      <alignment horizontal="center" vertical="center" wrapText="1"/>
    </xf>
    <xf numFmtId="0" fontId="20" fillId="3" borderId="62" xfId="0" applyFont="1" applyFill="1" applyBorder="1" applyAlignment="1">
      <alignment horizontal="center" vertical="center" wrapText="1"/>
    </xf>
    <xf numFmtId="0" fontId="20" fillId="3" borderId="91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5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/>
    </xf>
    <xf numFmtId="0" fontId="20" fillId="3" borderId="0" xfId="0" applyFont="1" applyFill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28" fillId="3" borderId="22" xfId="0" applyFont="1" applyFill="1" applyBorder="1" applyAlignment="1">
      <alignment horizontal="center" vertical="center" wrapText="1"/>
    </xf>
    <xf numFmtId="0" fontId="20" fillId="3" borderId="38" xfId="0" applyFont="1" applyFill="1" applyBorder="1" applyAlignment="1">
      <alignment horizontal="center"/>
    </xf>
    <xf numFmtId="175" fontId="24" fillId="2" borderId="38" xfId="13" applyNumberFormat="1" applyFont="1" applyFill="1" applyBorder="1" applyAlignment="1">
      <alignment horizontal="center"/>
    </xf>
    <xf numFmtId="0" fontId="33" fillId="3" borderId="15" xfId="0" applyFont="1" applyFill="1" applyBorder="1" applyAlignment="1">
      <alignment horizontal="center"/>
    </xf>
    <xf numFmtId="0" fontId="33" fillId="3" borderId="16" xfId="0" applyFont="1" applyFill="1" applyBorder="1" applyAlignment="1">
      <alignment horizontal="center"/>
    </xf>
    <xf numFmtId="0" fontId="33" fillId="3" borderId="17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164" fontId="24" fillId="2" borderId="15" xfId="0" applyNumberFormat="1" applyFont="1" applyFill="1" applyBorder="1" applyAlignment="1">
      <alignment horizontal="center" vertical="center"/>
    </xf>
    <xf numFmtId="164" fontId="24" fillId="2" borderId="33" xfId="0" applyNumberFormat="1" applyFont="1" applyFill="1" applyBorder="1" applyAlignment="1">
      <alignment horizontal="center" vertical="center"/>
    </xf>
    <xf numFmtId="0" fontId="29" fillId="3" borderId="64" xfId="0" applyFont="1" applyFill="1" applyBorder="1" applyAlignment="1">
      <alignment horizontal="center" vertical="center" wrapText="1"/>
    </xf>
    <xf numFmtId="0" fontId="29" fillId="3" borderId="67" xfId="0" applyFont="1" applyFill="1" applyBorder="1" applyAlignment="1">
      <alignment horizontal="center" vertical="center" wrapText="1"/>
    </xf>
    <xf numFmtId="0" fontId="16" fillId="3" borderId="35" xfId="0" applyFont="1" applyFill="1" applyBorder="1" applyAlignment="1" applyProtection="1">
      <alignment horizontal="center" vertical="center"/>
      <protection hidden="1"/>
    </xf>
    <xf numFmtId="9" fontId="32" fillId="0" borderId="74" xfId="0" applyNumberFormat="1" applyFont="1" applyBorder="1" applyAlignment="1">
      <alignment horizontal="center" vertical="center" wrapText="1"/>
    </xf>
    <xf numFmtId="9" fontId="32" fillId="0" borderId="57" xfId="0" applyNumberFormat="1" applyFont="1" applyBorder="1" applyAlignment="1">
      <alignment horizontal="center" vertical="center" wrapText="1"/>
    </xf>
    <xf numFmtId="9" fontId="32" fillId="0" borderId="80" xfId="0" applyNumberFormat="1" applyFont="1" applyBorder="1" applyAlignment="1">
      <alignment horizontal="center" vertical="center" wrapText="1"/>
    </xf>
    <xf numFmtId="9" fontId="24" fillId="0" borderId="70" xfId="0" applyNumberFormat="1" applyFont="1" applyBorder="1" applyAlignment="1">
      <alignment horizontal="center" vertical="center" wrapText="1"/>
    </xf>
    <xf numFmtId="9" fontId="24" fillId="0" borderId="57" xfId="0" applyNumberFormat="1" applyFont="1" applyBorder="1" applyAlignment="1">
      <alignment horizontal="center" vertical="center" wrapText="1"/>
    </xf>
    <xf numFmtId="0" fontId="30" fillId="3" borderId="59" xfId="0" applyFont="1" applyFill="1" applyBorder="1" applyAlignment="1">
      <alignment horizontal="center" vertical="center" wrapText="1"/>
    </xf>
    <xf numFmtId="0" fontId="30" fillId="3" borderId="37" xfId="0" applyFont="1" applyFill="1" applyBorder="1" applyAlignment="1">
      <alignment horizontal="center" vertical="center" wrapText="1"/>
    </xf>
    <xf numFmtId="0" fontId="30" fillId="3" borderId="44" xfId="0" applyFont="1" applyFill="1" applyBorder="1" applyAlignment="1">
      <alignment horizontal="center" vertical="center" wrapText="1"/>
    </xf>
    <xf numFmtId="0" fontId="31" fillId="3" borderId="71" xfId="0" applyFont="1" applyFill="1" applyBorder="1" applyAlignment="1">
      <alignment horizontal="center" vertical="center" wrapText="1"/>
    </xf>
    <xf numFmtId="0" fontId="31" fillId="3" borderId="75" xfId="0" applyFont="1" applyFill="1" applyBorder="1" applyAlignment="1">
      <alignment horizontal="center" vertical="center" wrapText="1"/>
    </xf>
    <xf numFmtId="0" fontId="31" fillId="3" borderId="77" xfId="0" applyFont="1" applyFill="1" applyBorder="1" applyAlignment="1">
      <alignment horizontal="center" vertical="center" wrapText="1"/>
    </xf>
    <xf numFmtId="9" fontId="32" fillId="0" borderId="73" xfId="0" applyNumberFormat="1" applyFont="1" applyBorder="1" applyAlignment="1">
      <alignment horizontal="center" vertical="center" wrapText="1"/>
    </xf>
    <xf numFmtId="9" fontId="32" fillId="0" borderId="76" xfId="0" applyNumberFormat="1" applyFont="1" applyBorder="1" applyAlignment="1">
      <alignment horizontal="center" vertical="center" wrapText="1"/>
    </xf>
    <xf numFmtId="9" fontId="32" fillId="0" borderId="79" xfId="0" applyNumberFormat="1" applyFont="1" applyBorder="1" applyAlignment="1">
      <alignment horizontal="center" vertical="center" wrapText="1"/>
    </xf>
    <xf numFmtId="0" fontId="28" fillId="3" borderId="25" xfId="0" applyFont="1" applyFill="1" applyBorder="1" applyAlignment="1">
      <alignment horizontal="center" vertical="center"/>
    </xf>
    <xf numFmtId="0" fontId="28" fillId="3" borderId="18" xfId="0" applyFont="1" applyFill="1" applyBorder="1" applyAlignment="1">
      <alignment horizontal="center" vertical="center"/>
    </xf>
    <xf numFmtId="175" fontId="24" fillId="2" borderId="15" xfId="13" applyNumberFormat="1" applyFont="1" applyFill="1" applyBorder="1" applyAlignment="1">
      <alignment horizontal="center"/>
    </xf>
    <xf numFmtId="175" fontId="24" fillId="2" borderId="33" xfId="13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164" fontId="24" fillId="2" borderId="15" xfId="0" applyNumberFormat="1" applyFont="1" applyFill="1" applyBorder="1" applyAlignment="1">
      <alignment horizontal="center"/>
    </xf>
    <xf numFmtId="164" fontId="24" fillId="2" borderId="33" xfId="0" applyNumberFormat="1" applyFont="1" applyFill="1" applyBorder="1" applyAlignment="1">
      <alignment horizontal="center"/>
    </xf>
    <xf numFmtId="0" fontId="7" fillId="2" borderId="84" xfId="0" applyFont="1" applyFill="1" applyBorder="1" applyAlignment="1">
      <alignment horizontal="center" vertical="center"/>
    </xf>
    <xf numFmtId="14" fontId="48" fillId="2" borderId="0" xfId="0" applyNumberFormat="1" applyFont="1" applyFill="1" applyAlignment="1" applyProtection="1">
      <alignment horizontal="right"/>
      <protection hidden="1"/>
    </xf>
    <xf numFmtId="168" fontId="48" fillId="2" borderId="0" xfId="0" applyNumberFormat="1" applyFont="1" applyFill="1" applyAlignment="1" applyProtection="1">
      <alignment horizontal="left"/>
      <protection hidden="1"/>
    </xf>
    <xf numFmtId="168" fontId="48" fillId="2" borderId="5" xfId="0" applyNumberFormat="1" applyFont="1" applyFill="1" applyBorder="1" applyAlignment="1" applyProtection="1">
      <alignment horizontal="left"/>
      <protection hidden="1"/>
    </xf>
    <xf numFmtId="0" fontId="16" fillId="3" borderId="6" xfId="0" applyFont="1" applyFill="1" applyBorder="1" applyAlignment="1" applyProtection="1">
      <alignment horizontal="center" vertical="center"/>
      <protection hidden="1"/>
    </xf>
    <xf numFmtId="0" fontId="16" fillId="3" borderId="7" xfId="0" applyFont="1" applyFill="1" applyBorder="1" applyAlignment="1" applyProtection="1">
      <alignment horizontal="center" vertical="center"/>
      <protection hidden="1"/>
    </xf>
    <xf numFmtId="0" fontId="16" fillId="3" borderId="8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0" fontId="16" fillId="3" borderId="2" xfId="0" applyFont="1" applyFill="1" applyBorder="1" applyAlignment="1" applyProtection="1">
      <alignment horizontal="center" vertical="center"/>
      <protection hidden="1"/>
    </xf>
    <xf numFmtId="0" fontId="16" fillId="3" borderId="3" xfId="0" applyFont="1" applyFill="1" applyBorder="1" applyAlignment="1" applyProtection="1">
      <alignment horizontal="center" vertical="center"/>
      <protection hidden="1"/>
    </xf>
    <xf numFmtId="0" fontId="7" fillId="2" borderId="104" xfId="0" applyFont="1" applyFill="1" applyBorder="1" applyAlignment="1">
      <alignment horizontal="center" vertical="center" wrapText="1"/>
    </xf>
    <xf numFmtId="0" fontId="7" fillId="2" borderId="105" xfId="0" applyFont="1" applyFill="1" applyBorder="1" applyAlignment="1">
      <alignment horizontal="center" vertical="center" wrapText="1"/>
    </xf>
    <xf numFmtId="0" fontId="7" fillId="2" borderId="106" xfId="0" applyFont="1" applyFill="1" applyBorder="1" applyAlignment="1">
      <alignment horizontal="center" vertical="center" wrapText="1"/>
    </xf>
    <xf numFmtId="0" fontId="33" fillId="3" borderId="15" xfId="3" applyFont="1" applyFill="1" applyBorder="1" applyAlignment="1" applyProtection="1">
      <alignment horizontal="center"/>
      <protection hidden="1"/>
    </xf>
    <xf numFmtId="0" fontId="33" fillId="3" borderId="17" xfId="3" applyFont="1" applyFill="1" applyBorder="1" applyAlignment="1" applyProtection="1">
      <alignment horizontal="center"/>
      <protection hidden="1"/>
    </xf>
    <xf numFmtId="0" fontId="16" fillId="3" borderId="1" xfId="3" applyFont="1" applyFill="1" applyBorder="1" applyAlignment="1" applyProtection="1">
      <alignment horizontal="center"/>
      <protection hidden="1"/>
    </xf>
    <xf numFmtId="0" fontId="16" fillId="3" borderId="2" xfId="3" applyFont="1" applyFill="1" applyBorder="1" applyAlignment="1" applyProtection="1">
      <alignment horizontal="center"/>
      <protection hidden="1"/>
    </xf>
    <xf numFmtId="0" fontId="16" fillId="3" borderId="3" xfId="3" applyFont="1" applyFill="1" applyBorder="1" applyAlignment="1" applyProtection="1">
      <alignment horizontal="center"/>
      <protection hidden="1"/>
    </xf>
    <xf numFmtId="164" fontId="24" fillId="2" borderId="38" xfId="3" applyNumberFormat="1" applyFont="1" applyFill="1" applyBorder="1" applyAlignment="1" applyProtection="1">
      <alignment horizontal="left" indent="4"/>
      <protection hidden="1"/>
    </xf>
    <xf numFmtId="164" fontId="24" fillId="2" borderId="39" xfId="3" applyNumberFormat="1" applyFont="1" applyFill="1" applyBorder="1" applyAlignment="1" applyProtection="1">
      <alignment horizontal="left" indent="4"/>
      <protection hidden="1"/>
    </xf>
    <xf numFmtId="0" fontId="16" fillId="3" borderId="23" xfId="0" applyFont="1" applyFill="1" applyBorder="1" applyAlignment="1" applyProtection="1">
      <alignment horizontal="center" vertical="center"/>
      <protection hidden="1"/>
    </xf>
    <xf numFmtId="0" fontId="16" fillId="3" borderId="18" xfId="0" applyFont="1" applyFill="1" applyBorder="1" applyAlignment="1" applyProtection="1">
      <alignment horizontal="center" vertical="center"/>
      <protection hidden="1"/>
    </xf>
    <xf numFmtId="0" fontId="16" fillId="3" borderId="19" xfId="0" applyFont="1" applyFill="1" applyBorder="1" applyAlignment="1" applyProtection="1">
      <alignment horizontal="center" vertical="center"/>
      <protection hidden="1"/>
    </xf>
    <xf numFmtId="0" fontId="13" fillId="2" borderId="30" xfId="0" applyFont="1" applyFill="1" applyBorder="1" applyAlignment="1" applyProtection="1">
      <alignment horizontal="center" vertical="center" wrapText="1"/>
      <protection hidden="1"/>
    </xf>
    <xf numFmtId="0" fontId="13" fillId="2" borderId="28" xfId="0" applyFont="1" applyFill="1" applyBorder="1" applyAlignment="1" applyProtection="1">
      <alignment horizontal="center" vertical="center" wrapText="1"/>
      <protection hidden="1"/>
    </xf>
    <xf numFmtId="0" fontId="13" fillId="2" borderId="0" xfId="0" applyFont="1" applyFill="1" applyAlignment="1" applyProtection="1">
      <alignment horizontal="center" vertical="center" wrapText="1"/>
      <protection hidden="1"/>
    </xf>
    <xf numFmtId="10" fontId="24" fillId="2" borderId="38" xfId="9" applyNumberFormat="1" applyFont="1" applyFill="1" applyBorder="1" applyAlignment="1">
      <alignment horizontal="center"/>
    </xf>
    <xf numFmtId="0" fontId="16" fillId="3" borderId="28" xfId="3" applyFont="1" applyFill="1" applyBorder="1" applyAlignment="1" applyProtection="1">
      <alignment horizontal="center"/>
      <protection hidden="1"/>
    </xf>
    <xf numFmtId="0" fontId="16" fillId="3" borderId="29" xfId="3" applyFont="1" applyFill="1" applyBorder="1" applyAlignment="1" applyProtection="1">
      <alignment horizontal="center"/>
      <protection hidden="1"/>
    </xf>
    <xf numFmtId="0" fontId="48" fillId="2" borderId="2" xfId="0" applyFont="1" applyFill="1" applyBorder="1" applyAlignment="1" applyProtection="1">
      <alignment horizontal="left" indent="1"/>
      <protection hidden="1"/>
    </xf>
    <xf numFmtId="0" fontId="48" fillId="2" borderId="3" xfId="0" applyFont="1" applyFill="1" applyBorder="1" applyAlignment="1" applyProtection="1">
      <alignment horizontal="left" indent="1"/>
      <protection hidden="1"/>
    </xf>
    <xf numFmtId="10" fontId="24" fillId="2" borderId="15" xfId="9" applyNumberFormat="1" applyFont="1" applyFill="1" applyBorder="1" applyAlignment="1">
      <alignment horizontal="center"/>
    </xf>
    <xf numFmtId="10" fontId="24" fillId="2" borderId="33" xfId="9" applyNumberFormat="1" applyFont="1" applyFill="1" applyBorder="1" applyAlignment="1">
      <alignment horizontal="center"/>
    </xf>
    <xf numFmtId="0" fontId="28" fillId="3" borderId="25" xfId="3" applyFont="1" applyFill="1" applyBorder="1" applyAlignment="1" applyProtection="1">
      <alignment horizontal="center" wrapText="1"/>
      <protection hidden="1"/>
    </xf>
    <xf numFmtId="0" fontId="28" fillId="3" borderId="18" xfId="3" applyFont="1" applyFill="1" applyBorder="1" applyAlignment="1" applyProtection="1">
      <alignment horizontal="center" wrapText="1"/>
      <protection hidden="1"/>
    </xf>
    <xf numFmtId="0" fontId="28" fillId="3" borderId="19" xfId="3" applyFont="1" applyFill="1" applyBorder="1" applyAlignment="1" applyProtection="1">
      <alignment horizontal="center" wrapText="1"/>
      <protection hidden="1"/>
    </xf>
    <xf numFmtId="0" fontId="19" fillId="3" borderId="6" xfId="0" applyFont="1" applyFill="1" applyBorder="1" applyAlignment="1" applyProtection="1">
      <alignment horizontal="center" vertical="center"/>
      <protection hidden="1"/>
    </xf>
    <xf numFmtId="0" fontId="19" fillId="3" borderId="7" xfId="0" applyFont="1" applyFill="1" applyBorder="1" applyAlignment="1" applyProtection="1">
      <alignment horizontal="center" vertical="center"/>
      <protection hidden="1"/>
    </xf>
    <xf numFmtId="0" fontId="19" fillId="3" borderId="8" xfId="0" applyFont="1" applyFill="1" applyBorder="1" applyAlignment="1" applyProtection="1">
      <alignment horizontal="center" vertical="center"/>
      <protection hidden="1"/>
    </xf>
    <xf numFmtId="0" fontId="24" fillId="2" borderId="20" xfId="0" applyFont="1" applyFill="1" applyBorder="1" applyAlignment="1">
      <alignment horizontal="center" vertical="top" wrapText="1"/>
    </xf>
    <xf numFmtId="0" fontId="24" fillId="2" borderId="16" xfId="0" applyFont="1" applyFill="1" applyBorder="1" applyAlignment="1">
      <alignment horizontal="center" vertical="top" wrapText="1"/>
    </xf>
    <xf numFmtId="0" fontId="24" fillId="2" borderId="33" xfId="0" applyFont="1" applyFill="1" applyBorder="1" applyAlignment="1">
      <alignment horizontal="center" vertical="top" wrapText="1"/>
    </xf>
    <xf numFmtId="1" fontId="11" fillId="2" borderId="38" xfId="0" applyNumberFormat="1" applyFont="1" applyFill="1" applyBorder="1" applyAlignment="1">
      <alignment horizontal="center" vertical="center" shrinkToFit="1"/>
    </xf>
    <xf numFmtId="0" fontId="11" fillId="2" borderId="38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164" fontId="24" fillId="2" borderId="17" xfId="0" applyNumberFormat="1" applyFont="1" applyFill="1" applyBorder="1" applyAlignment="1">
      <alignment horizontal="center"/>
    </xf>
    <xf numFmtId="0" fontId="20" fillId="3" borderId="103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/>
    </xf>
    <xf numFmtId="0" fontId="29" fillId="3" borderId="65" xfId="0" applyFont="1" applyFill="1" applyBorder="1" applyAlignment="1">
      <alignment horizontal="left" vertical="center" wrapText="1" indent="1"/>
    </xf>
    <xf numFmtId="0" fontId="29" fillId="3" borderId="68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 applyProtection="1">
      <alignment horizontal="left" indent="1"/>
      <protection hidden="1"/>
    </xf>
    <xf numFmtId="0" fontId="3" fillId="2" borderId="3" xfId="0" applyFont="1" applyFill="1" applyBorder="1" applyAlignment="1" applyProtection="1">
      <alignment horizontal="left" indent="1"/>
      <protection hidden="1"/>
    </xf>
    <xf numFmtId="14" fontId="3" fillId="2" borderId="0" xfId="0" applyNumberFormat="1" applyFont="1" applyFill="1" applyAlignment="1" applyProtection="1">
      <alignment horizontal="right"/>
      <protection hidden="1"/>
    </xf>
    <xf numFmtId="168" fontId="3" fillId="2" borderId="0" xfId="0" applyNumberFormat="1" applyFont="1" applyFill="1" applyAlignment="1" applyProtection="1">
      <alignment horizontal="left"/>
      <protection hidden="1"/>
    </xf>
    <xf numFmtId="168" fontId="3" fillId="2" borderId="5" xfId="0" applyNumberFormat="1" applyFont="1" applyFill="1" applyBorder="1" applyAlignment="1" applyProtection="1">
      <alignment horizontal="left"/>
      <protection hidden="1"/>
    </xf>
    <xf numFmtId="0" fontId="19" fillId="3" borderId="20" xfId="0" applyFont="1" applyFill="1" applyBorder="1" applyAlignment="1" applyProtection="1">
      <alignment horizontal="center" vertical="center"/>
      <protection hidden="1"/>
    </xf>
    <xf numFmtId="0" fontId="19" fillId="3" borderId="16" xfId="0" applyFont="1" applyFill="1" applyBorder="1" applyAlignment="1" applyProtection="1">
      <alignment horizontal="center" vertical="center"/>
      <protection hidden="1"/>
    </xf>
    <xf numFmtId="0" fontId="28" fillId="3" borderId="15" xfId="0" applyFont="1" applyFill="1" applyBorder="1" applyAlignment="1">
      <alignment horizontal="center" vertical="center"/>
    </xf>
    <xf numFmtId="0" fontId="28" fillId="3" borderId="16" xfId="0" applyFont="1" applyFill="1" applyBorder="1" applyAlignment="1">
      <alignment horizontal="center" vertical="center"/>
    </xf>
    <xf numFmtId="0" fontId="28" fillId="3" borderId="17" xfId="0" applyFont="1" applyFill="1" applyBorder="1" applyAlignment="1">
      <alignment horizontal="center" vertical="center"/>
    </xf>
    <xf numFmtId="0" fontId="20" fillId="3" borderId="102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 applyProtection="1">
      <alignment horizontal="center"/>
      <protection hidden="1"/>
    </xf>
    <xf numFmtId="0" fontId="16" fillId="3" borderId="16" xfId="0" applyFont="1" applyFill="1" applyBorder="1" applyAlignment="1" applyProtection="1">
      <alignment horizontal="center"/>
      <protection hidden="1"/>
    </xf>
    <xf numFmtId="0" fontId="16" fillId="3" borderId="17" xfId="0" applyFont="1" applyFill="1" applyBorder="1" applyAlignment="1" applyProtection="1">
      <alignment horizontal="center"/>
      <protection hidden="1"/>
    </xf>
    <xf numFmtId="0" fontId="12" fillId="2" borderId="44" xfId="0" applyFont="1" applyFill="1" applyBorder="1" applyAlignment="1">
      <alignment horizontal="center" vertical="top" wrapText="1"/>
    </xf>
    <xf numFmtId="0" fontId="12" fillId="2" borderId="45" xfId="0" applyFont="1" applyFill="1" applyBorder="1" applyAlignment="1">
      <alignment horizontal="center" vertical="top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1" fontId="11" fillId="2" borderId="40" xfId="0" applyNumberFormat="1" applyFont="1" applyFill="1" applyBorder="1" applyAlignment="1">
      <alignment horizontal="center" vertical="center" shrinkToFit="1"/>
    </xf>
    <xf numFmtId="1" fontId="11" fillId="2" borderId="42" xfId="0" applyNumberFormat="1" applyFont="1" applyFill="1" applyBorder="1" applyAlignment="1">
      <alignment horizontal="center" vertical="center" shrinkToFit="1"/>
    </xf>
    <xf numFmtId="0" fontId="11" fillId="2" borderId="37" xfId="0" applyFont="1" applyFill="1" applyBorder="1" applyAlignment="1">
      <alignment horizontal="center" vertical="center" wrapText="1"/>
    </xf>
    <xf numFmtId="169" fontId="11" fillId="2" borderId="38" xfId="0" applyNumberFormat="1" applyFont="1" applyFill="1" applyBorder="1" applyAlignment="1">
      <alignment horizontal="center" vertical="center" shrinkToFit="1"/>
    </xf>
    <xf numFmtId="0" fontId="39" fillId="2" borderId="20" xfId="0" applyFont="1" applyFill="1" applyBorder="1" applyAlignment="1">
      <alignment horizontal="center"/>
    </xf>
    <xf numFmtId="0" fontId="39" fillId="2" borderId="16" xfId="0" applyFont="1" applyFill="1" applyBorder="1" applyAlignment="1">
      <alignment horizontal="center"/>
    </xf>
    <xf numFmtId="0" fontId="39" fillId="2" borderId="33" xfId="0" applyFont="1" applyFill="1" applyBorder="1" applyAlignment="1">
      <alignment horizontal="center"/>
    </xf>
    <xf numFmtId="9" fontId="11" fillId="2" borderId="38" xfId="0" applyNumberFormat="1" applyFont="1" applyFill="1" applyBorder="1" applyAlignment="1">
      <alignment horizontal="center" vertical="center" shrinkToFit="1"/>
    </xf>
    <xf numFmtId="1" fontId="11" fillId="2" borderId="39" xfId="0" applyNumberFormat="1" applyFont="1" applyFill="1" applyBorder="1" applyAlignment="1">
      <alignment horizontal="center" vertical="center" shrinkToFit="1"/>
    </xf>
    <xf numFmtId="0" fontId="16" fillId="3" borderId="15" xfId="0" applyFont="1" applyFill="1" applyBorder="1" applyAlignment="1" applyProtection="1">
      <alignment horizontal="center" vertical="center"/>
      <protection hidden="1"/>
    </xf>
    <xf numFmtId="0" fontId="16" fillId="3" borderId="16" xfId="0" applyFont="1" applyFill="1" applyBorder="1" applyAlignment="1" applyProtection="1">
      <alignment horizontal="center" vertical="center"/>
      <protection hidden="1"/>
    </xf>
    <xf numFmtId="0" fontId="16" fillId="3" borderId="17" xfId="0" applyFont="1" applyFill="1" applyBorder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top" wrapText="1"/>
      <protection hidden="1"/>
    </xf>
    <xf numFmtId="0" fontId="11" fillId="0" borderId="38" xfId="0" applyFont="1" applyBorder="1" applyAlignment="1">
      <alignment horizontal="center" vertical="center" wrapText="1"/>
    </xf>
    <xf numFmtId="169" fontId="11" fillId="0" borderId="38" xfId="0" applyNumberFormat="1" applyFont="1" applyBorder="1" applyAlignment="1">
      <alignment horizontal="center" vertical="center" shrinkToFit="1"/>
    </xf>
    <xf numFmtId="164" fontId="3" fillId="2" borderId="28" xfId="0" applyNumberFormat="1" applyFont="1" applyFill="1" applyBorder="1" applyAlignment="1" applyProtection="1">
      <alignment horizontal="right" vertical="top" wrapText="1"/>
      <protection hidden="1"/>
    </xf>
    <xf numFmtId="0" fontId="11" fillId="2" borderId="0" xfId="0" applyFont="1" applyFill="1" applyAlignment="1" applyProtection="1">
      <alignment horizontal="right"/>
      <protection hidden="1"/>
    </xf>
    <xf numFmtId="0" fontId="5" fillId="2" borderId="16" xfId="4" applyFont="1" applyFill="1" applyBorder="1" applyAlignment="1" applyProtection="1">
      <alignment horizontal="right"/>
      <protection hidden="1"/>
    </xf>
    <xf numFmtId="0" fontId="5" fillId="2" borderId="28" xfId="0" applyFont="1" applyFill="1" applyBorder="1" applyAlignment="1" applyProtection="1">
      <alignment horizontal="right"/>
      <protection hidden="1"/>
    </xf>
    <xf numFmtId="0" fontId="48" fillId="2" borderId="2" xfId="0" applyFont="1" applyFill="1" applyBorder="1" applyAlignment="1" applyProtection="1">
      <alignment horizontal="left"/>
      <protection hidden="1"/>
    </xf>
    <xf numFmtId="0" fontId="48" fillId="2" borderId="3" xfId="0" applyFont="1" applyFill="1" applyBorder="1" applyAlignment="1" applyProtection="1">
      <alignment horizontal="left"/>
      <protection hidden="1"/>
    </xf>
    <xf numFmtId="0" fontId="5" fillId="2" borderId="18" xfId="4" applyFont="1" applyFill="1" applyBorder="1" applyAlignment="1" applyProtection="1">
      <alignment horizontal="left"/>
      <protection hidden="1"/>
    </xf>
    <xf numFmtId="0" fontId="16" fillId="3" borderId="24" xfId="0" applyFont="1" applyFill="1" applyBorder="1" applyAlignment="1" applyProtection="1">
      <alignment horizontal="center" vertical="center"/>
      <protection hidden="1"/>
    </xf>
    <xf numFmtId="0" fontId="16" fillId="3" borderId="25" xfId="0" applyFont="1" applyFill="1" applyBorder="1" applyAlignment="1" applyProtection="1">
      <alignment horizontal="center" vertical="center"/>
      <protection hidden="1"/>
    </xf>
    <xf numFmtId="0" fontId="41" fillId="3" borderId="30" xfId="0" applyFont="1" applyFill="1" applyBorder="1" applyAlignment="1">
      <alignment horizontal="center" vertical="center" wrapText="1"/>
    </xf>
    <xf numFmtId="0" fontId="41" fillId="3" borderId="28" xfId="0" applyFont="1" applyFill="1" applyBorder="1" applyAlignment="1">
      <alignment horizontal="center" vertical="center" wrapText="1"/>
    </xf>
    <xf numFmtId="0" fontId="41" fillId="3" borderId="31" xfId="0" applyFont="1" applyFill="1" applyBorder="1" applyAlignment="1">
      <alignment horizontal="center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167" fontId="48" fillId="2" borderId="0" xfId="0" applyNumberFormat="1" applyFont="1" applyFill="1" applyAlignment="1" applyProtection="1">
      <alignment horizontal="left"/>
      <protection hidden="1"/>
    </xf>
    <xf numFmtId="167" fontId="48" fillId="2" borderId="5" xfId="0" applyNumberFormat="1" applyFont="1" applyFill="1" applyBorder="1" applyAlignment="1" applyProtection="1">
      <alignment horizontal="left"/>
      <protection hidden="1"/>
    </xf>
    <xf numFmtId="164" fontId="11" fillId="2" borderId="28" xfId="0" applyNumberFormat="1" applyFont="1" applyFill="1" applyBorder="1" applyAlignment="1" applyProtection="1">
      <alignment horizontal="right" vertical="top" wrapText="1"/>
      <protection hidden="1"/>
    </xf>
    <xf numFmtId="0" fontId="12" fillId="2" borderId="16" xfId="4" applyFont="1" applyFill="1" applyBorder="1" applyAlignment="1" applyProtection="1">
      <alignment horizontal="right"/>
      <protection hidden="1"/>
    </xf>
    <xf numFmtId="0" fontId="12" fillId="2" borderId="15" xfId="0" applyFont="1" applyFill="1" applyBorder="1" applyAlignment="1">
      <alignment horizontal="center" vertical="top" wrapText="1"/>
    </xf>
    <xf numFmtId="0" fontId="12" fillId="2" borderId="16" xfId="0" applyFont="1" applyFill="1" applyBorder="1" applyAlignment="1">
      <alignment horizontal="center" vertical="top" wrapText="1"/>
    </xf>
    <xf numFmtId="0" fontId="12" fillId="2" borderId="17" xfId="0" applyFont="1" applyFill="1" applyBorder="1" applyAlignment="1">
      <alignment horizontal="center" vertical="top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169" fontId="11" fillId="2" borderId="40" xfId="0" applyNumberFormat="1" applyFont="1" applyFill="1" applyBorder="1" applyAlignment="1">
      <alignment horizontal="center" vertical="center" shrinkToFit="1"/>
    </xf>
    <xf numFmtId="169" fontId="11" fillId="2" borderId="42" xfId="0" applyNumberFormat="1" applyFont="1" applyFill="1" applyBorder="1" applyAlignment="1">
      <alignment horizontal="center" vertical="center" shrinkToFit="1"/>
    </xf>
    <xf numFmtId="0" fontId="12" fillId="2" borderId="20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 applyProtection="1">
      <alignment horizontal="left" wrapText="1" indent="1"/>
      <protection hidden="1"/>
    </xf>
    <xf numFmtId="0" fontId="11" fillId="2" borderId="0" xfId="0" applyFont="1" applyFill="1" applyAlignment="1" applyProtection="1">
      <alignment horizontal="left" wrapText="1" indent="1"/>
      <protection hidden="1"/>
    </xf>
    <xf numFmtId="165" fontId="5" fillId="2" borderId="22" xfId="0" applyNumberFormat="1" applyFont="1" applyFill="1" applyBorder="1" applyAlignment="1" applyProtection="1">
      <alignment horizontal="center" vertical="center" wrapText="1"/>
      <protection hidden="1"/>
    </xf>
    <xf numFmtId="165" fontId="5" fillId="2" borderId="0" xfId="0" applyNumberFormat="1" applyFont="1" applyFill="1" applyAlignment="1" applyProtection="1">
      <alignment horizontal="center" vertical="center" wrapText="1"/>
      <protection hidden="1"/>
    </xf>
    <xf numFmtId="0" fontId="16" fillId="3" borderId="27" xfId="0" applyFont="1" applyFill="1" applyBorder="1" applyAlignment="1" applyProtection="1">
      <alignment horizontal="center" vertical="center"/>
      <protection hidden="1"/>
    </xf>
    <xf numFmtId="0" fontId="16" fillId="3" borderId="28" xfId="0" applyFont="1" applyFill="1" applyBorder="1" applyAlignment="1" applyProtection="1">
      <alignment horizontal="center" vertical="center"/>
      <protection hidden="1"/>
    </xf>
    <xf numFmtId="0" fontId="16" fillId="3" borderId="29" xfId="0" applyFont="1" applyFill="1" applyBorder="1" applyAlignment="1" applyProtection="1">
      <alignment horizontal="center" vertical="center"/>
      <protection hidden="1"/>
    </xf>
    <xf numFmtId="0" fontId="12" fillId="2" borderId="22" xfId="0" applyFont="1" applyFill="1" applyBorder="1" applyAlignment="1" applyProtection="1">
      <alignment horizontal="left" wrapText="1"/>
      <protection hidden="1"/>
    </xf>
    <xf numFmtId="0" fontId="12" fillId="2" borderId="0" xfId="0" applyFont="1" applyFill="1" applyAlignment="1" applyProtection="1">
      <alignment horizontal="left" wrapText="1"/>
      <protection hidden="1"/>
    </xf>
    <xf numFmtId="0" fontId="16" fillId="3" borderId="33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wrapText="1"/>
      <protection hidden="1"/>
    </xf>
    <xf numFmtId="0" fontId="3" fillId="2" borderId="21" xfId="0" applyFont="1" applyFill="1" applyBorder="1" applyAlignment="1" applyProtection="1">
      <alignment horizontal="center" wrapText="1"/>
      <protection hidden="1"/>
    </xf>
    <xf numFmtId="0" fontId="3" fillId="2" borderId="0" xfId="0" applyFont="1" applyFill="1" applyAlignment="1" applyProtection="1">
      <alignment horizontal="left" wrapText="1"/>
      <protection hidden="1"/>
    </xf>
    <xf numFmtId="164" fontId="12" fillId="2" borderId="5" xfId="0" applyNumberFormat="1" applyFont="1" applyFill="1" applyBorder="1" applyAlignment="1" applyProtection="1">
      <alignment horizontal="center" vertical="center"/>
      <protection hidden="1"/>
    </xf>
    <xf numFmtId="164" fontId="3" fillId="2" borderId="18" xfId="0" applyNumberFormat="1" applyFont="1" applyFill="1" applyBorder="1" applyAlignment="1" applyProtection="1">
      <alignment horizontal="center" vertical="center"/>
      <protection hidden="1"/>
    </xf>
    <xf numFmtId="164" fontId="3" fillId="2" borderId="24" xfId="0" applyNumberFormat="1" applyFont="1" applyFill="1" applyBorder="1" applyAlignment="1" applyProtection="1">
      <alignment horizontal="center" vertical="center"/>
      <protection hidden="1"/>
    </xf>
    <xf numFmtId="165" fontId="5" fillId="2" borderId="16" xfId="0" applyNumberFormat="1" applyFont="1" applyFill="1" applyBorder="1" applyAlignment="1" applyProtection="1">
      <alignment horizontal="right" vertical="center"/>
      <protection hidden="1"/>
    </xf>
    <xf numFmtId="165" fontId="5" fillId="2" borderId="17" xfId="0" applyNumberFormat="1" applyFont="1" applyFill="1" applyBorder="1" applyAlignment="1" applyProtection="1">
      <alignment horizontal="right" vertical="center"/>
      <protection hidden="1"/>
    </xf>
    <xf numFmtId="0" fontId="16" fillId="3" borderId="20" xfId="0" applyFont="1" applyFill="1" applyBorder="1" applyAlignment="1" applyProtection="1">
      <alignment horizontal="center" vertical="center"/>
      <protection hidden="1"/>
    </xf>
    <xf numFmtId="0" fontId="11" fillId="2" borderId="22" xfId="3" applyFont="1" applyFill="1" applyBorder="1" applyAlignment="1" applyProtection="1">
      <alignment horizontal="center" vertical="center" wrapText="1"/>
      <protection hidden="1"/>
    </xf>
    <xf numFmtId="0" fontId="11" fillId="2" borderId="0" xfId="3" applyFont="1" applyFill="1" applyAlignment="1" applyProtection="1">
      <alignment horizontal="center" vertical="center" wrapText="1"/>
      <protection hidden="1"/>
    </xf>
    <xf numFmtId="0" fontId="11" fillId="2" borderId="21" xfId="3" applyFont="1" applyFill="1" applyBorder="1" applyAlignment="1" applyProtection="1">
      <alignment horizontal="center" vertical="center" wrapText="1"/>
      <protection hidden="1"/>
    </xf>
    <xf numFmtId="0" fontId="11" fillId="2" borderId="25" xfId="3" applyFont="1" applyFill="1" applyBorder="1" applyAlignment="1" applyProtection="1">
      <alignment horizontal="center" vertical="center" wrapText="1"/>
      <protection hidden="1"/>
    </xf>
    <xf numFmtId="0" fontId="11" fillId="2" borderId="18" xfId="3" applyFont="1" applyFill="1" applyBorder="1" applyAlignment="1" applyProtection="1">
      <alignment horizontal="center" vertical="center" wrapText="1"/>
      <protection hidden="1"/>
    </xf>
    <xf numFmtId="0" fontId="11" fillId="2" borderId="24" xfId="3" applyFont="1" applyFill="1" applyBorder="1" applyAlignment="1" applyProtection="1">
      <alignment horizontal="center" vertical="center" wrapText="1"/>
      <protection hidden="1"/>
    </xf>
    <xf numFmtId="9" fontId="11" fillId="2" borderId="40" xfId="0" applyNumberFormat="1" applyFont="1" applyFill="1" applyBorder="1" applyAlignment="1">
      <alignment horizontal="center" vertical="center" shrinkToFit="1"/>
    </xf>
    <xf numFmtId="9" fontId="11" fillId="2" borderId="42" xfId="0" applyNumberFormat="1" applyFont="1" applyFill="1" applyBorder="1" applyAlignment="1">
      <alignment horizontal="center" vertical="center" shrinkToFit="1"/>
    </xf>
    <xf numFmtId="1" fontId="11" fillId="2" borderId="41" xfId="0" applyNumberFormat="1" applyFont="1" applyFill="1" applyBorder="1" applyAlignment="1">
      <alignment horizontal="center" vertical="center" shrinkToFit="1"/>
    </xf>
    <xf numFmtId="1" fontId="11" fillId="2" borderId="43" xfId="0" applyNumberFormat="1" applyFont="1" applyFill="1" applyBorder="1" applyAlignment="1">
      <alignment horizontal="center" vertical="center" shrinkToFit="1"/>
    </xf>
    <xf numFmtId="170" fontId="11" fillId="2" borderId="38" xfId="0" applyNumberFormat="1" applyFont="1" applyFill="1" applyBorder="1" applyAlignment="1">
      <alignment horizontal="center" vertical="center" shrinkToFit="1"/>
    </xf>
    <xf numFmtId="0" fontId="24" fillId="2" borderId="17" xfId="0" applyFont="1" applyFill="1" applyBorder="1" applyAlignment="1">
      <alignment horizontal="center" vertical="top" wrapText="1"/>
    </xf>
    <xf numFmtId="0" fontId="24" fillId="2" borderId="38" xfId="0" applyFont="1" applyFill="1" applyBorder="1" applyAlignment="1">
      <alignment horizontal="center" vertical="top" wrapText="1"/>
    </xf>
    <xf numFmtId="0" fontId="24" fillId="2" borderId="39" xfId="0" applyFont="1" applyFill="1" applyBorder="1" applyAlignment="1">
      <alignment horizontal="center" vertical="top" wrapText="1"/>
    </xf>
    <xf numFmtId="0" fontId="5" fillId="0" borderId="20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12" fillId="2" borderId="28" xfId="0" applyFont="1" applyFill="1" applyBorder="1" applyAlignment="1" applyProtection="1">
      <alignment horizontal="right"/>
      <protection hidden="1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15" fillId="3" borderId="9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28" fillId="3" borderId="4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8" fillId="3" borderId="30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/>
    </xf>
    <xf numFmtId="0" fontId="29" fillId="3" borderId="66" xfId="0" applyFont="1" applyFill="1" applyBorder="1" applyAlignment="1">
      <alignment horizontal="left" vertical="center" wrapText="1" indent="1"/>
    </xf>
    <xf numFmtId="0" fontId="29" fillId="3" borderId="69" xfId="0" applyFont="1" applyFill="1" applyBorder="1" applyAlignment="1">
      <alignment horizontal="left" vertical="center" wrapText="1" indent="1"/>
    </xf>
    <xf numFmtId="0" fontId="16" fillId="3" borderId="0" xfId="3" applyFont="1" applyFill="1" applyAlignment="1" applyProtection="1">
      <alignment horizontal="center"/>
      <protection hidden="1"/>
    </xf>
    <xf numFmtId="0" fontId="16" fillId="3" borderId="21" xfId="3" applyFont="1" applyFill="1" applyBorder="1" applyAlignment="1" applyProtection="1">
      <alignment horizontal="center"/>
      <protection hidden="1"/>
    </xf>
    <xf numFmtId="0" fontId="7" fillId="2" borderId="38" xfId="0" applyFont="1" applyFill="1" applyBorder="1" applyAlignment="1">
      <alignment horizontal="center" vertical="center" wrapText="1"/>
    </xf>
    <xf numFmtId="0" fontId="28" fillId="3" borderId="22" xfId="0" applyFont="1" applyFill="1" applyBorder="1" applyAlignment="1">
      <alignment horizontal="center" vertical="center"/>
    </xf>
    <xf numFmtId="2" fontId="8" fillId="2" borderId="27" xfId="0" applyNumberFormat="1" applyFont="1" applyFill="1" applyBorder="1" applyAlignment="1" applyProtection="1">
      <alignment horizontal="center" vertical="center"/>
      <protection hidden="1"/>
    </xf>
    <xf numFmtId="2" fontId="8" fillId="2" borderId="28" xfId="0" applyNumberFormat="1" applyFont="1" applyFill="1" applyBorder="1" applyAlignment="1" applyProtection="1">
      <alignment horizontal="center" vertical="center"/>
      <protection hidden="1"/>
    </xf>
    <xf numFmtId="2" fontId="8" fillId="2" borderId="25" xfId="0" applyNumberFormat="1" applyFont="1" applyFill="1" applyBorder="1" applyAlignment="1" applyProtection="1">
      <alignment horizontal="center" vertical="center"/>
      <protection hidden="1"/>
    </xf>
    <xf numFmtId="2" fontId="8" fillId="2" borderId="18" xfId="0" applyNumberFormat="1" applyFont="1" applyFill="1" applyBorder="1" applyAlignment="1" applyProtection="1">
      <alignment horizontal="center" vertical="center"/>
      <protection hidden="1"/>
    </xf>
    <xf numFmtId="2" fontId="8" fillId="2" borderId="29" xfId="0" applyNumberFormat="1" applyFont="1" applyFill="1" applyBorder="1" applyAlignment="1" applyProtection="1">
      <alignment horizontal="center" vertical="center"/>
      <protection hidden="1"/>
    </xf>
    <xf numFmtId="165" fontId="8" fillId="2" borderId="15" xfId="0" applyNumberFormat="1" applyFont="1" applyFill="1" applyBorder="1" applyAlignment="1" applyProtection="1">
      <alignment horizontal="center" vertical="center"/>
      <protection hidden="1"/>
    </xf>
    <xf numFmtId="165" fontId="8" fillId="2" borderId="17" xfId="0" applyNumberFormat="1" applyFont="1" applyFill="1" applyBorder="1" applyAlignment="1" applyProtection="1">
      <alignment horizontal="center" vertical="center"/>
      <protection hidden="1"/>
    </xf>
    <xf numFmtId="9" fontId="24" fillId="2" borderId="38" xfId="3" applyNumberFormat="1" applyFont="1" applyFill="1" applyBorder="1" applyAlignment="1" applyProtection="1">
      <alignment horizontal="center"/>
      <protection hidden="1"/>
    </xf>
    <xf numFmtId="0" fontId="24" fillId="2" borderId="38" xfId="3" applyFont="1" applyFill="1" applyBorder="1" applyAlignment="1" applyProtection="1">
      <alignment horizontal="center"/>
      <protection hidden="1"/>
    </xf>
    <xf numFmtId="0" fontId="11" fillId="2" borderId="0" xfId="0" applyFont="1" applyFill="1" applyAlignment="1" applyProtection="1">
      <alignment horizontal="right" wrapText="1"/>
      <protection hidden="1"/>
    </xf>
    <xf numFmtId="0" fontId="32" fillId="2" borderId="38" xfId="3" applyFont="1" applyFill="1" applyBorder="1" applyAlignment="1" applyProtection="1">
      <alignment horizontal="center"/>
      <protection hidden="1"/>
    </xf>
    <xf numFmtId="9" fontId="24" fillId="2" borderId="38" xfId="3" applyNumberFormat="1" applyFont="1" applyFill="1" applyBorder="1" applyAlignment="1" applyProtection="1">
      <alignment horizontal="center" wrapText="1"/>
      <protection hidden="1"/>
    </xf>
    <xf numFmtId="0" fontId="24" fillId="2" borderId="38" xfId="3" applyFont="1" applyFill="1" applyBorder="1" applyAlignment="1" applyProtection="1">
      <alignment horizontal="center" wrapText="1"/>
      <protection hidden="1"/>
    </xf>
    <xf numFmtId="0" fontId="13" fillId="2" borderId="22" xfId="0" applyFont="1" applyFill="1" applyBorder="1" applyAlignment="1" applyProtection="1">
      <alignment horizontal="center" vertical="center" wrapText="1"/>
      <protection hidden="1"/>
    </xf>
    <xf numFmtId="6" fontId="6" fillId="2" borderId="15" xfId="0" applyNumberFormat="1" applyFont="1" applyFill="1" applyBorder="1" applyAlignment="1" applyProtection="1">
      <alignment horizontal="center" vertical="center"/>
      <protection hidden="1"/>
    </xf>
    <xf numFmtId="6" fontId="6" fillId="2" borderId="17" xfId="0" applyNumberFormat="1" applyFont="1" applyFill="1" applyBorder="1" applyAlignment="1" applyProtection="1">
      <alignment horizontal="center" vertical="center"/>
      <protection hidden="1"/>
    </xf>
    <xf numFmtId="2" fontId="8" fillId="2" borderId="15" xfId="0" applyNumberFormat="1" applyFont="1" applyFill="1" applyBorder="1" applyAlignment="1" applyProtection="1">
      <alignment horizontal="center" vertical="center"/>
      <protection hidden="1"/>
    </xf>
    <xf numFmtId="2" fontId="8" fillId="2" borderId="16" xfId="0" applyNumberFormat="1" applyFont="1" applyFill="1" applyBorder="1" applyAlignment="1" applyProtection="1">
      <alignment horizontal="center" vertical="center"/>
      <protection hidden="1"/>
    </xf>
    <xf numFmtId="2" fontId="8" fillId="2" borderId="25" xfId="0" applyNumberFormat="1" applyFont="1" applyFill="1" applyBorder="1" applyAlignment="1" applyProtection="1">
      <alignment horizontal="right" vertical="center"/>
      <protection hidden="1"/>
    </xf>
    <xf numFmtId="2" fontId="8" fillId="2" borderId="18" xfId="0" applyNumberFormat="1" applyFont="1" applyFill="1" applyBorder="1" applyAlignment="1" applyProtection="1">
      <alignment horizontal="right" vertical="center"/>
      <protection hidden="1"/>
    </xf>
    <xf numFmtId="0" fontId="39" fillId="2" borderId="38" xfId="3" applyFont="1" applyFill="1" applyBorder="1" applyAlignment="1" applyProtection="1">
      <alignment horizontal="center"/>
      <protection hidden="1"/>
    </xf>
    <xf numFmtId="0" fontId="38" fillId="2" borderId="38" xfId="3" applyFont="1" applyFill="1" applyBorder="1" applyAlignment="1" applyProtection="1">
      <alignment horizontal="center" wrapText="1"/>
      <protection hidden="1"/>
    </xf>
    <xf numFmtId="0" fontId="3" fillId="2" borderId="22" xfId="0" applyFont="1" applyFill="1" applyBorder="1" applyAlignment="1" applyProtection="1">
      <alignment horizontal="center" vertical="center" wrapText="1"/>
      <protection hidden="1"/>
    </xf>
    <xf numFmtId="0" fontId="3" fillId="2" borderId="4" xfId="0" applyFont="1" applyFill="1" applyBorder="1" applyAlignment="1" applyProtection="1">
      <alignment horizontal="center" wrapText="1"/>
      <protection hidden="1"/>
    </xf>
    <xf numFmtId="0" fontId="16" fillId="3" borderId="20" xfId="0" applyFont="1" applyFill="1" applyBorder="1" applyAlignment="1" applyProtection="1">
      <alignment horizontal="center"/>
      <protection hidden="1"/>
    </xf>
    <xf numFmtId="1" fontId="15" fillId="3" borderId="37" xfId="0" applyNumberFormat="1" applyFont="1" applyFill="1" applyBorder="1" applyAlignment="1">
      <alignment horizontal="center"/>
    </xf>
    <xf numFmtId="1" fontId="15" fillId="3" borderId="38" xfId="0" applyNumberFormat="1" applyFont="1" applyFill="1" applyBorder="1" applyAlignment="1">
      <alignment horizontal="center"/>
    </xf>
    <xf numFmtId="164" fontId="3" fillId="2" borderId="28" xfId="0" applyNumberFormat="1" applyFont="1" applyFill="1" applyBorder="1" applyAlignment="1" applyProtection="1">
      <alignment horizontal="right" vertical="center" wrapText="1"/>
      <protection hidden="1"/>
    </xf>
    <xf numFmtId="164" fontId="3" fillId="2" borderId="0" xfId="0" applyNumberFormat="1" applyFont="1" applyFill="1" applyAlignment="1" applyProtection="1">
      <alignment horizontal="right" vertical="center" wrapText="1"/>
      <protection hidden="1"/>
    </xf>
    <xf numFmtId="0" fontId="20" fillId="3" borderId="22" xfId="0" applyFont="1" applyFill="1" applyBorder="1" applyAlignment="1">
      <alignment horizontal="center"/>
    </xf>
    <xf numFmtId="0" fontId="13" fillId="2" borderId="30" xfId="0" applyFont="1" applyFill="1" applyBorder="1" applyAlignment="1" applyProtection="1">
      <alignment horizontal="center" vertical="top"/>
      <protection hidden="1"/>
    </xf>
    <xf numFmtId="0" fontId="13" fillId="2" borderId="28" xfId="0" applyFont="1" applyFill="1" applyBorder="1" applyAlignment="1" applyProtection="1">
      <alignment horizontal="center" vertical="top"/>
      <protection hidden="1"/>
    </xf>
    <xf numFmtId="0" fontId="13" fillId="2" borderId="29" xfId="0" applyFont="1" applyFill="1" applyBorder="1" applyAlignment="1" applyProtection="1">
      <alignment horizontal="center" vertical="top"/>
      <protection hidden="1"/>
    </xf>
    <xf numFmtId="1" fontId="15" fillId="3" borderId="52" xfId="0" applyNumberFormat="1" applyFont="1" applyFill="1" applyBorder="1" applyAlignment="1">
      <alignment horizontal="center"/>
    </xf>
    <xf numFmtId="1" fontId="15" fillId="3" borderId="50" xfId="0" applyNumberFormat="1" applyFont="1" applyFill="1" applyBorder="1" applyAlignment="1">
      <alignment horizontal="center"/>
    </xf>
    <xf numFmtId="164" fontId="15" fillId="3" borderId="59" xfId="0" applyNumberFormat="1" applyFont="1" applyFill="1" applyBorder="1" applyAlignment="1">
      <alignment horizontal="center"/>
    </xf>
    <xf numFmtId="164" fontId="15" fillId="3" borderId="58" xfId="0" applyNumberFormat="1" applyFont="1" applyFill="1" applyBorder="1" applyAlignment="1">
      <alignment horizontal="center"/>
    </xf>
    <xf numFmtId="164" fontId="15" fillId="3" borderId="56" xfId="0" applyNumberFormat="1" applyFont="1" applyFill="1" applyBorder="1" applyAlignment="1">
      <alignment horizontal="center"/>
    </xf>
    <xf numFmtId="0" fontId="5" fillId="2" borderId="22" xfId="0" applyFont="1" applyFill="1" applyBorder="1" applyAlignment="1" applyProtection="1">
      <alignment horizontal="left" wrapText="1"/>
      <protection hidden="1"/>
    </xf>
    <xf numFmtId="0" fontId="5" fillId="2" borderId="0" xfId="0" applyFont="1" applyFill="1" applyAlignment="1" applyProtection="1">
      <alignment horizontal="left" wrapText="1"/>
      <protection hidden="1"/>
    </xf>
    <xf numFmtId="0" fontId="5" fillId="2" borderId="25" xfId="0" applyFont="1" applyFill="1" applyBorder="1" applyAlignment="1" applyProtection="1">
      <alignment horizontal="left" wrapText="1"/>
      <protection hidden="1"/>
    </xf>
    <xf numFmtId="0" fontId="5" fillId="2" borderId="18" xfId="0" applyFont="1" applyFill="1" applyBorder="1" applyAlignment="1" applyProtection="1">
      <alignment horizontal="left" wrapText="1"/>
      <protection hidden="1"/>
    </xf>
    <xf numFmtId="164" fontId="5" fillId="2" borderId="21" xfId="0" applyNumberFormat="1" applyFont="1" applyFill="1" applyBorder="1" applyAlignment="1" applyProtection="1">
      <alignment horizontal="center" vertical="center"/>
      <protection hidden="1"/>
    </xf>
    <xf numFmtId="0" fontId="15" fillId="3" borderId="9" xfId="0" applyFont="1" applyFill="1" applyBorder="1" applyAlignment="1" applyProtection="1">
      <alignment horizontal="center" vertical="center"/>
      <protection hidden="1"/>
    </xf>
    <xf numFmtId="0" fontId="15" fillId="3" borderId="10" xfId="0" applyFont="1" applyFill="1" applyBorder="1" applyAlignment="1" applyProtection="1">
      <alignment horizontal="center" vertical="center"/>
      <protection hidden="1"/>
    </xf>
    <xf numFmtId="0" fontId="15" fillId="3" borderId="11" xfId="0" applyFont="1" applyFill="1" applyBorder="1" applyAlignment="1" applyProtection="1">
      <alignment horizontal="center" vertical="center"/>
      <protection hidden="1"/>
    </xf>
    <xf numFmtId="2" fontId="15" fillId="3" borderId="38" xfId="0" applyNumberFormat="1" applyFont="1" applyFill="1" applyBorder="1" applyAlignment="1">
      <alignment horizontal="center" wrapText="1"/>
    </xf>
    <xf numFmtId="2" fontId="15" fillId="3" borderId="39" xfId="0" applyNumberFormat="1" applyFont="1" applyFill="1" applyBorder="1" applyAlignment="1">
      <alignment horizontal="center" wrapText="1"/>
    </xf>
    <xf numFmtId="164" fontId="15" fillId="3" borderId="37" xfId="0" applyNumberFormat="1" applyFont="1" applyFill="1" applyBorder="1" applyAlignment="1">
      <alignment horizontal="center" vertical="center"/>
    </xf>
    <xf numFmtId="164" fontId="15" fillId="3" borderId="38" xfId="0" applyNumberFormat="1" applyFont="1" applyFill="1" applyBorder="1" applyAlignment="1">
      <alignment horizontal="center" vertical="center"/>
    </xf>
    <xf numFmtId="164" fontId="15" fillId="3" borderId="37" xfId="0" applyNumberFormat="1" applyFont="1" applyFill="1" applyBorder="1" applyAlignment="1">
      <alignment horizontal="center"/>
    </xf>
    <xf numFmtId="164" fontId="15" fillId="3" borderId="38" xfId="0" applyNumberFormat="1" applyFont="1" applyFill="1" applyBorder="1" applyAlignment="1">
      <alignment horizontal="center"/>
    </xf>
    <xf numFmtId="164" fontId="17" fillId="3" borderId="37" xfId="0" applyNumberFormat="1" applyFont="1" applyFill="1" applyBorder="1" applyAlignment="1">
      <alignment horizontal="center"/>
    </xf>
    <xf numFmtId="164" fontId="17" fillId="3" borderId="38" xfId="0" applyNumberFormat="1" applyFont="1" applyFill="1" applyBorder="1" applyAlignment="1">
      <alignment horizontal="center"/>
    </xf>
    <xf numFmtId="0" fontId="3" fillId="2" borderId="22" xfId="0" applyFont="1" applyFill="1" applyBorder="1" applyAlignment="1" applyProtection="1">
      <alignment horizontal="left" wrapText="1" indent="1"/>
      <protection hidden="1"/>
    </xf>
    <xf numFmtId="0" fontId="3" fillId="2" borderId="0" xfId="0" applyFont="1" applyFill="1" applyAlignment="1" applyProtection="1">
      <alignment horizontal="left" wrapText="1" indent="1"/>
      <protection hidden="1"/>
    </xf>
    <xf numFmtId="0" fontId="3" fillId="2" borderId="5" xfId="0" applyFont="1" applyFill="1" applyBorder="1" applyAlignment="1" applyProtection="1">
      <alignment horizontal="left" wrapText="1" indent="1"/>
      <protection hidden="1"/>
    </xf>
    <xf numFmtId="164" fontId="17" fillId="3" borderId="59" xfId="0" applyNumberFormat="1" applyFont="1" applyFill="1" applyBorder="1" applyAlignment="1">
      <alignment horizontal="center"/>
    </xf>
    <xf numFmtId="164" fontId="17" fillId="3" borderId="58" xfId="0" applyNumberFormat="1" applyFont="1" applyFill="1" applyBorder="1" applyAlignment="1">
      <alignment horizontal="center"/>
    </xf>
    <xf numFmtId="164" fontId="17" fillId="3" borderId="56" xfId="0" applyNumberFormat="1" applyFont="1" applyFill="1" applyBorder="1" applyAlignment="1">
      <alignment horizontal="center"/>
    </xf>
    <xf numFmtId="0" fontId="15" fillId="3" borderId="27" xfId="3" applyFont="1" applyFill="1" applyBorder="1" applyAlignment="1" applyProtection="1">
      <alignment horizontal="center"/>
      <protection hidden="1"/>
    </xf>
    <xf numFmtId="0" fontId="15" fillId="3" borderId="28" xfId="3" applyFont="1" applyFill="1" applyBorder="1" applyAlignment="1" applyProtection="1">
      <alignment horizontal="center"/>
      <protection hidden="1"/>
    </xf>
    <xf numFmtId="0" fontId="15" fillId="3" borderId="31" xfId="3" applyFont="1" applyFill="1" applyBorder="1" applyAlignment="1" applyProtection="1">
      <alignment horizontal="center"/>
      <protection hidden="1"/>
    </xf>
    <xf numFmtId="165" fontId="18" fillId="3" borderId="20" xfId="0" applyNumberFormat="1" applyFont="1" applyFill="1" applyBorder="1" applyAlignment="1" applyProtection="1">
      <alignment horizontal="center" vertical="center"/>
      <protection hidden="1"/>
    </xf>
    <xf numFmtId="165" fontId="18" fillId="3" borderId="16" xfId="0" applyNumberFormat="1" applyFont="1" applyFill="1" applyBorder="1" applyAlignment="1" applyProtection="1">
      <alignment horizontal="center" vertical="center"/>
      <protection hidden="1"/>
    </xf>
    <xf numFmtId="165" fontId="18" fillId="3" borderId="33" xfId="0" applyNumberFormat="1" applyFont="1" applyFill="1" applyBorder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right" vertical="center"/>
      <protection hidden="1"/>
    </xf>
    <xf numFmtId="0" fontId="38" fillId="2" borderId="38" xfId="3" applyFont="1" applyFill="1" applyBorder="1" applyAlignment="1" applyProtection="1">
      <alignment horizontal="center"/>
      <protection hidden="1"/>
    </xf>
    <xf numFmtId="0" fontId="16" fillId="3" borderId="22" xfId="0" applyFont="1" applyFill="1" applyBorder="1" applyAlignment="1" applyProtection="1">
      <alignment horizontal="center" vertical="center"/>
      <protection hidden="1"/>
    </xf>
    <xf numFmtId="0" fontId="16" fillId="3" borderId="0" xfId="0" applyFont="1" applyFill="1" applyAlignment="1" applyProtection="1">
      <alignment horizontal="center" vertical="center"/>
      <protection hidden="1"/>
    </xf>
    <xf numFmtId="164" fontId="5" fillId="2" borderId="0" xfId="0" applyNumberFormat="1" applyFont="1" applyFill="1" applyAlignment="1" applyProtection="1">
      <alignment horizontal="center" vertical="center"/>
      <protection hidden="1"/>
    </xf>
    <xf numFmtId="164" fontId="17" fillId="3" borderId="52" xfId="0" applyNumberFormat="1" applyFont="1" applyFill="1" applyBorder="1" applyAlignment="1">
      <alignment horizontal="center"/>
    </xf>
    <xf numFmtId="164" fontId="17" fillId="3" borderId="50" xfId="0" applyNumberFormat="1" applyFont="1" applyFill="1" applyBorder="1" applyAlignment="1">
      <alignment horizontal="center"/>
    </xf>
    <xf numFmtId="164" fontId="5" fillId="2" borderId="29" xfId="0" applyNumberFormat="1" applyFont="1" applyFill="1" applyBorder="1" applyAlignment="1" applyProtection="1">
      <alignment horizontal="center" vertical="center"/>
      <protection hidden="1"/>
    </xf>
    <xf numFmtId="164" fontId="24" fillId="0" borderId="28" xfId="0" applyNumberFormat="1" applyFont="1" applyBorder="1" applyAlignment="1">
      <alignment horizontal="center"/>
    </xf>
    <xf numFmtId="164" fontId="24" fillId="0" borderId="31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center"/>
    </xf>
    <xf numFmtId="164" fontId="24" fillId="0" borderId="5" xfId="0" applyNumberFormat="1" applyFont="1" applyBorder="1" applyAlignment="1">
      <alignment horizontal="center"/>
    </xf>
    <xf numFmtId="164" fontId="24" fillId="0" borderId="18" xfId="0" applyNumberFormat="1" applyFont="1" applyBorder="1" applyAlignment="1">
      <alignment horizontal="center"/>
    </xf>
    <xf numFmtId="164" fontId="24" fillId="0" borderId="19" xfId="0" applyNumberFormat="1" applyFont="1" applyBorder="1" applyAlignment="1">
      <alignment horizontal="center"/>
    </xf>
    <xf numFmtId="164" fontId="15" fillId="3" borderId="17" xfId="0" applyNumberFormat="1" applyFont="1" applyFill="1" applyBorder="1" applyAlignment="1">
      <alignment horizontal="center" vertical="center"/>
    </xf>
    <xf numFmtId="2" fontId="8" fillId="2" borderId="15" xfId="0" applyNumberFormat="1" applyFont="1" applyFill="1" applyBorder="1" applyAlignment="1" applyProtection="1">
      <alignment horizontal="right" vertical="center"/>
      <protection hidden="1"/>
    </xf>
    <xf numFmtId="2" fontId="8" fillId="2" borderId="16" xfId="0" applyNumberFormat="1" applyFont="1" applyFill="1" applyBorder="1" applyAlignment="1" applyProtection="1">
      <alignment horizontal="right" vertical="center"/>
      <protection hidden="1"/>
    </xf>
    <xf numFmtId="2" fontId="20" fillId="6" borderId="15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</cellXfs>
  <cellStyles count="14">
    <cellStyle name="Comma" xfId="1" builtinId="3"/>
    <cellStyle name="Currency" xfId="13" builtinId="4"/>
    <cellStyle name="Hyperlink" xfId="2" builtinId="8"/>
    <cellStyle name="Normal" xfId="0" builtinId="0"/>
    <cellStyle name="Normal 20" xfId="12" xr:uid="{E6F1CD30-912D-4D30-8185-B7857685691C}"/>
    <cellStyle name="Normal 3" xfId="4" xr:uid="{D43FCA97-092F-46E1-98FC-F4596E4A6B6C}"/>
    <cellStyle name="Normal 4" xfId="10" xr:uid="{F490C1CE-F013-48A0-AE1E-74662998F9B1}"/>
    <cellStyle name="Normal 5 2 2 2 2 2" xfId="8" xr:uid="{50AD1452-191F-4D36-A645-245A77AD792F}"/>
    <cellStyle name="Normal 7" xfId="3" xr:uid="{FF8F67FA-DCAA-47D8-B1EC-1236ABD43A46}"/>
    <cellStyle name="Normal_Corr Template_1" xfId="7" xr:uid="{9119E80D-7D7D-4390-85E4-0E74227E229C}"/>
    <cellStyle name="Normal_Sheet1" xfId="5" xr:uid="{AEB39FA7-00A9-4AE8-B05A-9AA3E7074BC6}"/>
    <cellStyle name="Normal_TMS CORR" xfId="6" xr:uid="{4156E085-9C68-4DBD-9812-BC8F6BE6AC5F}"/>
    <cellStyle name="Percent" xfId="9" builtinId="5"/>
    <cellStyle name="Percent 5 2" xfId="11" xr:uid="{0BC1B4F8-4F8C-423C-8E67-A94D1EF7805B}"/>
  </cellStyles>
  <dxfs count="73"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222A61"/>
      <color rgb="FF120060"/>
      <color rgb="FF14025E"/>
      <color rgb="FF0307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326</xdr:row>
      <xdr:rowOff>0</xdr:rowOff>
    </xdr:from>
    <xdr:ext cx="43180" cy="762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A4A801A4-983A-40B0-9225-F7DEDFA452A8}"/>
            </a:ext>
          </a:extLst>
        </xdr:cNvPr>
        <xdr:cNvSpPr/>
      </xdr:nvSpPr>
      <xdr:spPr>
        <a:xfrm>
          <a:off x="993775" y="9620250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263</xdr:row>
      <xdr:rowOff>82677</xdr:rowOff>
    </xdr:from>
    <xdr:ext cx="43180" cy="762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7095D7F-711F-4081-9338-E8F0644F9AFD}"/>
            </a:ext>
          </a:extLst>
        </xdr:cNvPr>
        <xdr:cNvSpPr/>
      </xdr:nvSpPr>
      <xdr:spPr>
        <a:xfrm>
          <a:off x="8213725" y="61215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302</xdr:row>
      <xdr:rowOff>82677</xdr:rowOff>
    </xdr:from>
    <xdr:ext cx="43180" cy="762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682B6021-075E-4360-90CD-1AF22E814228}"/>
            </a:ext>
          </a:extLst>
        </xdr:cNvPr>
        <xdr:cNvSpPr/>
      </xdr:nvSpPr>
      <xdr:spPr>
        <a:xfrm>
          <a:off x="8213725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303</xdr:row>
      <xdr:rowOff>82677</xdr:rowOff>
    </xdr:from>
    <xdr:ext cx="43180" cy="762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92134274-04BB-43EF-BDA3-AAD29AF1ABD1}"/>
            </a:ext>
          </a:extLst>
        </xdr:cNvPr>
        <xdr:cNvSpPr/>
      </xdr:nvSpPr>
      <xdr:spPr>
        <a:xfrm>
          <a:off x="8213725" y="674244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302</xdr:row>
      <xdr:rowOff>82677</xdr:rowOff>
    </xdr:from>
    <xdr:ext cx="43180" cy="762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FDC1323F-C52A-490A-B363-576F02F5AF5F}"/>
            </a:ext>
          </a:extLst>
        </xdr:cNvPr>
        <xdr:cNvSpPr/>
      </xdr:nvSpPr>
      <xdr:spPr>
        <a:xfrm>
          <a:off x="8213725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303</xdr:row>
      <xdr:rowOff>82677</xdr:rowOff>
    </xdr:from>
    <xdr:ext cx="43180" cy="762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2EE555DF-AAAF-4EFC-8F82-BB30C0F83F2F}"/>
            </a:ext>
          </a:extLst>
        </xdr:cNvPr>
        <xdr:cNvSpPr/>
      </xdr:nvSpPr>
      <xdr:spPr>
        <a:xfrm>
          <a:off x="8213725" y="674244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305</xdr:row>
      <xdr:rowOff>0</xdr:rowOff>
    </xdr:from>
    <xdr:ext cx="43180" cy="7620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97054785-7454-40A3-9336-B1DA32774CF1}"/>
            </a:ext>
          </a:extLst>
        </xdr:cNvPr>
        <xdr:cNvSpPr/>
      </xdr:nvSpPr>
      <xdr:spPr>
        <a:xfrm>
          <a:off x="993775" y="67741800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320</xdr:row>
      <xdr:rowOff>0</xdr:rowOff>
    </xdr:from>
    <xdr:ext cx="43180" cy="7620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9D9A1E62-37A7-4A62-8557-789F413F320D}"/>
            </a:ext>
          </a:extLst>
        </xdr:cNvPr>
        <xdr:cNvSpPr/>
      </xdr:nvSpPr>
      <xdr:spPr>
        <a:xfrm>
          <a:off x="993775" y="70627875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325</xdr:row>
      <xdr:rowOff>0</xdr:rowOff>
    </xdr:from>
    <xdr:ext cx="43180" cy="762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36412960-9A70-4C62-95FD-30C3EF29A2CD}"/>
            </a:ext>
          </a:extLst>
        </xdr:cNvPr>
        <xdr:cNvSpPr/>
      </xdr:nvSpPr>
      <xdr:spPr>
        <a:xfrm>
          <a:off x="993775" y="71589900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305</xdr:row>
      <xdr:rowOff>0</xdr:rowOff>
    </xdr:from>
    <xdr:ext cx="43180" cy="7620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BAAA7AB8-7630-4FC0-863D-FA29D4837FF9}"/>
            </a:ext>
          </a:extLst>
        </xdr:cNvPr>
        <xdr:cNvSpPr/>
      </xdr:nvSpPr>
      <xdr:spPr>
        <a:xfrm>
          <a:off x="993775" y="67741800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320</xdr:row>
      <xdr:rowOff>0</xdr:rowOff>
    </xdr:from>
    <xdr:ext cx="43180" cy="7620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D79D29EB-6C7C-46F0-A704-F797B72208CE}"/>
            </a:ext>
          </a:extLst>
        </xdr:cNvPr>
        <xdr:cNvSpPr/>
      </xdr:nvSpPr>
      <xdr:spPr>
        <a:xfrm>
          <a:off x="993775" y="70627875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325</xdr:row>
      <xdr:rowOff>0</xdr:rowOff>
    </xdr:from>
    <xdr:ext cx="43180" cy="7620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769298AE-5B18-4D08-BFCF-5C35B7FB0165}"/>
            </a:ext>
          </a:extLst>
        </xdr:cNvPr>
        <xdr:cNvSpPr/>
      </xdr:nvSpPr>
      <xdr:spPr>
        <a:xfrm>
          <a:off x="993775" y="71589900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481</xdr:row>
      <xdr:rowOff>0</xdr:rowOff>
    </xdr:from>
    <xdr:ext cx="43180" cy="762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9AA07CE0-A9F1-479A-B4E8-F462B190967B}"/>
            </a:ext>
          </a:extLst>
        </xdr:cNvPr>
        <xdr:cNvSpPr/>
      </xdr:nvSpPr>
      <xdr:spPr>
        <a:xfrm>
          <a:off x="993775" y="102012750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13</xdr:col>
      <xdr:colOff>12700</xdr:colOff>
      <xdr:row>302</xdr:row>
      <xdr:rowOff>82677</xdr:rowOff>
    </xdr:from>
    <xdr:ext cx="43180" cy="7620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B405F95E-7656-4A2F-8959-910214B4ABE1}"/>
            </a:ext>
          </a:extLst>
        </xdr:cNvPr>
        <xdr:cNvSpPr/>
      </xdr:nvSpPr>
      <xdr:spPr>
        <a:xfrm>
          <a:off x="8604250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13</xdr:col>
      <xdr:colOff>12700</xdr:colOff>
      <xdr:row>302</xdr:row>
      <xdr:rowOff>82677</xdr:rowOff>
    </xdr:from>
    <xdr:ext cx="43180" cy="7620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18A284EB-46F2-437E-8759-88F25912A7EC}"/>
            </a:ext>
          </a:extLst>
        </xdr:cNvPr>
        <xdr:cNvSpPr/>
      </xdr:nvSpPr>
      <xdr:spPr>
        <a:xfrm>
          <a:off x="8604250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14</xdr:col>
      <xdr:colOff>12700</xdr:colOff>
      <xdr:row>302</xdr:row>
      <xdr:rowOff>82677</xdr:rowOff>
    </xdr:from>
    <xdr:ext cx="43180" cy="7620"/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1D9F6BE9-A69D-4B9E-8D74-316A9980212D}"/>
            </a:ext>
          </a:extLst>
        </xdr:cNvPr>
        <xdr:cNvSpPr/>
      </xdr:nvSpPr>
      <xdr:spPr>
        <a:xfrm>
          <a:off x="8604250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14</xdr:col>
      <xdr:colOff>12700</xdr:colOff>
      <xdr:row>302</xdr:row>
      <xdr:rowOff>82677</xdr:rowOff>
    </xdr:from>
    <xdr:ext cx="43180" cy="7620"/>
    <xdr:sp macro="" textlink="">
      <xdr:nvSpPr>
        <xdr:cNvPr id="26" name="Shape 5">
          <a:extLst>
            <a:ext uri="{FF2B5EF4-FFF2-40B4-BE49-F238E27FC236}">
              <a16:creationId xmlns:a16="http://schemas.microsoft.com/office/drawing/2014/main" id="{21FA0615-8C23-4FC3-9C98-37CB80E3FEE1}"/>
            </a:ext>
          </a:extLst>
        </xdr:cNvPr>
        <xdr:cNvSpPr/>
      </xdr:nvSpPr>
      <xdr:spPr>
        <a:xfrm>
          <a:off x="8604250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12700</xdr:colOff>
      <xdr:row>302</xdr:row>
      <xdr:rowOff>82677</xdr:rowOff>
    </xdr:from>
    <xdr:ext cx="43180" cy="7620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916574FD-3FBD-41B6-A99F-BB6A35C2A14A}"/>
            </a:ext>
          </a:extLst>
        </xdr:cNvPr>
        <xdr:cNvSpPr/>
      </xdr:nvSpPr>
      <xdr:spPr>
        <a:xfrm>
          <a:off x="8604250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12700</xdr:colOff>
      <xdr:row>302</xdr:row>
      <xdr:rowOff>82677</xdr:rowOff>
    </xdr:from>
    <xdr:ext cx="43180" cy="7620"/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8FE6DE5D-55C6-421D-9C7A-C47F3F89F772}"/>
            </a:ext>
          </a:extLst>
        </xdr:cNvPr>
        <xdr:cNvSpPr/>
      </xdr:nvSpPr>
      <xdr:spPr>
        <a:xfrm>
          <a:off x="8604250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12700</xdr:colOff>
      <xdr:row>302</xdr:row>
      <xdr:rowOff>82677</xdr:rowOff>
    </xdr:from>
    <xdr:ext cx="43180" cy="7620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C688BD27-FD18-4F23-BEBE-2F61425C4EF3}"/>
            </a:ext>
          </a:extLst>
        </xdr:cNvPr>
        <xdr:cNvSpPr/>
      </xdr:nvSpPr>
      <xdr:spPr>
        <a:xfrm>
          <a:off x="8604250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12700</xdr:colOff>
      <xdr:row>302</xdr:row>
      <xdr:rowOff>82677</xdr:rowOff>
    </xdr:from>
    <xdr:ext cx="43180" cy="7620"/>
    <xdr:sp macro="" textlink="">
      <xdr:nvSpPr>
        <xdr:cNvPr id="30" name="Shape 5">
          <a:extLst>
            <a:ext uri="{FF2B5EF4-FFF2-40B4-BE49-F238E27FC236}">
              <a16:creationId xmlns:a16="http://schemas.microsoft.com/office/drawing/2014/main" id="{5A6DC92D-063A-4D6B-B059-E34F4BC95E3C}"/>
            </a:ext>
          </a:extLst>
        </xdr:cNvPr>
        <xdr:cNvSpPr/>
      </xdr:nvSpPr>
      <xdr:spPr>
        <a:xfrm>
          <a:off x="8604250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17</xdr:col>
      <xdr:colOff>12700</xdr:colOff>
      <xdr:row>302</xdr:row>
      <xdr:rowOff>82677</xdr:rowOff>
    </xdr:from>
    <xdr:ext cx="43180" cy="7620"/>
    <xdr:sp macro="" textlink="">
      <xdr:nvSpPr>
        <xdr:cNvPr id="31" name="Shape 5">
          <a:extLst>
            <a:ext uri="{FF2B5EF4-FFF2-40B4-BE49-F238E27FC236}">
              <a16:creationId xmlns:a16="http://schemas.microsoft.com/office/drawing/2014/main" id="{C3A9FC3F-D022-4941-8B97-C570D3A598F6}"/>
            </a:ext>
          </a:extLst>
        </xdr:cNvPr>
        <xdr:cNvSpPr/>
      </xdr:nvSpPr>
      <xdr:spPr>
        <a:xfrm>
          <a:off x="8604250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17</xdr:col>
      <xdr:colOff>12700</xdr:colOff>
      <xdr:row>302</xdr:row>
      <xdr:rowOff>82677</xdr:rowOff>
    </xdr:from>
    <xdr:ext cx="43180" cy="7620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C692C256-E0C3-4CFE-B500-07289051818A}"/>
            </a:ext>
          </a:extLst>
        </xdr:cNvPr>
        <xdr:cNvSpPr/>
      </xdr:nvSpPr>
      <xdr:spPr>
        <a:xfrm>
          <a:off x="8604250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18</xdr:col>
      <xdr:colOff>12700</xdr:colOff>
      <xdr:row>302</xdr:row>
      <xdr:rowOff>82677</xdr:rowOff>
    </xdr:from>
    <xdr:ext cx="43180" cy="7620"/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55DA970A-B4B4-4603-B530-7A7EE42EFE96}"/>
            </a:ext>
          </a:extLst>
        </xdr:cNvPr>
        <xdr:cNvSpPr/>
      </xdr:nvSpPr>
      <xdr:spPr>
        <a:xfrm>
          <a:off x="8604250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18</xdr:col>
      <xdr:colOff>12700</xdr:colOff>
      <xdr:row>302</xdr:row>
      <xdr:rowOff>82677</xdr:rowOff>
    </xdr:from>
    <xdr:ext cx="43180" cy="7620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A3FF3D06-045E-42B2-BA6D-629C1821A122}"/>
            </a:ext>
          </a:extLst>
        </xdr:cNvPr>
        <xdr:cNvSpPr/>
      </xdr:nvSpPr>
      <xdr:spPr>
        <a:xfrm>
          <a:off x="8604250" y="67233927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505</xdr:row>
      <xdr:rowOff>0</xdr:rowOff>
    </xdr:from>
    <xdr:ext cx="43180" cy="7620"/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54F63845-917E-4854-9E87-FAD70B244EF4}"/>
            </a:ext>
          </a:extLst>
        </xdr:cNvPr>
        <xdr:cNvSpPr/>
      </xdr:nvSpPr>
      <xdr:spPr>
        <a:xfrm>
          <a:off x="993775" y="108042075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 editAs="oneCell">
    <xdr:from>
      <xdr:col>10</xdr:col>
      <xdr:colOff>202405</xdr:colOff>
      <xdr:row>0</xdr:row>
      <xdr:rowOff>83344</xdr:rowOff>
    </xdr:from>
    <xdr:to>
      <xdr:col>12</xdr:col>
      <xdr:colOff>427127</xdr:colOff>
      <xdr:row>3</xdr:row>
      <xdr:rowOff>250084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6FA674-FE3E-4A4D-B314-16C688240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3718" y="285750"/>
          <a:ext cx="1762125" cy="970446"/>
        </a:xfrm>
        <a:prstGeom prst="rect">
          <a:avLst/>
        </a:prstGeom>
      </xdr:spPr>
    </xdr:pic>
    <xdr:clientData/>
  </xdr:twoCellAnchor>
  <xdr:twoCellAnchor editAs="oneCell">
    <xdr:from>
      <xdr:col>10</xdr:col>
      <xdr:colOff>297656</xdr:colOff>
      <xdr:row>68</xdr:row>
      <xdr:rowOff>59531</xdr:rowOff>
    </xdr:from>
    <xdr:to>
      <xdr:col>12</xdr:col>
      <xdr:colOff>719318</xdr:colOff>
      <xdr:row>72</xdr:row>
      <xdr:rowOff>41907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E883A4-BA3D-4896-B038-24C0D439B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781" y="18573750"/>
          <a:ext cx="1945730" cy="1071562"/>
        </a:xfrm>
        <a:prstGeom prst="rect">
          <a:avLst/>
        </a:prstGeom>
      </xdr:spPr>
    </xdr:pic>
    <xdr:clientData/>
  </xdr:twoCellAnchor>
  <xdr:twoCellAnchor editAs="oneCell">
    <xdr:from>
      <xdr:col>10</xdr:col>
      <xdr:colOff>35718</xdr:colOff>
      <xdr:row>150</xdr:row>
      <xdr:rowOff>23813</xdr:rowOff>
    </xdr:from>
    <xdr:to>
      <xdr:col>12</xdr:col>
      <xdr:colOff>464550</xdr:colOff>
      <xdr:row>154</xdr:row>
      <xdr:rowOff>41587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ED7F612-951E-4C8C-AE7C-4C3EAAAB8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7031" y="37897594"/>
          <a:ext cx="1971950" cy="1086002"/>
        </a:xfrm>
        <a:prstGeom prst="rect">
          <a:avLst/>
        </a:prstGeom>
      </xdr:spPr>
    </xdr:pic>
    <xdr:clientData/>
  </xdr:twoCellAnchor>
  <xdr:twoCellAnchor editAs="oneCell">
    <xdr:from>
      <xdr:col>10</xdr:col>
      <xdr:colOff>654844</xdr:colOff>
      <xdr:row>512</xdr:row>
      <xdr:rowOff>59531</xdr:rowOff>
    </xdr:from>
    <xdr:to>
      <xdr:col>13</xdr:col>
      <xdr:colOff>333922</xdr:colOff>
      <xdr:row>516</xdr:row>
      <xdr:rowOff>79212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E0712D9-087B-48AF-AF1F-B855680DA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3313" y="62543531"/>
          <a:ext cx="1971950" cy="1086002"/>
        </a:xfrm>
        <a:prstGeom prst="rect">
          <a:avLst/>
        </a:prstGeom>
      </xdr:spPr>
    </xdr:pic>
    <xdr:clientData/>
  </xdr:twoCellAnchor>
  <xdr:oneCellAnchor>
    <xdr:from>
      <xdr:col>12</xdr:col>
      <xdr:colOff>12700</xdr:colOff>
      <xdr:row>598</xdr:row>
      <xdr:rowOff>0</xdr:rowOff>
    </xdr:from>
    <xdr:ext cx="43180" cy="7620"/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0E7129FC-AAB0-492E-A4BC-19BA799BE3CE}"/>
            </a:ext>
          </a:extLst>
        </xdr:cNvPr>
        <xdr:cNvSpPr/>
      </xdr:nvSpPr>
      <xdr:spPr>
        <a:xfrm>
          <a:off x="8632825" y="127320675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598</xdr:row>
      <xdr:rowOff>0</xdr:rowOff>
    </xdr:from>
    <xdr:ext cx="43180" cy="7620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8E070648-EE71-4E5D-B76F-3DB9EFEA766F}"/>
            </a:ext>
          </a:extLst>
        </xdr:cNvPr>
        <xdr:cNvSpPr/>
      </xdr:nvSpPr>
      <xdr:spPr>
        <a:xfrm>
          <a:off x="993775" y="127320675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10</xdr:col>
      <xdr:colOff>202405</xdr:colOff>
      <xdr:row>603</xdr:row>
      <xdr:rowOff>83344</xdr:rowOff>
    </xdr:from>
    <xdr:ext cx="1762125" cy="970446"/>
    <xdr:pic>
      <xdr:nvPicPr>
        <xdr:cNvPr id="42" name="Picture 41">
          <a:extLst>
            <a:ext uri="{FF2B5EF4-FFF2-40B4-BE49-F238E27FC236}">
              <a16:creationId xmlns:a16="http://schemas.microsoft.com/office/drawing/2014/main" id="{60D26678-F2B4-4F89-B134-59B5DFF47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7530" y="117538500"/>
          <a:ext cx="1762125" cy="970446"/>
        </a:xfrm>
        <a:prstGeom prst="rect">
          <a:avLst/>
        </a:prstGeom>
      </xdr:spPr>
    </xdr:pic>
    <xdr:clientData/>
  </xdr:oneCellAnchor>
  <xdr:oneCellAnchor>
    <xdr:from>
      <xdr:col>11</xdr:col>
      <xdr:colOff>1143000</xdr:colOff>
      <xdr:row>671</xdr:row>
      <xdr:rowOff>59531</xdr:rowOff>
    </xdr:from>
    <xdr:ext cx="1971950" cy="1086002"/>
    <xdr:pic>
      <xdr:nvPicPr>
        <xdr:cNvPr id="43" name="Picture 42">
          <a:extLst>
            <a:ext uri="{FF2B5EF4-FFF2-40B4-BE49-F238E27FC236}">
              <a16:creationId xmlns:a16="http://schemas.microsoft.com/office/drawing/2014/main" id="{EDBA812F-AF93-4F9C-8463-8147F6B69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132028406"/>
          <a:ext cx="1971950" cy="1086002"/>
        </a:xfrm>
        <a:prstGeom prst="rect">
          <a:avLst/>
        </a:prstGeom>
      </xdr:spPr>
    </xdr:pic>
    <xdr:clientData/>
  </xdr:oneCellAnchor>
  <xdr:oneCellAnchor>
    <xdr:from>
      <xdr:col>12</xdr:col>
      <xdr:colOff>488155</xdr:colOff>
      <xdr:row>753</xdr:row>
      <xdr:rowOff>35719</xdr:rowOff>
    </xdr:from>
    <xdr:ext cx="1971950" cy="1086002"/>
    <xdr:pic>
      <xdr:nvPicPr>
        <xdr:cNvPr id="44" name="Picture 43">
          <a:extLst>
            <a:ext uri="{FF2B5EF4-FFF2-40B4-BE49-F238E27FC236}">
              <a16:creationId xmlns:a16="http://schemas.microsoft.com/office/drawing/2014/main" id="{707386BE-92C6-4B07-AF5E-5F439B7D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6374" y="149209125"/>
          <a:ext cx="1971950" cy="1086002"/>
        </a:xfrm>
        <a:prstGeom prst="rect">
          <a:avLst/>
        </a:prstGeom>
      </xdr:spPr>
    </xdr:pic>
    <xdr:clientData/>
  </xdr:oneCellAnchor>
  <xdr:oneCellAnchor>
    <xdr:from>
      <xdr:col>2</xdr:col>
      <xdr:colOff>12700</xdr:colOff>
      <xdr:row>912</xdr:row>
      <xdr:rowOff>0</xdr:rowOff>
    </xdr:from>
    <xdr:ext cx="43180" cy="7620"/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9CC59AD9-49E0-45CE-B956-E3CCFCD49FD1}"/>
            </a:ext>
          </a:extLst>
        </xdr:cNvPr>
        <xdr:cNvSpPr/>
      </xdr:nvSpPr>
      <xdr:spPr>
        <a:xfrm>
          <a:off x="989013" y="81760219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861</xdr:row>
      <xdr:rowOff>0</xdr:rowOff>
    </xdr:from>
    <xdr:ext cx="43180" cy="7620"/>
    <xdr:sp macro="" textlink="">
      <xdr:nvSpPr>
        <xdr:cNvPr id="54" name="Shape 5">
          <a:extLst>
            <a:ext uri="{FF2B5EF4-FFF2-40B4-BE49-F238E27FC236}">
              <a16:creationId xmlns:a16="http://schemas.microsoft.com/office/drawing/2014/main" id="{723EF68A-DF79-4C6E-98A2-AB48E77620A9}"/>
            </a:ext>
          </a:extLst>
        </xdr:cNvPr>
        <xdr:cNvSpPr/>
      </xdr:nvSpPr>
      <xdr:spPr>
        <a:xfrm>
          <a:off x="989013" y="77700188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876</xdr:row>
      <xdr:rowOff>0</xdr:rowOff>
    </xdr:from>
    <xdr:ext cx="43180" cy="7620"/>
    <xdr:sp macro="" textlink="">
      <xdr:nvSpPr>
        <xdr:cNvPr id="55" name="Shape 5">
          <a:extLst>
            <a:ext uri="{FF2B5EF4-FFF2-40B4-BE49-F238E27FC236}">
              <a16:creationId xmlns:a16="http://schemas.microsoft.com/office/drawing/2014/main" id="{077B0D93-B68C-4E12-84A7-32B2F5EC860F}"/>
            </a:ext>
          </a:extLst>
        </xdr:cNvPr>
        <xdr:cNvSpPr/>
      </xdr:nvSpPr>
      <xdr:spPr>
        <a:xfrm>
          <a:off x="989013" y="80593406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881</xdr:row>
      <xdr:rowOff>0</xdr:rowOff>
    </xdr:from>
    <xdr:ext cx="43180" cy="7620"/>
    <xdr:sp macro="" textlink="">
      <xdr:nvSpPr>
        <xdr:cNvPr id="56" name="Shape 5">
          <a:extLst>
            <a:ext uri="{FF2B5EF4-FFF2-40B4-BE49-F238E27FC236}">
              <a16:creationId xmlns:a16="http://schemas.microsoft.com/office/drawing/2014/main" id="{38453F15-B72E-41F6-BB66-8C368D8E041B}"/>
            </a:ext>
          </a:extLst>
        </xdr:cNvPr>
        <xdr:cNvSpPr/>
      </xdr:nvSpPr>
      <xdr:spPr>
        <a:xfrm>
          <a:off x="989013" y="81557813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861</xdr:row>
      <xdr:rowOff>0</xdr:rowOff>
    </xdr:from>
    <xdr:ext cx="43180" cy="7620"/>
    <xdr:sp macro="" textlink="">
      <xdr:nvSpPr>
        <xdr:cNvPr id="57" name="Shape 5">
          <a:extLst>
            <a:ext uri="{FF2B5EF4-FFF2-40B4-BE49-F238E27FC236}">
              <a16:creationId xmlns:a16="http://schemas.microsoft.com/office/drawing/2014/main" id="{06764298-BE7D-49F8-964F-E7BB40BEEE13}"/>
            </a:ext>
          </a:extLst>
        </xdr:cNvPr>
        <xdr:cNvSpPr/>
      </xdr:nvSpPr>
      <xdr:spPr>
        <a:xfrm>
          <a:off x="989013" y="77700188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876</xdr:row>
      <xdr:rowOff>0</xdr:rowOff>
    </xdr:from>
    <xdr:ext cx="43180" cy="7620"/>
    <xdr:sp macro="" textlink="">
      <xdr:nvSpPr>
        <xdr:cNvPr id="58" name="Shape 5">
          <a:extLst>
            <a:ext uri="{FF2B5EF4-FFF2-40B4-BE49-F238E27FC236}">
              <a16:creationId xmlns:a16="http://schemas.microsoft.com/office/drawing/2014/main" id="{7D65B49E-388F-4576-B921-8E5F33136022}"/>
            </a:ext>
          </a:extLst>
        </xdr:cNvPr>
        <xdr:cNvSpPr/>
      </xdr:nvSpPr>
      <xdr:spPr>
        <a:xfrm>
          <a:off x="989013" y="80593406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881</xdr:row>
      <xdr:rowOff>0</xdr:rowOff>
    </xdr:from>
    <xdr:ext cx="43180" cy="7620"/>
    <xdr:sp macro="" textlink="">
      <xdr:nvSpPr>
        <xdr:cNvPr id="59" name="Shape 5">
          <a:extLst>
            <a:ext uri="{FF2B5EF4-FFF2-40B4-BE49-F238E27FC236}">
              <a16:creationId xmlns:a16="http://schemas.microsoft.com/office/drawing/2014/main" id="{4C5BCED9-0D3A-41F0-BF04-6B96E40D4A4F}"/>
            </a:ext>
          </a:extLst>
        </xdr:cNvPr>
        <xdr:cNvSpPr/>
      </xdr:nvSpPr>
      <xdr:spPr>
        <a:xfrm>
          <a:off x="989013" y="81557813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302</xdr:row>
      <xdr:rowOff>82677</xdr:rowOff>
    </xdr:from>
    <xdr:ext cx="43180" cy="7620"/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1D0783F7-DD15-4359-AEE0-1346666E9898}"/>
            </a:ext>
          </a:extLst>
        </xdr:cNvPr>
        <xdr:cNvSpPr/>
      </xdr:nvSpPr>
      <xdr:spPr>
        <a:xfrm>
          <a:off x="86328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303</xdr:row>
      <xdr:rowOff>82677</xdr:rowOff>
    </xdr:from>
    <xdr:ext cx="43180" cy="7620"/>
    <xdr:sp macro="" textlink="">
      <xdr:nvSpPr>
        <xdr:cNvPr id="47" name="Shape 5">
          <a:extLst>
            <a:ext uri="{FF2B5EF4-FFF2-40B4-BE49-F238E27FC236}">
              <a16:creationId xmlns:a16="http://schemas.microsoft.com/office/drawing/2014/main" id="{11A01DDD-57C7-41BC-9CF1-FF0FDB4C5DA7}"/>
            </a:ext>
          </a:extLst>
        </xdr:cNvPr>
        <xdr:cNvSpPr/>
      </xdr:nvSpPr>
      <xdr:spPr>
        <a:xfrm>
          <a:off x="8632825" y="772447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302</xdr:row>
      <xdr:rowOff>82677</xdr:rowOff>
    </xdr:from>
    <xdr:ext cx="43180" cy="7620"/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B9CF740B-1A69-482B-8A0A-EF43F495391A}"/>
            </a:ext>
          </a:extLst>
        </xdr:cNvPr>
        <xdr:cNvSpPr/>
      </xdr:nvSpPr>
      <xdr:spPr>
        <a:xfrm>
          <a:off x="86328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303</xdr:row>
      <xdr:rowOff>82677</xdr:rowOff>
    </xdr:from>
    <xdr:ext cx="43180" cy="7620"/>
    <xdr:sp macro="" textlink="">
      <xdr:nvSpPr>
        <xdr:cNvPr id="50" name="Shape 5">
          <a:extLst>
            <a:ext uri="{FF2B5EF4-FFF2-40B4-BE49-F238E27FC236}">
              <a16:creationId xmlns:a16="http://schemas.microsoft.com/office/drawing/2014/main" id="{8F6F92B0-E7CC-4575-9B84-6B2CAD8D947B}"/>
            </a:ext>
          </a:extLst>
        </xdr:cNvPr>
        <xdr:cNvSpPr/>
      </xdr:nvSpPr>
      <xdr:spPr>
        <a:xfrm>
          <a:off x="8632825" y="772447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13</xdr:col>
      <xdr:colOff>12700</xdr:colOff>
      <xdr:row>302</xdr:row>
      <xdr:rowOff>82677</xdr:rowOff>
    </xdr:from>
    <xdr:ext cx="43180" cy="7620"/>
    <xdr:sp macro="" textlink="">
      <xdr:nvSpPr>
        <xdr:cNvPr id="51" name="Shape 5">
          <a:extLst>
            <a:ext uri="{FF2B5EF4-FFF2-40B4-BE49-F238E27FC236}">
              <a16:creationId xmlns:a16="http://schemas.microsoft.com/office/drawing/2014/main" id="{1DAD0B80-58BB-41CE-A6AB-70D503C66957}"/>
            </a:ext>
          </a:extLst>
        </xdr:cNvPr>
        <xdr:cNvSpPr/>
      </xdr:nvSpPr>
      <xdr:spPr>
        <a:xfrm>
          <a:off x="934720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13</xdr:col>
      <xdr:colOff>12700</xdr:colOff>
      <xdr:row>302</xdr:row>
      <xdr:rowOff>82677</xdr:rowOff>
    </xdr:from>
    <xdr:ext cx="43180" cy="7620"/>
    <xdr:sp macro="" textlink="">
      <xdr:nvSpPr>
        <xdr:cNvPr id="52" name="Shape 5">
          <a:extLst>
            <a:ext uri="{FF2B5EF4-FFF2-40B4-BE49-F238E27FC236}">
              <a16:creationId xmlns:a16="http://schemas.microsoft.com/office/drawing/2014/main" id="{A37DF521-7D23-4186-89F9-C20DF61DB2A1}"/>
            </a:ext>
          </a:extLst>
        </xdr:cNvPr>
        <xdr:cNvSpPr/>
      </xdr:nvSpPr>
      <xdr:spPr>
        <a:xfrm>
          <a:off x="934720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14</xdr:col>
      <xdr:colOff>12700</xdr:colOff>
      <xdr:row>302</xdr:row>
      <xdr:rowOff>82677</xdr:rowOff>
    </xdr:from>
    <xdr:ext cx="43180" cy="7620"/>
    <xdr:sp macro="" textlink="">
      <xdr:nvSpPr>
        <xdr:cNvPr id="53" name="Shape 5">
          <a:extLst>
            <a:ext uri="{FF2B5EF4-FFF2-40B4-BE49-F238E27FC236}">
              <a16:creationId xmlns:a16="http://schemas.microsoft.com/office/drawing/2014/main" id="{35AE880C-769D-4116-AC26-5EE6F99B579D}"/>
            </a:ext>
          </a:extLst>
        </xdr:cNvPr>
        <xdr:cNvSpPr/>
      </xdr:nvSpPr>
      <xdr:spPr>
        <a:xfrm>
          <a:off x="1006157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14</xdr:col>
      <xdr:colOff>12700</xdr:colOff>
      <xdr:row>302</xdr:row>
      <xdr:rowOff>82677</xdr:rowOff>
    </xdr:from>
    <xdr:ext cx="43180" cy="7620"/>
    <xdr:sp macro="" textlink="">
      <xdr:nvSpPr>
        <xdr:cNvPr id="60" name="Shape 5">
          <a:extLst>
            <a:ext uri="{FF2B5EF4-FFF2-40B4-BE49-F238E27FC236}">
              <a16:creationId xmlns:a16="http://schemas.microsoft.com/office/drawing/2014/main" id="{7F13A0B3-2DBF-4EF0-AF3F-5E9A3BAE3D15}"/>
            </a:ext>
          </a:extLst>
        </xdr:cNvPr>
        <xdr:cNvSpPr/>
      </xdr:nvSpPr>
      <xdr:spPr>
        <a:xfrm>
          <a:off x="1006157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12700</xdr:colOff>
      <xdr:row>302</xdr:row>
      <xdr:rowOff>82677</xdr:rowOff>
    </xdr:from>
    <xdr:ext cx="43180" cy="7620"/>
    <xdr:sp macro="" textlink="">
      <xdr:nvSpPr>
        <xdr:cNvPr id="61" name="Shape 5">
          <a:extLst>
            <a:ext uri="{FF2B5EF4-FFF2-40B4-BE49-F238E27FC236}">
              <a16:creationId xmlns:a16="http://schemas.microsoft.com/office/drawing/2014/main" id="{5B3751F3-A34E-4F1A-AF4E-E2AE57514487}"/>
            </a:ext>
          </a:extLst>
        </xdr:cNvPr>
        <xdr:cNvSpPr/>
      </xdr:nvSpPr>
      <xdr:spPr>
        <a:xfrm>
          <a:off x="107759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12700</xdr:colOff>
      <xdr:row>302</xdr:row>
      <xdr:rowOff>82677</xdr:rowOff>
    </xdr:from>
    <xdr:ext cx="43180" cy="7620"/>
    <xdr:sp macro="" textlink="">
      <xdr:nvSpPr>
        <xdr:cNvPr id="62" name="Shape 5">
          <a:extLst>
            <a:ext uri="{FF2B5EF4-FFF2-40B4-BE49-F238E27FC236}">
              <a16:creationId xmlns:a16="http://schemas.microsoft.com/office/drawing/2014/main" id="{31DD3CC0-AF44-4359-880E-B66784A7E8B6}"/>
            </a:ext>
          </a:extLst>
        </xdr:cNvPr>
        <xdr:cNvSpPr/>
      </xdr:nvSpPr>
      <xdr:spPr>
        <a:xfrm>
          <a:off x="107759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12700</xdr:colOff>
      <xdr:row>302</xdr:row>
      <xdr:rowOff>82677</xdr:rowOff>
    </xdr:from>
    <xdr:ext cx="43180" cy="7620"/>
    <xdr:sp macro="" textlink="">
      <xdr:nvSpPr>
        <xdr:cNvPr id="63" name="Shape 5">
          <a:extLst>
            <a:ext uri="{FF2B5EF4-FFF2-40B4-BE49-F238E27FC236}">
              <a16:creationId xmlns:a16="http://schemas.microsoft.com/office/drawing/2014/main" id="{0CC42F9F-A193-49AC-8568-B9C2E1F3880D}"/>
            </a:ext>
          </a:extLst>
        </xdr:cNvPr>
        <xdr:cNvSpPr/>
      </xdr:nvSpPr>
      <xdr:spPr>
        <a:xfrm>
          <a:off x="114903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12700</xdr:colOff>
      <xdr:row>302</xdr:row>
      <xdr:rowOff>82677</xdr:rowOff>
    </xdr:from>
    <xdr:ext cx="43180" cy="7620"/>
    <xdr:sp macro="" textlink="">
      <xdr:nvSpPr>
        <xdr:cNvPr id="64" name="Shape 5">
          <a:extLst>
            <a:ext uri="{FF2B5EF4-FFF2-40B4-BE49-F238E27FC236}">
              <a16:creationId xmlns:a16="http://schemas.microsoft.com/office/drawing/2014/main" id="{F8C7B708-DB2E-4FEC-AA34-A6C9623CFCF6}"/>
            </a:ext>
          </a:extLst>
        </xdr:cNvPr>
        <xdr:cNvSpPr/>
      </xdr:nvSpPr>
      <xdr:spPr>
        <a:xfrm>
          <a:off x="114903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17</xdr:col>
      <xdr:colOff>12700</xdr:colOff>
      <xdr:row>302</xdr:row>
      <xdr:rowOff>82677</xdr:rowOff>
    </xdr:from>
    <xdr:ext cx="43180" cy="7620"/>
    <xdr:sp macro="" textlink="">
      <xdr:nvSpPr>
        <xdr:cNvPr id="65" name="Shape 5">
          <a:extLst>
            <a:ext uri="{FF2B5EF4-FFF2-40B4-BE49-F238E27FC236}">
              <a16:creationId xmlns:a16="http://schemas.microsoft.com/office/drawing/2014/main" id="{F5DDF92D-115A-4DB3-9325-971C6DD66782}"/>
            </a:ext>
          </a:extLst>
        </xdr:cNvPr>
        <xdr:cNvSpPr/>
      </xdr:nvSpPr>
      <xdr:spPr>
        <a:xfrm>
          <a:off x="122618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17</xdr:col>
      <xdr:colOff>12700</xdr:colOff>
      <xdr:row>302</xdr:row>
      <xdr:rowOff>82677</xdr:rowOff>
    </xdr:from>
    <xdr:ext cx="43180" cy="7620"/>
    <xdr:sp macro="" textlink="">
      <xdr:nvSpPr>
        <xdr:cNvPr id="66" name="Shape 5">
          <a:extLst>
            <a:ext uri="{FF2B5EF4-FFF2-40B4-BE49-F238E27FC236}">
              <a16:creationId xmlns:a16="http://schemas.microsoft.com/office/drawing/2014/main" id="{5F534C0A-DADD-48F4-A780-D860F6BD6334}"/>
            </a:ext>
          </a:extLst>
        </xdr:cNvPr>
        <xdr:cNvSpPr/>
      </xdr:nvSpPr>
      <xdr:spPr>
        <a:xfrm>
          <a:off x="122618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18</xdr:col>
      <xdr:colOff>12700</xdr:colOff>
      <xdr:row>302</xdr:row>
      <xdr:rowOff>82677</xdr:rowOff>
    </xdr:from>
    <xdr:ext cx="43180" cy="7620"/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71A4C91A-B591-4F0B-8841-B8282AF9C967}"/>
            </a:ext>
          </a:extLst>
        </xdr:cNvPr>
        <xdr:cNvSpPr/>
      </xdr:nvSpPr>
      <xdr:spPr>
        <a:xfrm>
          <a:off x="129762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18</xdr:col>
      <xdr:colOff>12700</xdr:colOff>
      <xdr:row>302</xdr:row>
      <xdr:rowOff>82677</xdr:rowOff>
    </xdr:from>
    <xdr:ext cx="43180" cy="7620"/>
    <xdr:sp macro="" textlink="">
      <xdr:nvSpPr>
        <xdr:cNvPr id="68" name="Shape 5">
          <a:extLst>
            <a:ext uri="{FF2B5EF4-FFF2-40B4-BE49-F238E27FC236}">
              <a16:creationId xmlns:a16="http://schemas.microsoft.com/office/drawing/2014/main" id="{54F0BB8A-9DBE-4877-8E31-FED266306905}"/>
            </a:ext>
          </a:extLst>
        </xdr:cNvPr>
        <xdr:cNvSpPr/>
      </xdr:nvSpPr>
      <xdr:spPr>
        <a:xfrm>
          <a:off x="129762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302</xdr:row>
      <xdr:rowOff>82677</xdr:rowOff>
    </xdr:from>
    <xdr:ext cx="43180" cy="7620"/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68E34BAD-FFA9-489F-8BB7-7C3693012925}"/>
            </a:ext>
          </a:extLst>
        </xdr:cNvPr>
        <xdr:cNvSpPr/>
      </xdr:nvSpPr>
      <xdr:spPr>
        <a:xfrm>
          <a:off x="86328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303</xdr:row>
      <xdr:rowOff>82677</xdr:rowOff>
    </xdr:from>
    <xdr:ext cx="43180" cy="7620"/>
    <xdr:sp macro="" textlink="">
      <xdr:nvSpPr>
        <xdr:cNvPr id="70" name="Shape 5">
          <a:extLst>
            <a:ext uri="{FF2B5EF4-FFF2-40B4-BE49-F238E27FC236}">
              <a16:creationId xmlns:a16="http://schemas.microsoft.com/office/drawing/2014/main" id="{91BBDDC7-225B-4D23-8D8B-0609107BDAC9}"/>
            </a:ext>
          </a:extLst>
        </xdr:cNvPr>
        <xdr:cNvSpPr/>
      </xdr:nvSpPr>
      <xdr:spPr>
        <a:xfrm>
          <a:off x="8632825" y="772447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302</xdr:row>
      <xdr:rowOff>82677</xdr:rowOff>
    </xdr:from>
    <xdr:ext cx="43180" cy="7620"/>
    <xdr:sp macro="" textlink="">
      <xdr:nvSpPr>
        <xdr:cNvPr id="71" name="Shape 5">
          <a:extLst>
            <a:ext uri="{FF2B5EF4-FFF2-40B4-BE49-F238E27FC236}">
              <a16:creationId xmlns:a16="http://schemas.microsoft.com/office/drawing/2014/main" id="{E312C109-8482-416A-84FB-1109B9118DDE}"/>
            </a:ext>
          </a:extLst>
        </xdr:cNvPr>
        <xdr:cNvSpPr/>
      </xdr:nvSpPr>
      <xdr:spPr>
        <a:xfrm>
          <a:off x="86328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303</xdr:row>
      <xdr:rowOff>82677</xdr:rowOff>
    </xdr:from>
    <xdr:ext cx="43180" cy="7620"/>
    <xdr:sp macro="" textlink="">
      <xdr:nvSpPr>
        <xdr:cNvPr id="72" name="Shape 5">
          <a:extLst>
            <a:ext uri="{FF2B5EF4-FFF2-40B4-BE49-F238E27FC236}">
              <a16:creationId xmlns:a16="http://schemas.microsoft.com/office/drawing/2014/main" id="{BDA56D84-5D67-46DC-9EDA-C1065C70E722}"/>
            </a:ext>
          </a:extLst>
        </xdr:cNvPr>
        <xdr:cNvSpPr/>
      </xdr:nvSpPr>
      <xdr:spPr>
        <a:xfrm>
          <a:off x="8632825" y="772447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13</xdr:col>
      <xdr:colOff>12700</xdr:colOff>
      <xdr:row>302</xdr:row>
      <xdr:rowOff>82677</xdr:rowOff>
    </xdr:from>
    <xdr:ext cx="43180" cy="7620"/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EEEA9002-0E8C-4CC7-8BFB-7BD2D3D79459}"/>
            </a:ext>
          </a:extLst>
        </xdr:cNvPr>
        <xdr:cNvSpPr/>
      </xdr:nvSpPr>
      <xdr:spPr>
        <a:xfrm>
          <a:off x="934720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13</xdr:col>
      <xdr:colOff>12700</xdr:colOff>
      <xdr:row>302</xdr:row>
      <xdr:rowOff>82677</xdr:rowOff>
    </xdr:from>
    <xdr:ext cx="43180" cy="7620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120E1EAE-5C64-49D5-B41E-99A60FB41045}"/>
            </a:ext>
          </a:extLst>
        </xdr:cNvPr>
        <xdr:cNvSpPr/>
      </xdr:nvSpPr>
      <xdr:spPr>
        <a:xfrm>
          <a:off x="934720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14</xdr:col>
      <xdr:colOff>12700</xdr:colOff>
      <xdr:row>302</xdr:row>
      <xdr:rowOff>82677</xdr:rowOff>
    </xdr:from>
    <xdr:ext cx="43180" cy="7620"/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14AA1BA1-CA04-41CD-9EC2-8455479007B6}"/>
            </a:ext>
          </a:extLst>
        </xdr:cNvPr>
        <xdr:cNvSpPr/>
      </xdr:nvSpPr>
      <xdr:spPr>
        <a:xfrm>
          <a:off x="1006157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14</xdr:col>
      <xdr:colOff>12700</xdr:colOff>
      <xdr:row>302</xdr:row>
      <xdr:rowOff>82677</xdr:rowOff>
    </xdr:from>
    <xdr:ext cx="43180" cy="7620"/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C41A9108-F5CC-4DDE-8990-37BD66AD6AB6}"/>
            </a:ext>
          </a:extLst>
        </xdr:cNvPr>
        <xdr:cNvSpPr/>
      </xdr:nvSpPr>
      <xdr:spPr>
        <a:xfrm>
          <a:off x="1006157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12700</xdr:colOff>
      <xdr:row>302</xdr:row>
      <xdr:rowOff>82677</xdr:rowOff>
    </xdr:from>
    <xdr:ext cx="43180" cy="7620"/>
    <xdr:sp macro="" textlink="">
      <xdr:nvSpPr>
        <xdr:cNvPr id="77" name="Shape 5">
          <a:extLst>
            <a:ext uri="{FF2B5EF4-FFF2-40B4-BE49-F238E27FC236}">
              <a16:creationId xmlns:a16="http://schemas.microsoft.com/office/drawing/2014/main" id="{514342C0-AB10-463E-815F-C635CF348121}"/>
            </a:ext>
          </a:extLst>
        </xdr:cNvPr>
        <xdr:cNvSpPr/>
      </xdr:nvSpPr>
      <xdr:spPr>
        <a:xfrm>
          <a:off x="107759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12700</xdr:colOff>
      <xdr:row>302</xdr:row>
      <xdr:rowOff>82677</xdr:rowOff>
    </xdr:from>
    <xdr:ext cx="43180" cy="7620"/>
    <xdr:sp macro="" textlink="">
      <xdr:nvSpPr>
        <xdr:cNvPr id="78" name="Shape 5">
          <a:extLst>
            <a:ext uri="{FF2B5EF4-FFF2-40B4-BE49-F238E27FC236}">
              <a16:creationId xmlns:a16="http://schemas.microsoft.com/office/drawing/2014/main" id="{A9543FEE-DC71-4E90-84CE-12B401B7D1C8}"/>
            </a:ext>
          </a:extLst>
        </xdr:cNvPr>
        <xdr:cNvSpPr/>
      </xdr:nvSpPr>
      <xdr:spPr>
        <a:xfrm>
          <a:off x="107759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12700</xdr:colOff>
      <xdr:row>302</xdr:row>
      <xdr:rowOff>82677</xdr:rowOff>
    </xdr:from>
    <xdr:ext cx="43180" cy="7620"/>
    <xdr:sp macro="" textlink="">
      <xdr:nvSpPr>
        <xdr:cNvPr id="79" name="Shape 5">
          <a:extLst>
            <a:ext uri="{FF2B5EF4-FFF2-40B4-BE49-F238E27FC236}">
              <a16:creationId xmlns:a16="http://schemas.microsoft.com/office/drawing/2014/main" id="{84E55B92-E1D9-43CF-ACEA-1EA899CAD421}"/>
            </a:ext>
          </a:extLst>
        </xdr:cNvPr>
        <xdr:cNvSpPr/>
      </xdr:nvSpPr>
      <xdr:spPr>
        <a:xfrm>
          <a:off x="114903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12700</xdr:colOff>
      <xdr:row>302</xdr:row>
      <xdr:rowOff>82677</xdr:rowOff>
    </xdr:from>
    <xdr:ext cx="43180" cy="7620"/>
    <xdr:sp macro="" textlink="">
      <xdr:nvSpPr>
        <xdr:cNvPr id="80" name="Shape 5">
          <a:extLst>
            <a:ext uri="{FF2B5EF4-FFF2-40B4-BE49-F238E27FC236}">
              <a16:creationId xmlns:a16="http://schemas.microsoft.com/office/drawing/2014/main" id="{D1A67FD3-C965-4E84-BF95-F198B0614AB7}"/>
            </a:ext>
          </a:extLst>
        </xdr:cNvPr>
        <xdr:cNvSpPr/>
      </xdr:nvSpPr>
      <xdr:spPr>
        <a:xfrm>
          <a:off x="114903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17</xdr:col>
      <xdr:colOff>12700</xdr:colOff>
      <xdr:row>302</xdr:row>
      <xdr:rowOff>82677</xdr:rowOff>
    </xdr:from>
    <xdr:ext cx="43180" cy="7620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54777BEC-C1E8-4515-B395-E855B07D0465}"/>
            </a:ext>
          </a:extLst>
        </xdr:cNvPr>
        <xdr:cNvSpPr/>
      </xdr:nvSpPr>
      <xdr:spPr>
        <a:xfrm>
          <a:off x="122618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17</xdr:col>
      <xdr:colOff>12700</xdr:colOff>
      <xdr:row>302</xdr:row>
      <xdr:rowOff>82677</xdr:rowOff>
    </xdr:from>
    <xdr:ext cx="43180" cy="7620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161E24B5-5ADD-45A4-9146-974B8D32C29E}"/>
            </a:ext>
          </a:extLst>
        </xdr:cNvPr>
        <xdr:cNvSpPr/>
      </xdr:nvSpPr>
      <xdr:spPr>
        <a:xfrm>
          <a:off x="122618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18</xdr:col>
      <xdr:colOff>12700</xdr:colOff>
      <xdr:row>302</xdr:row>
      <xdr:rowOff>82677</xdr:rowOff>
    </xdr:from>
    <xdr:ext cx="43180" cy="7620"/>
    <xdr:sp macro="" textlink="">
      <xdr:nvSpPr>
        <xdr:cNvPr id="83" name="Shape 5">
          <a:extLst>
            <a:ext uri="{FF2B5EF4-FFF2-40B4-BE49-F238E27FC236}">
              <a16:creationId xmlns:a16="http://schemas.microsoft.com/office/drawing/2014/main" id="{C18A8D3F-84E4-48EE-BB2D-E67D7C542495}"/>
            </a:ext>
          </a:extLst>
        </xdr:cNvPr>
        <xdr:cNvSpPr/>
      </xdr:nvSpPr>
      <xdr:spPr>
        <a:xfrm>
          <a:off x="129762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18</xdr:col>
      <xdr:colOff>12700</xdr:colOff>
      <xdr:row>302</xdr:row>
      <xdr:rowOff>82677</xdr:rowOff>
    </xdr:from>
    <xdr:ext cx="43180" cy="7620"/>
    <xdr:sp macro="" textlink="">
      <xdr:nvSpPr>
        <xdr:cNvPr id="84" name="Shape 5">
          <a:extLst>
            <a:ext uri="{FF2B5EF4-FFF2-40B4-BE49-F238E27FC236}">
              <a16:creationId xmlns:a16="http://schemas.microsoft.com/office/drawing/2014/main" id="{01B02D80-41DD-4DE5-A3BB-BDA921F588CC}"/>
            </a:ext>
          </a:extLst>
        </xdr:cNvPr>
        <xdr:cNvSpPr/>
      </xdr:nvSpPr>
      <xdr:spPr>
        <a:xfrm>
          <a:off x="129762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302</xdr:row>
      <xdr:rowOff>82677</xdr:rowOff>
    </xdr:from>
    <xdr:ext cx="43180" cy="7620"/>
    <xdr:sp macro="" textlink="">
      <xdr:nvSpPr>
        <xdr:cNvPr id="85" name="Shape 5">
          <a:extLst>
            <a:ext uri="{FF2B5EF4-FFF2-40B4-BE49-F238E27FC236}">
              <a16:creationId xmlns:a16="http://schemas.microsoft.com/office/drawing/2014/main" id="{20E9F058-2575-4459-98D6-C3895F41F48C}"/>
            </a:ext>
          </a:extLst>
        </xdr:cNvPr>
        <xdr:cNvSpPr/>
      </xdr:nvSpPr>
      <xdr:spPr>
        <a:xfrm>
          <a:off x="86328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303</xdr:row>
      <xdr:rowOff>82677</xdr:rowOff>
    </xdr:from>
    <xdr:ext cx="43180" cy="7620"/>
    <xdr:sp macro="" textlink="">
      <xdr:nvSpPr>
        <xdr:cNvPr id="86" name="Shape 5">
          <a:extLst>
            <a:ext uri="{FF2B5EF4-FFF2-40B4-BE49-F238E27FC236}">
              <a16:creationId xmlns:a16="http://schemas.microsoft.com/office/drawing/2014/main" id="{0EE9FC49-C58A-4A5F-BF0B-2EAAC7C8877E}"/>
            </a:ext>
          </a:extLst>
        </xdr:cNvPr>
        <xdr:cNvSpPr/>
      </xdr:nvSpPr>
      <xdr:spPr>
        <a:xfrm>
          <a:off x="8632825" y="772447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302</xdr:row>
      <xdr:rowOff>82677</xdr:rowOff>
    </xdr:from>
    <xdr:ext cx="43180" cy="7620"/>
    <xdr:sp macro="" textlink="">
      <xdr:nvSpPr>
        <xdr:cNvPr id="87" name="Shape 5">
          <a:extLst>
            <a:ext uri="{FF2B5EF4-FFF2-40B4-BE49-F238E27FC236}">
              <a16:creationId xmlns:a16="http://schemas.microsoft.com/office/drawing/2014/main" id="{A2D5305D-F322-41AE-A487-CA96390F0B5B}"/>
            </a:ext>
          </a:extLst>
        </xdr:cNvPr>
        <xdr:cNvSpPr/>
      </xdr:nvSpPr>
      <xdr:spPr>
        <a:xfrm>
          <a:off x="86328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303</xdr:row>
      <xdr:rowOff>82677</xdr:rowOff>
    </xdr:from>
    <xdr:ext cx="43180" cy="7620"/>
    <xdr:sp macro="" textlink="">
      <xdr:nvSpPr>
        <xdr:cNvPr id="88" name="Shape 5">
          <a:extLst>
            <a:ext uri="{FF2B5EF4-FFF2-40B4-BE49-F238E27FC236}">
              <a16:creationId xmlns:a16="http://schemas.microsoft.com/office/drawing/2014/main" id="{A914115D-DE22-410D-AA32-B7AE0E87169D}"/>
            </a:ext>
          </a:extLst>
        </xdr:cNvPr>
        <xdr:cNvSpPr/>
      </xdr:nvSpPr>
      <xdr:spPr>
        <a:xfrm>
          <a:off x="8632825" y="772447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13</xdr:col>
      <xdr:colOff>12700</xdr:colOff>
      <xdr:row>302</xdr:row>
      <xdr:rowOff>82677</xdr:rowOff>
    </xdr:from>
    <xdr:ext cx="43180" cy="7620"/>
    <xdr:sp macro="" textlink="">
      <xdr:nvSpPr>
        <xdr:cNvPr id="89" name="Shape 5">
          <a:extLst>
            <a:ext uri="{FF2B5EF4-FFF2-40B4-BE49-F238E27FC236}">
              <a16:creationId xmlns:a16="http://schemas.microsoft.com/office/drawing/2014/main" id="{BAD3B4E6-D1B9-4C9F-BE14-84EC4728C063}"/>
            </a:ext>
          </a:extLst>
        </xdr:cNvPr>
        <xdr:cNvSpPr/>
      </xdr:nvSpPr>
      <xdr:spPr>
        <a:xfrm>
          <a:off x="934720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14</xdr:col>
      <xdr:colOff>12700</xdr:colOff>
      <xdr:row>302</xdr:row>
      <xdr:rowOff>82677</xdr:rowOff>
    </xdr:from>
    <xdr:ext cx="43180" cy="7620"/>
    <xdr:sp macro="" textlink="">
      <xdr:nvSpPr>
        <xdr:cNvPr id="90" name="Shape 5">
          <a:extLst>
            <a:ext uri="{FF2B5EF4-FFF2-40B4-BE49-F238E27FC236}">
              <a16:creationId xmlns:a16="http://schemas.microsoft.com/office/drawing/2014/main" id="{74317C32-02A1-45D3-997E-7ED20A684710}"/>
            </a:ext>
          </a:extLst>
        </xdr:cNvPr>
        <xdr:cNvSpPr/>
      </xdr:nvSpPr>
      <xdr:spPr>
        <a:xfrm>
          <a:off x="1006157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14</xdr:col>
      <xdr:colOff>12700</xdr:colOff>
      <xdr:row>302</xdr:row>
      <xdr:rowOff>82677</xdr:rowOff>
    </xdr:from>
    <xdr:ext cx="43180" cy="7620"/>
    <xdr:sp macro="" textlink="">
      <xdr:nvSpPr>
        <xdr:cNvPr id="91" name="Shape 5">
          <a:extLst>
            <a:ext uri="{FF2B5EF4-FFF2-40B4-BE49-F238E27FC236}">
              <a16:creationId xmlns:a16="http://schemas.microsoft.com/office/drawing/2014/main" id="{76C25D0F-9F3D-4C9E-8218-B8DF9171C147}"/>
            </a:ext>
          </a:extLst>
        </xdr:cNvPr>
        <xdr:cNvSpPr/>
      </xdr:nvSpPr>
      <xdr:spPr>
        <a:xfrm>
          <a:off x="1006157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12700</xdr:colOff>
      <xdr:row>302</xdr:row>
      <xdr:rowOff>82677</xdr:rowOff>
    </xdr:from>
    <xdr:ext cx="43180" cy="7620"/>
    <xdr:sp macro="" textlink="">
      <xdr:nvSpPr>
        <xdr:cNvPr id="92" name="Shape 5">
          <a:extLst>
            <a:ext uri="{FF2B5EF4-FFF2-40B4-BE49-F238E27FC236}">
              <a16:creationId xmlns:a16="http://schemas.microsoft.com/office/drawing/2014/main" id="{CE8F70B4-7C8C-4539-8A59-004FDE4C39A0}"/>
            </a:ext>
          </a:extLst>
        </xdr:cNvPr>
        <xdr:cNvSpPr/>
      </xdr:nvSpPr>
      <xdr:spPr>
        <a:xfrm>
          <a:off x="107759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12700</xdr:colOff>
      <xdr:row>302</xdr:row>
      <xdr:rowOff>82677</xdr:rowOff>
    </xdr:from>
    <xdr:ext cx="43180" cy="7620"/>
    <xdr:sp macro="" textlink="">
      <xdr:nvSpPr>
        <xdr:cNvPr id="93" name="Shape 5">
          <a:extLst>
            <a:ext uri="{FF2B5EF4-FFF2-40B4-BE49-F238E27FC236}">
              <a16:creationId xmlns:a16="http://schemas.microsoft.com/office/drawing/2014/main" id="{5C300EBF-018C-4359-845D-DB95B112E6BA}"/>
            </a:ext>
          </a:extLst>
        </xdr:cNvPr>
        <xdr:cNvSpPr/>
      </xdr:nvSpPr>
      <xdr:spPr>
        <a:xfrm>
          <a:off x="107759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12700</xdr:colOff>
      <xdr:row>302</xdr:row>
      <xdr:rowOff>82677</xdr:rowOff>
    </xdr:from>
    <xdr:ext cx="43180" cy="7620"/>
    <xdr:sp macro="" textlink="">
      <xdr:nvSpPr>
        <xdr:cNvPr id="94" name="Shape 5">
          <a:extLst>
            <a:ext uri="{FF2B5EF4-FFF2-40B4-BE49-F238E27FC236}">
              <a16:creationId xmlns:a16="http://schemas.microsoft.com/office/drawing/2014/main" id="{F33F60A8-27D8-474D-9811-A6A7DAEDE437}"/>
            </a:ext>
          </a:extLst>
        </xdr:cNvPr>
        <xdr:cNvSpPr/>
      </xdr:nvSpPr>
      <xdr:spPr>
        <a:xfrm>
          <a:off x="114903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12700</xdr:colOff>
      <xdr:row>302</xdr:row>
      <xdr:rowOff>82677</xdr:rowOff>
    </xdr:from>
    <xdr:ext cx="43180" cy="7620"/>
    <xdr:sp macro="" textlink="">
      <xdr:nvSpPr>
        <xdr:cNvPr id="95" name="Shape 5">
          <a:extLst>
            <a:ext uri="{FF2B5EF4-FFF2-40B4-BE49-F238E27FC236}">
              <a16:creationId xmlns:a16="http://schemas.microsoft.com/office/drawing/2014/main" id="{E9ED5E6F-B7DB-4F34-A752-20A37D802C53}"/>
            </a:ext>
          </a:extLst>
        </xdr:cNvPr>
        <xdr:cNvSpPr/>
      </xdr:nvSpPr>
      <xdr:spPr>
        <a:xfrm>
          <a:off x="114903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17</xdr:col>
      <xdr:colOff>12700</xdr:colOff>
      <xdr:row>302</xdr:row>
      <xdr:rowOff>82677</xdr:rowOff>
    </xdr:from>
    <xdr:ext cx="43180" cy="7620"/>
    <xdr:sp macro="" textlink="">
      <xdr:nvSpPr>
        <xdr:cNvPr id="96" name="Shape 5">
          <a:extLst>
            <a:ext uri="{FF2B5EF4-FFF2-40B4-BE49-F238E27FC236}">
              <a16:creationId xmlns:a16="http://schemas.microsoft.com/office/drawing/2014/main" id="{E574E1D3-1F41-47FC-BBD5-4FBEF57C2718}"/>
            </a:ext>
          </a:extLst>
        </xdr:cNvPr>
        <xdr:cNvSpPr/>
      </xdr:nvSpPr>
      <xdr:spPr>
        <a:xfrm>
          <a:off x="122618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17</xdr:col>
      <xdr:colOff>12700</xdr:colOff>
      <xdr:row>302</xdr:row>
      <xdr:rowOff>82677</xdr:rowOff>
    </xdr:from>
    <xdr:ext cx="43180" cy="7620"/>
    <xdr:sp macro="" textlink="">
      <xdr:nvSpPr>
        <xdr:cNvPr id="97" name="Shape 5">
          <a:extLst>
            <a:ext uri="{FF2B5EF4-FFF2-40B4-BE49-F238E27FC236}">
              <a16:creationId xmlns:a16="http://schemas.microsoft.com/office/drawing/2014/main" id="{673A3092-DDF5-45AD-9C32-7813DC1F2432}"/>
            </a:ext>
          </a:extLst>
        </xdr:cNvPr>
        <xdr:cNvSpPr/>
      </xdr:nvSpPr>
      <xdr:spPr>
        <a:xfrm>
          <a:off x="122618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18</xdr:col>
      <xdr:colOff>12700</xdr:colOff>
      <xdr:row>302</xdr:row>
      <xdr:rowOff>82677</xdr:rowOff>
    </xdr:from>
    <xdr:ext cx="43180" cy="7620"/>
    <xdr:sp macro="" textlink="">
      <xdr:nvSpPr>
        <xdr:cNvPr id="98" name="Shape 5">
          <a:extLst>
            <a:ext uri="{FF2B5EF4-FFF2-40B4-BE49-F238E27FC236}">
              <a16:creationId xmlns:a16="http://schemas.microsoft.com/office/drawing/2014/main" id="{FDF74F26-7444-49AC-9DFA-865E949B368A}"/>
            </a:ext>
          </a:extLst>
        </xdr:cNvPr>
        <xdr:cNvSpPr/>
      </xdr:nvSpPr>
      <xdr:spPr>
        <a:xfrm>
          <a:off x="129762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18</xdr:col>
      <xdr:colOff>12700</xdr:colOff>
      <xdr:row>302</xdr:row>
      <xdr:rowOff>82677</xdr:rowOff>
    </xdr:from>
    <xdr:ext cx="43180" cy="7620"/>
    <xdr:sp macro="" textlink="">
      <xdr:nvSpPr>
        <xdr:cNvPr id="99" name="Shape 5">
          <a:extLst>
            <a:ext uri="{FF2B5EF4-FFF2-40B4-BE49-F238E27FC236}">
              <a16:creationId xmlns:a16="http://schemas.microsoft.com/office/drawing/2014/main" id="{670AFAC3-3E0D-4C4F-9262-4D8030B44AEA}"/>
            </a:ext>
          </a:extLst>
        </xdr:cNvPr>
        <xdr:cNvSpPr/>
      </xdr:nvSpPr>
      <xdr:spPr>
        <a:xfrm>
          <a:off x="129762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302</xdr:row>
      <xdr:rowOff>82677</xdr:rowOff>
    </xdr:from>
    <xdr:ext cx="43180" cy="7620"/>
    <xdr:sp macro="" textlink="">
      <xdr:nvSpPr>
        <xdr:cNvPr id="100" name="Shape 5">
          <a:extLst>
            <a:ext uri="{FF2B5EF4-FFF2-40B4-BE49-F238E27FC236}">
              <a16:creationId xmlns:a16="http://schemas.microsoft.com/office/drawing/2014/main" id="{661F1BCE-6DD7-44AE-9EEE-CCDCD41A9464}"/>
            </a:ext>
          </a:extLst>
        </xdr:cNvPr>
        <xdr:cNvSpPr/>
      </xdr:nvSpPr>
      <xdr:spPr>
        <a:xfrm>
          <a:off x="86328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303</xdr:row>
      <xdr:rowOff>82677</xdr:rowOff>
    </xdr:from>
    <xdr:ext cx="43180" cy="7620"/>
    <xdr:sp macro="" textlink="">
      <xdr:nvSpPr>
        <xdr:cNvPr id="101" name="Shape 5">
          <a:extLst>
            <a:ext uri="{FF2B5EF4-FFF2-40B4-BE49-F238E27FC236}">
              <a16:creationId xmlns:a16="http://schemas.microsoft.com/office/drawing/2014/main" id="{DFE6846A-D5A8-4265-8013-24677650B7DB}"/>
            </a:ext>
          </a:extLst>
        </xdr:cNvPr>
        <xdr:cNvSpPr/>
      </xdr:nvSpPr>
      <xdr:spPr>
        <a:xfrm>
          <a:off x="8632825" y="772447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302</xdr:row>
      <xdr:rowOff>82677</xdr:rowOff>
    </xdr:from>
    <xdr:ext cx="43180" cy="7620"/>
    <xdr:sp macro="" textlink="">
      <xdr:nvSpPr>
        <xdr:cNvPr id="102" name="Shape 5">
          <a:extLst>
            <a:ext uri="{FF2B5EF4-FFF2-40B4-BE49-F238E27FC236}">
              <a16:creationId xmlns:a16="http://schemas.microsoft.com/office/drawing/2014/main" id="{885479AE-FAF3-4A26-9782-E9997E66222B}"/>
            </a:ext>
          </a:extLst>
        </xdr:cNvPr>
        <xdr:cNvSpPr/>
      </xdr:nvSpPr>
      <xdr:spPr>
        <a:xfrm>
          <a:off x="86328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303</xdr:row>
      <xdr:rowOff>82677</xdr:rowOff>
    </xdr:from>
    <xdr:ext cx="43180" cy="7620"/>
    <xdr:sp macro="" textlink="">
      <xdr:nvSpPr>
        <xdr:cNvPr id="103" name="Shape 5">
          <a:extLst>
            <a:ext uri="{FF2B5EF4-FFF2-40B4-BE49-F238E27FC236}">
              <a16:creationId xmlns:a16="http://schemas.microsoft.com/office/drawing/2014/main" id="{70F0987E-4B77-418A-8769-BD66087DD328}"/>
            </a:ext>
          </a:extLst>
        </xdr:cNvPr>
        <xdr:cNvSpPr/>
      </xdr:nvSpPr>
      <xdr:spPr>
        <a:xfrm>
          <a:off x="8632825" y="772447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14</xdr:col>
      <xdr:colOff>12700</xdr:colOff>
      <xdr:row>302</xdr:row>
      <xdr:rowOff>82677</xdr:rowOff>
    </xdr:from>
    <xdr:ext cx="43180" cy="7620"/>
    <xdr:sp macro="" textlink="">
      <xdr:nvSpPr>
        <xdr:cNvPr id="104" name="Shape 5">
          <a:extLst>
            <a:ext uri="{FF2B5EF4-FFF2-40B4-BE49-F238E27FC236}">
              <a16:creationId xmlns:a16="http://schemas.microsoft.com/office/drawing/2014/main" id="{3EC88124-5163-493F-93E3-B9944925BA03}"/>
            </a:ext>
          </a:extLst>
        </xdr:cNvPr>
        <xdr:cNvSpPr/>
      </xdr:nvSpPr>
      <xdr:spPr>
        <a:xfrm>
          <a:off x="1006157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14</xdr:col>
      <xdr:colOff>12700</xdr:colOff>
      <xdr:row>302</xdr:row>
      <xdr:rowOff>82677</xdr:rowOff>
    </xdr:from>
    <xdr:ext cx="43180" cy="7620"/>
    <xdr:sp macro="" textlink="">
      <xdr:nvSpPr>
        <xdr:cNvPr id="105" name="Shape 5">
          <a:extLst>
            <a:ext uri="{FF2B5EF4-FFF2-40B4-BE49-F238E27FC236}">
              <a16:creationId xmlns:a16="http://schemas.microsoft.com/office/drawing/2014/main" id="{81B166BA-6DA8-46CD-9E84-5D095063A6D7}"/>
            </a:ext>
          </a:extLst>
        </xdr:cNvPr>
        <xdr:cNvSpPr/>
      </xdr:nvSpPr>
      <xdr:spPr>
        <a:xfrm>
          <a:off x="1006157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12700</xdr:colOff>
      <xdr:row>302</xdr:row>
      <xdr:rowOff>82677</xdr:rowOff>
    </xdr:from>
    <xdr:ext cx="43180" cy="7620"/>
    <xdr:sp macro="" textlink="">
      <xdr:nvSpPr>
        <xdr:cNvPr id="106" name="Shape 5">
          <a:extLst>
            <a:ext uri="{FF2B5EF4-FFF2-40B4-BE49-F238E27FC236}">
              <a16:creationId xmlns:a16="http://schemas.microsoft.com/office/drawing/2014/main" id="{986FB262-F650-4059-867A-04B680BD0D29}"/>
            </a:ext>
          </a:extLst>
        </xdr:cNvPr>
        <xdr:cNvSpPr/>
      </xdr:nvSpPr>
      <xdr:spPr>
        <a:xfrm>
          <a:off x="107759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12700</xdr:colOff>
      <xdr:row>302</xdr:row>
      <xdr:rowOff>82677</xdr:rowOff>
    </xdr:from>
    <xdr:ext cx="43180" cy="7620"/>
    <xdr:sp macro="" textlink="">
      <xdr:nvSpPr>
        <xdr:cNvPr id="107" name="Shape 5">
          <a:extLst>
            <a:ext uri="{FF2B5EF4-FFF2-40B4-BE49-F238E27FC236}">
              <a16:creationId xmlns:a16="http://schemas.microsoft.com/office/drawing/2014/main" id="{F999C1A4-0DBC-418E-AE02-5EF00487F744}"/>
            </a:ext>
          </a:extLst>
        </xdr:cNvPr>
        <xdr:cNvSpPr/>
      </xdr:nvSpPr>
      <xdr:spPr>
        <a:xfrm>
          <a:off x="107759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12700</xdr:colOff>
      <xdr:row>302</xdr:row>
      <xdr:rowOff>82677</xdr:rowOff>
    </xdr:from>
    <xdr:ext cx="43180" cy="7620"/>
    <xdr:sp macro="" textlink="">
      <xdr:nvSpPr>
        <xdr:cNvPr id="108" name="Shape 5">
          <a:extLst>
            <a:ext uri="{FF2B5EF4-FFF2-40B4-BE49-F238E27FC236}">
              <a16:creationId xmlns:a16="http://schemas.microsoft.com/office/drawing/2014/main" id="{64720BF0-FEE7-4CD6-BC58-8FB37DACCE08}"/>
            </a:ext>
          </a:extLst>
        </xdr:cNvPr>
        <xdr:cNvSpPr/>
      </xdr:nvSpPr>
      <xdr:spPr>
        <a:xfrm>
          <a:off x="114903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12700</xdr:colOff>
      <xdr:row>302</xdr:row>
      <xdr:rowOff>82677</xdr:rowOff>
    </xdr:from>
    <xdr:ext cx="43180" cy="7620"/>
    <xdr:sp macro="" textlink="">
      <xdr:nvSpPr>
        <xdr:cNvPr id="109" name="Shape 5">
          <a:extLst>
            <a:ext uri="{FF2B5EF4-FFF2-40B4-BE49-F238E27FC236}">
              <a16:creationId xmlns:a16="http://schemas.microsoft.com/office/drawing/2014/main" id="{BFCB1E60-B19A-4ED1-AFB1-0183DBCD4EE9}"/>
            </a:ext>
          </a:extLst>
        </xdr:cNvPr>
        <xdr:cNvSpPr/>
      </xdr:nvSpPr>
      <xdr:spPr>
        <a:xfrm>
          <a:off x="114903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17</xdr:col>
      <xdr:colOff>12700</xdr:colOff>
      <xdr:row>302</xdr:row>
      <xdr:rowOff>82677</xdr:rowOff>
    </xdr:from>
    <xdr:ext cx="43180" cy="7620"/>
    <xdr:sp macro="" textlink="">
      <xdr:nvSpPr>
        <xdr:cNvPr id="110" name="Shape 5">
          <a:extLst>
            <a:ext uri="{FF2B5EF4-FFF2-40B4-BE49-F238E27FC236}">
              <a16:creationId xmlns:a16="http://schemas.microsoft.com/office/drawing/2014/main" id="{EB36FF2A-2244-4AEF-A36A-CAE88E64ECA5}"/>
            </a:ext>
          </a:extLst>
        </xdr:cNvPr>
        <xdr:cNvSpPr/>
      </xdr:nvSpPr>
      <xdr:spPr>
        <a:xfrm>
          <a:off x="122618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17</xdr:col>
      <xdr:colOff>12700</xdr:colOff>
      <xdr:row>302</xdr:row>
      <xdr:rowOff>82677</xdr:rowOff>
    </xdr:from>
    <xdr:ext cx="43180" cy="7620"/>
    <xdr:sp macro="" textlink="">
      <xdr:nvSpPr>
        <xdr:cNvPr id="111" name="Shape 5">
          <a:extLst>
            <a:ext uri="{FF2B5EF4-FFF2-40B4-BE49-F238E27FC236}">
              <a16:creationId xmlns:a16="http://schemas.microsoft.com/office/drawing/2014/main" id="{86F451EF-8101-49E5-8DBE-D475B0B9EB7F}"/>
            </a:ext>
          </a:extLst>
        </xdr:cNvPr>
        <xdr:cNvSpPr/>
      </xdr:nvSpPr>
      <xdr:spPr>
        <a:xfrm>
          <a:off x="122618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18</xdr:col>
      <xdr:colOff>12700</xdr:colOff>
      <xdr:row>302</xdr:row>
      <xdr:rowOff>82677</xdr:rowOff>
    </xdr:from>
    <xdr:ext cx="43180" cy="7620"/>
    <xdr:sp macro="" textlink="">
      <xdr:nvSpPr>
        <xdr:cNvPr id="112" name="Shape 5">
          <a:extLst>
            <a:ext uri="{FF2B5EF4-FFF2-40B4-BE49-F238E27FC236}">
              <a16:creationId xmlns:a16="http://schemas.microsoft.com/office/drawing/2014/main" id="{1F06CC61-CC1C-4D73-8F68-713F63DDB2E4}"/>
            </a:ext>
          </a:extLst>
        </xdr:cNvPr>
        <xdr:cNvSpPr/>
      </xdr:nvSpPr>
      <xdr:spPr>
        <a:xfrm>
          <a:off x="129762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18</xdr:col>
      <xdr:colOff>12700</xdr:colOff>
      <xdr:row>302</xdr:row>
      <xdr:rowOff>82677</xdr:rowOff>
    </xdr:from>
    <xdr:ext cx="43180" cy="7620"/>
    <xdr:sp macro="" textlink="">
      <xdr:nvSpPr>
        <xdr:cNvPr id="113" name="Shape 5">
          <a:extLst>
            <a:ext uri="{FF2B5EF4-FFF2-40B4-BE49-F238E27FC236}">
              <a16:creationId xmlns:a16="http://schemas.microsoft.com/office/drawing/2014/main" id="{CB0D0456-CC3C-41D4-9287-88E7C9A8C98A}"/>
            </a:ext>
          </a:extLst>
        </xdr:cNvPr>
        <xdr:cNvSpPr/>
      </xdr:nvSpPr>
      <xdr:spPr>
        <a:xfrm>
          <a:off x="129762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302</xdr:row>
      <xdr:rowOff>82677</xdr:rowOff>
    </xdr:from>
    <xdr:ext cx="43180" cy="7620"/>
    <xdr:sp macro="" textlink="">
      <xdr:nvSpPr>
        <xdr:cNvPr id="114" name="Shape 5">
          <a:extLst>
            <a:ext uri="{FF2B5EF4-FFF2-40B4-BE49-F238E27FC236}">
              <a16:creationId xmlns:a16="http://schemas.microsoft.com/office/drawing/2014/main" id="{66D0A8F6-EACC-484B-992A-42EEC1C243AE}"/>
            </a:ext>
          </a:extLst>
        </xdr:cNvPr>
        <xdr:cNvSpPr/>
      </xdr:nvSpPr>
      <xdr:spPr>
        <a:xfrm>
          <a:off x="86328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303</xdr:row>
      <xdr:rowOff>82677</xdr:rowOff>
    </xdr:from>
    <xdr:ext cx="43180" cy="7620"/>
    <xdr:sp macro="" textlink="">
      <xdr:nvSpPr>
        <xdr:cNvPr id="115" name="Shape 5">
          <a:extLst>
            <a:ext uri="{FF2B5EF4-FFF2-40B4-BE49-F238E27FC236}">
              <a16:creationId xmlns:a16="http://schemas.microsoft.com/office/drawing/2014/main" id="{9F77F248-53F7-45A3-94EC-8C3DE624E89B}"/>
            </a:ext>
          </a:extLst>
        </xdr:cNvPr>
        <xdr:cNvSpPr/>
      </xdr:nvSpPr>
      <xdr:spPr>
        <a:xfrm>
          <a:off x="8632825" y="772447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12700</xdr:colOff>
      <xdr:row>303</xdr:row>
      <xdr:rowOff>82677</xdr:rowOff>
    </xdr:from>
    <xdr:ext cx="43180" cy="7620"/>
    <xdr:sp macro="" textlink="">
      <xdr:nvSpPr>
        <xdr:cNvPr id="116" name="Shape 5">
          <a:extLst>
            <a:ext uri="{FF2B5EF4-FFF2-40B4-BE49-F238E27FC236}">
              <a16:creationId xmlns:a16="http://schemas.microsoft.com/office/drawing/2014/main" id="{01F0ED43-1117-41B9-8C8F-D150738398EF}"/>
            </a:ext>
          </a:extLst>
        </xdr:cNvPr>
        <xdr:cNvSpPr/>
      </xdr:nvSpPr>
      <xdr:spPr>
        <a:xfrm>
          <a:off x="8632825" y="772447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14</xdr:col>
      <xdr:colOff>12700</xdr:colOff>
      <xdr:row>302</xdr:row>
      <xdr:rowOff>82677</xdr:rowOff>
    </xdr:from>
    <xdr:ext cx="43180" cy="7620"/>
    <xdr:sp macro="" textlink="">
      <xdr:nvSpPr>
        <xdr:cNvPr id="117" name="Shape 5">
          <a:extLst>
            <a:ext uri="{FF2B5EF4-FFF2-40B4-BE49-F238E27FC236}">
              <a16:creationId xmlns:a16="http://schemas.microsoft.com/office/drawing/2014/main" id="{0319D224-CAFD-4A34-BD0A-88A0ADD279F1}"/>
            </a:ext>
          </a:extLst>
        </xdr:cNvPr>
        <xdr:cNvSpPr/>
      </xdr:nvSpPr>
      <xdr:spPr>
        <a:xfrm>
          <a:off x="1006157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12700</xdr:colOff>
      <xdr:row>302</xdr:row>
      <xdr:rowOff>82677</xdr:rowOff>
    </xdr:from>
    <xdr:ext cx="43180" cy="7620"/>
    <xdr:sp macro="" textlink="">
      <xdr:nvSpPr>
        <xdr:cNvPr id="118" name="Shape 5">
          <a:extLst>
            <a:ext uri="{FF2B5EF4-FFF2-40B4-BE49-F238E27FC236}">
              <a16:creationId xmlns:a16="http://schemas.microsoft.com/office/drawing/2014/main" id="{C70CF0F1-4474-4E92-A20F-5125EB2421A8}"/>
            </a:ext>
          </a:extLst>
        </xdr:cNvPr>
        <xdr:cNvSpPr/>
      </xdr:nvSpPr>
      <xdr:spPr>
        <a:xfrm>
          <a:off x="107759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12700</xdr:colOff>
      <xdr:row>302</xdr:row>
      <xdr:rowOff>82677</xdr:rowOff>
    </xdr:from>
    <xdr:ext cx="43180" cy="7620"/>
    <xdr:sp macro="" textlink="">
      <xdr:nvSpPr>
        <xdr:cNvPr id="119" name="Shape 5">
          <a:extLst>
            <a:ext uri="{FF2B5EF4-FFF2-40B4-BE49-F238E27FC236}">
              <a16:creationId xmlns:a16="http://schemas.microsoft.com/office/drawing/2014/main" id="{96E15180-B3A5-41D7-82D3-2A11BB90052B}"/>
            </a:ext>
          </a:extLst>
        </xdr:cNvPr>
        <xdr:cNvSpPr/>
      </xdr:nvSpPr>
      <xdr:spPr>
        <a:xfrm>
          <a:off x="107759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12700</xdr:colOff>
      <xdr:row>302</xdr:row>
      <xdr:rowOff>82677</xdr:rowOff>
    </xdr:from>
    <xdr:ext cx="43180" cy="7620"/>
    <xdr:sp macro="" textlink="">
      <xdr:nvSpPr>
        <xdr:cNvPr id="120" name="Shape 5">
          <a:extLst>
            <a:ext uri="{FF2B5EF4-FFF2-40B4-BE49-F238E27FC236}">
              <a16:creationId xmlns:a16="http://schemas.microsoft.com/office/drawing/2014/main" id="{64FBEB63-EBAD-48DE-86BE-DE33A832C0E9}"/>
            </a:ext>
          </a:extLst>
        </xdr:cNvPr>
        <xdr:cNvSpPr/>
      </xdr:nvSpPr>
      <xdr:spPr>
        <a:xfrm>
          <a:off x="114903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12700</xdr:colOff>
      <xdr:row>302</xdr:row>
      <xdr:rowOff>82677</xdr:rowOff>
    </xdr:from>
    <xdr:ext cx="43180" cy="7620"/>
    <xdr:sp macro="" textlink="">
      <xdr:nvSpPr>
        <xdr:cNvPr id="121" name="Shape 5">
          <a:extLst>
            <a:ext uri="{FF2B5EF4-FFF2-40B4-BE49-F238E27FC236}">
              <a16:creationId xmlns:a16="http://schemas.microsoft.com/office/drawing/2014/main" id="{434CDA77-240C-4556-8034-A1FE4EE56BE7}"/>
            </a:ext>
          </a:extLst>
        </xdr:cNvPr>
        <xdr:cNvSpPr/>
      </xdr:nvSpPr>
      <xdr:spPr>
        <a:xfrm>
          <a:off x="114903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17</xdr:col>
      <xdr:colOff>12700</xdr:colOff>
      <xdr:row>302</xdr:row>
      <xdr:rowOff>82677</xdr:rowOff>
    </xdr:from>
    <xdr:ext cx="43180" cy="7620"/>
    <xdr:sp macro="" textlink="">
      <xdr:nvSpPr>
        <xdr:cNvPr id="122" name="Shape 5">
          <a:extLst>
            <a:ext uri="{FF2B5EF4-FFF2-40B4-BE49-F238E27FC236}">
              <a16:creationId xmlns:a16="http://schemas.microsoft.com/office/drawing/2014/main" id="{76826738-9B2A-4739-8DFC-FCFF4365B5E8}"/>
            </a:ext>
          </a:extLst>
        </xdr:cNvPr>
        <xdr:cNvSpPr/>
      </xdr:nvSpPr>
      <xdr:spPr>
        <a:xfrm>
          <a:off x="122618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17</xdr:col>
      <xdr:colOff>12700</xdr:colOff>
      <xdr:row>302</xdr:row>
      <xdr:rowOff>82677</xdr:rowOff>
    </xdr:from>
    <xdr:ext cx="43180" cy="7620"/>
    <xdr:sp macro="" textlink="">
      <xdr:nvSpPr>
        <xdr:cNvPr id="123" name="Shape 5">
          <a:extLst>
            <a:ext uri="{FF2B5EF4-FFF2-40B4-BE49-F238E27FC236}">
              <a16:creationId xmlns:a16="http://schemas.microsoft.com/office/drawing/2014/main" id="{F880281F-FB7D-4943-A516-E81AC2FB1BC0}"/>
            </a:ext>
          </a:extLst>
        </xdr:cNvPr>
        <xdr:cNvSpPr/>
      </xdr:nvSpPr>
      <xdr:spPr>
        <a:xfrm>
          <a:off x="12261850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18</xdr:col>
      <xdr:colOff>12700</xdr:colOff>
      <xdr:row>302</xdr:row>
      <xdr:rowOff>82677</xdr:rowOff>
    </xdr:from>
    <xdr:ext cx="43180" cy="7620"/>
    <xdr:sp macro="" textlink="">
      <xdr:nvSpPr>
        <xdr:cNvPr id="124" name="Shape 5">
          <a:extLst>
            <a:ext uri="{FF2B5EF4-FFF2-40B4-BE49-F238E27FC236}">
              <a16:creationId xmlns:a16="http://schemas.microsoft.com/office/drawing/2014/main" id="{DE9C4228-210A-4707-BE5A-464B9E8300D3}"/>
            </a:ext>
          </a:extLst>
        </xdr:cNvPr>
        <xdr:cNvSpPr/>
      </xdr:nvSpPr>
      <xdr:spPr>
        <a:xfrm>
          <a:off x="129762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18</xdr:col>
      <xdr:colOff>12700</xdr:colOff>
      <xdr:row>302</xdr:row>
      <xdr:rowOff>82677</xdr:rowOff>
    </xdr:from>
    <xdr:ext cx="43180" cy="7620"/>
    <xdr:sp macro="" textlink="">
      <xdr:nvSpPr>
        <xdr:cNvPr id="125" name="Shape 5">
          <a:extLst>
            <a:ext uri="{FF2B5EF4-FFF2-40B4-BE49-F238E27FC236}">
              <a16:creationId xmlns:a16="http://schemas.microsoft.com/office/drawing/2014/main" id="{1EE46799-BE31-4D4F-96BA-665A818AFB85}"/>
            </a:ext>
          </a:extLst>
        </xdr:cNvPr>
        <xdr:cNvSpPr/>
      </xdr:nvSpPr>
      <xdr:spPr>
        <a:xfrm>
          <a:off x="12976225" y="77054202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882</xdr:row>
      <xdr:rowOff>0</xdr:rowOff>
    </xdr:from>
    <xdr:ext cx="43180" cy="762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6ABE577C-8717-4FDA-8DF8-E17F3CCF4489}"/>
            </a:ext>
          </a:extLst>
        </xdr:cNvPr>
        <xdr:cNvSpPr/>
      </xdr:nvSpPr>
      <xdr:spPr>
        <a:xfrm>
          <a:off x="993775" y="191519175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882</xdr:row>
      <xdr:rowOff>0</xdr:rowOff>
    </xdr:from>
    <xdr:ext cx="43180" cy="762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96DE3BB1-63CA-4A99-8DEE-949D4E58D5F1}"/>
            </a:ext>
          </a:extLst>
        </xdr:cNvPr>
        <xdr:cNvSpPr/>
      </xdr:nvSpPr>
      <xdr:spPr>
        <a:xfrm>
          <a:off x="993775" y="191519175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907</xdr:row>
      <xdr:rowOff>0</xdr:rowOff>
    </xdr:from>
    <xdr:ext cx="43180" cy="762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B6D42395-B927-453A-AEB6-32E99DC2C760}"/>
            </a:ext>
          </a:extLst>
        </xdr:cNvPr>
        <xdr:cNvSpPr/>
      </xdr:nvSpPr>
      <xdr:spPr>
        <a:xfrm>
          <a:off x="993775" y="196653150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12700</xdr:colOff>
      <xdr:row>907</xdr:row>
      <xdr:rowOff>0</xdr:rowOff>
    </xdr:from>
    <xdr:ext cx="43180" cy="762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B1668EDC-4539-488F-BFFC-F7FE11796D56}"/>
            </a:ext>
          </a:extLst>
        </xdr:cNvPr>
        <xdr:cNvSpPr/>
      </xdr:nvSpPr>
      <xdr:spPr>
        <a:xfrm>
          <a:off x="993775" y="196653150"/>
          <a:ext cx="43180" cy="7620"/>
        </a:xfrm>
        <a:custGeom>
          <a:avLst/>
          <a:gdLst/>
          <a:ahLst/>
          <a:cxnLst/>
          <a:rect l="0" t="0" r="0" b="0"/>
          <a:pathLst>
            <a:path w="43180" h="7620">
              <a:moveTo>
                <a:pt x="42671" y="0"/>
              </a:moveTo>
              <a:lnTo>
                <a:pt x="0" y="0"/>
              </a:lnTo>
              <a:lnTo>
                <a:pt x="0" y="7620"/>
              </a:lnTo>
              <a:lnTo>
                <a:pt x="42671" y="7620"/>
              </a:lnTo>
              <a:lnTo>
                <a:pt x="4267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12</xdr:col>
      <xdr:colOff>488155</xdr:colOff>
      <xdr:row>926</xdr:row>
      <xdr:rowOff>35719</xdr:rowOff>
    </xdr:from>
    <xdr:ext cx="1971950" cy="1086002"/>
    <xdr:pic>
      <xdr:nvPicPr>
        <xdr:cNvPr id="126" name="Picture 125">
          <a:extLst>
            <a:ext uri="{FF2B5EF4-FFF2-40B4-BE49-F238E27FC236}">
              <a16:creationId xmlns:a16="http://schemas.microsoft.com/office/drawing/2014/main" id="{7A3DD384-F332-47C9-87F2-08D89A47D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6055" y="167282019"/>
          <a:ext cx="1971950" cy="1086002"/>
        </a:xfrm>
        <a:prstGeom prst="rect">
          <a:avLst/>
        </a:prstGeom>
      </xdr:spPr>
    </xdr:pic>
    <xdr:clientData/>
  </xdr:oneCellAnchor>
  <xdr:oneCellAnchor>
    <xdr:from>
      <xdr:col>12</xdr:col>
      <xdr:colOff>488155</xdr:colOff>
      <xdr:row>1076</xdr:row>
      <xdr:rowOff>35719</xdr:rowOff>
    </xdr:from>
    <xdr:ext cx="1971950" cy="1086002"/>
    <xdr:pic>
      <xdr:nvPicPr>
        <xdr:cNvPr id="127" name="Picture 126">
          <a:extLst>
            <a:ext uri="{FF2B5EF4-FFF2-40B4-BE49-F238E27FC236}">
              <a16:creationId xmlns:a16="http://schemas.microsoft.com/office/drawing/2014/main" id="{B6BAA2CF-2AE0-4BD3-8967-A3C9AAAB0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4005" y="220910944"/>
          <a:ext cx="1971950" cy="1086002"/>
        </a:xfrm>
        <a:prstGeom prst="rect">
          <a:avLst/>
        </a:prstGeom>
      </xdr:spPr>
    </xdr:pic>
    <xdr:clientData/>
  </xdr:oneCellAnchor>
  <xdr:oneCellAnchor>
    <xdr:from>
      <xdr:col>12</xdr:col>
      <xdr:colOff>488155</xdr:colOff>
      <xdr:row>926</xdr:row>
      <xdr:rowOff>35719</xdr:rowOff>
    </xdr:from>
    <xdr:ext cx="1971950" cy="1086002"/>
    <xdr:pic>
      <xdr:nvPicPr>
        <xdr:cNvPr id="128" name="Picture 127">
          <a:extLst>
            <a:ext uri="{FF2B5EF4-FFF2-40B4-BE49-F238E27FC236}">
              <a16:creationId xmlns:a16="http://schemas.microsoft.com/office/drawing/2014/main" id="{6868BF55-E15E-4367-A9C6-FA1041CB9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1476" y="123411683"/>
          <a:ext cx="1971950" cy="10860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condary@KeystoneFunding.com" TargetMode="External"/><Relationship Id="rId3" Type="http://schemas.openxmlformats.org/officeDocument/2006/relationships/hyperlink" Target="mailto:Secondary@KeystoneFunding.com" TargetMode="External"/><Relationship Id="rId7" Type="http://schemas.openxmlformats.org/officeDocument/2006/relationships/hyperlink" Target="mailto:Secondary@KeystoneFunding.com" TargetMode="External"/><Relationship Id="rId2" Type="http://schemas.openxmlformats.org/officeDocument/2006/relationships/hyperlink" Target="mailto:Secondary@KeystoneFunding.com" TargetMode="External"/><Relationship Id="rId1" Type="http://schemas.openxmlformats.org/officeDocument/2006/relationships/hyperlink" Target="mailto:Secondary@KeystoneFunding.com" TargetMode="External"/><Relationship Id="rId6" Type="http://schemas.openxmlformats.org/officeDocument/2006/relationships/hyperlink" Target="mailto:Secondary@KeystoneFunding.com" TargetMode="External"/><Relationship Id="rId5" Type="http://schemas.openxmlformats.org/officeDocument/2006/relationships/hyperlink" Target="mailto:Secondary@KeystoneFunding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Secondary@KeystoneFunding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8910-3A4A-4951-8393-8EA49F6DC526}">
  <sheetPr codeName="Sheet1">
    <pageSetUpPr fitToPage="1"/>
  </sheetPr>
  <dimension ref="A1:AA1151"/>
  <sheetViews>
    <sheetView showGridLines="0" tabSelected="1" zoomScale="70" zoomScaleNormal="70" zoomScaleSheetLayoutView="70" zoomScalePageLayoutView="40" workbookViewId="0"/>
  </sheetViews>
  <sheetFormatPr defaultColWidth="9.140625" defaultRowHeight="21.95" customHeight="1" x14ac:dyDescent="0.2"/>
  <cols>
    <col min="1" max="1" width="1.28515625" style="499" customWidth="1"/>
    <col min="2" max="15" width="11.5703125" style="499" customWidth="1"/>
    <col min="16" max="24" width="11.28515625" style="499" customWidth="1"/>
    <col min="25" max="25" width="16.85546875" style="499" customWidth="1"/>
    <col min="26" max="26" width="11.28515625" style="499" customWidth="1"/>
    <col min="27" max="27" width="11.85546875" style="499" customWidth="1"/>
    <col min="28" max="16384" width="9.140625" style="499"/>
  </cols>
  <sheetData>
    <row r="1" spans="1:27" s="651" customFormat="1" ht="21.95" customHeight="1" x14ac:dyDescent="0.3">
      <c r="B1" s="655" t="s">
        <v>515</v>
      </c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962" t="s">
        <v>0</v>
      </c>
      <c r="Y1" s="962"/>
      <c r="Z1" s="963"/>
    </row>
    <row r="2" spans="1:27" s="651" customFormat="1" ht="21.95" customHeight="1" x14ac:dyDescent="0.3">
      <c r="B2" s="657" t="s">
        <v>68</v>
      </c>
      <c r="C2" s="658"/>
      <c r="D2" s="658"/>
      <c r="E2" s="658"/>
      <c r="F2" s="658"/>
      <c r="G2" s="658"/>
      <c r="H2" s="659"/>
      <c r="I2" s="659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934">
        <f ca="1">TODAY()</f>
        <v>46101</v>
      </c>
      <c r="X2" s="934"/>
      <c r="Y2" s="935">
        <v>0.48958333333333331</v>
      </c>
      <c r="Z2" s="936"/>
    </row>
    <row r="3" spans="1:27" s="651" customFormat="1" ht="21.95" customHeight="1" x14ac:dyDescent="0.3">
      <c r="B3" s="657" t="s">
        <v>69</v>
      </c>
      <c r="C3" s="658"/>
      <c r="D3" s="658"/>
      <c r="E3" s="658"/>
      <c r="F3" s="658"/>
      <c r="G3" s="658"/>
      <c r="H3" s="658"/>
      <c r="I3" s="658"/>
      <c r="J3" s="658"/>
      <c r="K3" s="658"/>
      <c r="L3" s="658"/>
      <c r="M3" s="658"/>
      <c r="N3" s="658"/>
      <c r="O3" s="658"/>
      <c r="P3" s="658"/>
      <c r="Q3" s="658"/>
      <c r="R3" s="658"/>
      <c r="S3" s="658"/>
      <c r="T3" s="658"/>
      <c r="U3" s="658"/>
      <c r="V3" s="658"/>
      <c r="W3" s="658"/>
      <c r="X3" s="658"/>
      <c r="Y3" s="658"/>
      <c r="Z3" s="660"/>
    </row>
    <row r="4" spans="1:27" s="651" customFormat="1" ht="21.95" customHeight="1" x14ac:dyDescent="0.3">
      <c r="B4" s="661" t="s">
        <v>72</v>
      </c>
      <c r="C4" s="658"/>
      <c r="D4" s="658"/>
      <c r="E4" s="658"/>
      <c r="F4" s="658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58" t="s">
        <v>161</v>
      </c>
      <c r="X4" s="663"/>
      <c r="Y4" s="663"/>
      <c r="Z4" s="660"/>
    </row>
    <row r="5" spans="1:27" s="651" customFormat="1" ht="21.95" customHeight="1" x14ac:dyDescent="0.3">
      <c r="B5" s="657"/>
      <c r="C5" s="664"/>
      <c r="D5" s="664"/>
      <c r="E5" s="664"/>
      <c r="F5" s="664"/>
      <c r="G5" s="664"/>
      <c r="H5" s="664"/>
      <c r="I5" s="664"/>
      <c r="J5" s="664"/>
      <c r="K5" s="664"/>
      <c r="L5" s="664"/>
      <c r="M5" s="664"/>
      <c r="N5" s="664"/>
      <c r="O5" s="664"/>
      <c r="P5" s="664"/>
      <c r="Q5" s="664"/>
      <c r="R5" s="664"/>
      <c r="S5" s="664"/>
      <c r="T5" s="664"/>
      <c r="U5" s="664"/>
      <c r="V5" s="664"/>
      <c r="W5" s="663" t="s">
        <v>65</v>
      </c>
      <c r="X5" s="658"/>
      <c r="Y5" s="658"/>
      <c r="Z5" s="665"/>
    </row>
    <row r="6" spans="1:27" s="666" customFormat="1" ht="21.95" customHeight="1" thickBot="1" x14ac:dyDescent="0.35">
      <c r="B6" s="667" t="s">
        <v>73</v>
      </c>
      <c r="C6" s="668"/>
      <c r="D6" s="668"/>
      <c r="E6" s="668"/>
      <c r="F6" s="668"/>
      <c r="G6" s="668"/>
      <c r="H6" s="668"/>
      <c r="I6" s="668"/>
      <c r="J6" s="668"/>
      <c r="K6" s="668"/>
      <c r="L6" s="668"/>
      <c r="M6" s="668"/>
      <c r="N6" s="668"/>
      <c r="O6" s="668"/>
      <c r="P6" s="668"/>
      <c r="Q6" s="668"/>
      <c r="R6" s="668"/>
      <c r="S6" s="668"/>
      <c r="T6" s="668"/>
      <c r="U6" s="668"/>
      <c r="V6" s="668"/>
      <c r="W6" s="669"/>
      <c r="X6" s="670"/>
      <c r="Y6" s="670"/>
      <c r="Z6" s="671"/>
    </row>
    <row r="7" spans="1:27" ht="21.95" customHeight="1" x14ac:dyDescent="0.2">
      <c r="B7" s="506"/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  <c r="O7" s="507"/>
      <c r="P7" s="507"/>
      <c r="Q7" s="507"/>
      <c r="R7" s="507"/>
      <c r="S7" s="507"/>
      <c r="T7" s="507"/>
      <c r="U7" s="507"/>
      <c r="V7" s="507"/>
      <c r="W7" s="507"/>
      <c r="X7" s="507"/>
      <c r="Y7" s="507"/>
      <c r="Z7" s="508"/>
    </row>
    <row r="8" spans="1:27" ht="21.95" customHeight="1" x14ac:dyDescent="0.2">
      <c r="B8" s="509"/>
      <c r="C8" s="500"/>
      <c r="D8" s="500"/>
      <c r="E8" s="500"/>
      <c r="F8" s="500"/>
      <c r="G8" s="500"/>
      <c r="H8" s="500"/>
      <c r="I8" s="500"/>
      <c r="J8" s="500"/>
      <c r="K8" s="500"/>
      <c r="L8" s="500"/>
      <c r="M8" s="500"/>
      <c r="N8" s="500"/>
      <c r="O8" s="500"/>
      <c r="P8" s="500"/>
      <c r="Q8" s="500"/>
      <c r="R8" s="500"/>
      <c r="S8" s="500"/>
      <c r="T8" s="500"/>
      <c r="U8" s="500"/>
      <c r="V8" s="500"/>
      <c r="W8" s="500"/>
      <c r="X8" s="500"/>
      <c r="Y8" s="500"/>
      <c r="Z8" s="502"/>
    </row>
    <row r="9" spans="1:27" s="650" customFormat="1" ht="21.95" customHeight="1" x14ac:dyDescent="0.25">
      <c r="B9" s="1013" t="s">
        <v>71</v>
      </c>
      <c r="C9" s="1014"/>
      <c r="D9" s="1014"/>
      <c r="E9" s="1014"/>
      <c r="F9" s="1014"/>
      <c r="G9" s="1014"/>
      <c r="H9" s="1014"/>
      <c r="I9" s="1014"/>
      <c r="J9" s="1014"/>
      <c r="K9" s="1014"/>
      <c r="L9" s="1014"/>
      <c r="M9" s="1014"/>
      <c r="N9" s="1014"/>
      <c r="O9" s="1014"/>
      <c r="P9" s="1014"/>
      <c r="Q9" s="1014"/>
      <c r="R9" s="1014"/>
      <c r="S9" s="1014"/>
      <c r="T9" s="1014"/>
      <c r="U9" s="1014"/>
      <c r="V9" s="1014"/>
      <c r="W9" s="1014"/>
      <c r="X9" s="1014"/>
      <c r="Y9" s="1014"/>
      <c r="Z9" s="1015"/>
    </row>
    <row r="10" spans="1:27" s="650" customFormat="1" ht="21.95" customHeight="1" x14ac:dyDescent="0.25">
      <c r="B10" s="1027" t="s">
        <v>34</v>
      </c>
      <c r="C10" s="954"/>
      <c r="D10" s="954"/>
      <c r="E10" s="954"/>
      <c r="F10" s="954"/>
      <c r="G10" s="954"/>
      <c r="H10" s="1026"/>
      <c r="I10" s="1027" t="s">
        <v>36</v>
      </c>
      <c r="J10" s="954"/>
      <c r="K10" s="954"/>
      <c r="L10" s="954"/>
      <c r="M10" s="954"/>
      <c r="N10" s="954"/>
      <c r="O10" s="1026"/>
      <c r="P10" s="1052" t="s">
        <v>78</v>
      </c>
      <c r="Q10" s="1053"/>
      <c r="R10" s="1053"/>
      <c r="S10" s="1053"/>
      <c r="T10" s="1053"/>
      <c r="U10" s="1053"/>
      <c r="V10" s="1053"/>
      <c r="W10" s="1053"/>
      <c r="X10" s="1053"/>
      <c r="Y10" s="1053"/>
      <c r="Z10" s="1054"/>
    </row>
    <row r="11" spans="1:27" s="19" customFormat="1" ht="21.95" customHeight="1" x14ac:dyDescent="0.2">
      <c r="A11" s="499"/>
      <c r="B11" s="687" t="s">
        <v>4</v>
      </c>
      <c r="C11" s="353" t="s">
        <v>434</v>
      </c>
      <c r="D11" s="353" t="s">
        <v>5</v>
      </c>
      <c r="E11" s="353" t="s">
        <v>6</v>
      </c>
      <c r="F11" s="353" t="s">
        <v>75</v>
      </c>
      <c r="G11" s="353" t="s">
        <v>302</v>
      </c>
      <c r="H11" s="354" t="s">
        <v>303</v>
      </c>
      <c r="I11" s="355" t="s">
        <v>4</v>
      </c>
      <c r="J11" s="356" t="s">
        <v>434</v>
      </c>
      <c r="K11" s="356" t="s">
        <v>5</v>
      </c>
      <c r="L11" s="356" t="s">
        <v>6</v>
      </c>
      <c r="M11" s="356" t="s">
        <v>75</v>
      </c>
      <c r="N11" s="356" t="s">
        <v>302</v>
      </c>
      <c r="O11" s="367" t="s">
        <v>303</v>
      </c>
      <c r="P11" s="688" t="s">
        <v>82</v>
      </c>
      <c r="Q11" s="13"/>
      <c r="R11" s="13"/>
      <c r="S11" s="14" t="s">
        <v>80</v>
      </c>
      <c r="T11" s="15" t="s">
        <v>81</v>
      </c>
      <c r="U11" s="12" t="s">
        <v>488</v>
      </c>
      <c r="V11" s="13"/>
      <c r="W11" s="13"/>
      <c r="X11" s="14" t="s">
        <v>491</v>
      </c>
      <c r="Y11" s="1064" t="s">
        <v>492</v>
      </c>
      <c r="Z11" s="1065"/>
    </row>
    <row r="12" spans="1:27" s="642" customFormat="1" ht="21.95" customHeight="1" x14ac:dyDescent="0.2">
      <c r="A12" s="499"/>
      <c r="B12" s="49">
        <v>4.99</v>
      </c>
      <c r="C12" s="20">
        <f>D12+0.025</f>
        <v>95.749200000000002</v>
      </c>
      <c r="D12" s="20">
        <v>95.724199999999996</v>
      </c>
      <c r="E12" s="20">
        <f>D12-0.1</f>
        <v>95.624200000000002</v>
      </c>
      <c r="F12" s="20">
        <f>E12-0.06</f>
        <v>95.5642</v>
      </c>
      <c r="G12" s="20">
        <v>94.798500000000004</v>
      </c>
      <c r="H12" s="50">
        <v>94.731899999999996</v>
      </c>
      <c r="I12" s="26">
        <v>4.625</v>
      </c>
      <c r="J12" s="20">
        <f>K12+0.01</f>
        <v>94.715900000000005</v>
      </c>
      <c r="K12" s="20">
        <v>94.7059</v>
      </c>
      <c r="L12" s="20">
        <v>94.516900000000007</v>
      </c>
      <c r="M12" s="20">
        <v>94.238</v>
      </c>
      <c r="N12" s="20">
        <v>93.726600000000005</v>
      </c>
      <c r="O12" s="27">
        <v>93.5792</v>
      </c>
      <c r="P12" s="689" t="s">
        <v>93</v>
      </c>
      <c r="Q12" s="24"/>
      <c r="R12" s="24"/>
      <c r="S12" s="361">
        <v>-0.5</v>
      </c>
      <c r="T12" s="22">
        <v>-0.5</v>
      </c>
      <c r="U12" s="685" t="s">
        <v>489</v>
      </c>
      <c r="V12" s="686"/>
      <c r="W12" s="686"/>
      <c r="X12" s="690">
        <v>0.15</v>
      </c>
      <c r="Y12" s="685"/>
      <c r="Z12" s="691">
        <v>0</v>
      </c>
      <c r="AA12" s="649"/>
    </row>
    <row r="13" spans="1:27" ht="21.95" customHeight="1" x14ac:dyDescent="0.2">
      <c r="B13" s="49">
        <v>5.125</v>
      </c>
      <c r="C13" s="20">
        <f t="shared" ref="C13:C22" si="0">D13+0.025</f>
        <v>96.249000000000009</v>
      </c>
      <c r="D13" s="20">
        <v>96.224000000000004</v>
      </c>
      <c r="E13" s="20">
        <f t="shared" ref="E13:E29" si="1">D13-0.1</f>
        <v>96.124000000000009</v>
      </c>
      <c r="F13" s="20">
        <f t="shared" ref="F13:F29" si="2">E13-0.06</f>
        <v>96.064000000000007</v>
      </c>
      <c r="G13" s="20">
        <v>95.298200000000008</v>
      </c>
      <c r="H13" s="50">
        <v>95.2316</v>
      </c>
      <c r="I13" s="26">
        <v>4.75</v>
      </c>
      <c r="J13" s="20">
        <f t="shared" ref="J13:J25" si="3">K13+0.01</f>
        <v>95.487700000000004</v>
      </c>
      <c r="K13" s="20">
        <v>95.477699999999999</v>
      </c>
      <c r="L13" s="20">
        <v>95.281400000000005</v>
      </c>
      <c r="M13" s="20">
        <v>94.995099999999994</v>
      </c>
      <c r="N13" s="20">
        <v>94.484000000000009</v>
      </c>
      <c r="O13" s="27">
        <v>94.347099999999998</v>
      </c>
      <c r="P13" s="689" t="s">
        <v>94</v>
      </c>
      <c r="Q13" s="24"/>
      <c r="R13" s="24"/>
      <c r="S13" s="361">
        <v>0</v>
      </c>
      <c r="T13" s="22">
        <v>0</v>
      </c>
      <c r="U13" s="685" t="s">
        <v>490</v>
      </c>
      <c r="V13" s="686"/>
      <c r="W13" s="686"/>
      <c r="X13" s="690">
        <v>0.15</v>
      </c>
      <c r="Y13" s="685"/>
      <c r="Z13" s="691">
        <v>0</v>
      </c>
      <c r="AA13" s="649"/>
    </row>
    <row r="14" spans="1:27" ht="21.95" customHeight="1" x14ac:dyDescent="0.2">
      <c r="B14" s="49">
        <v>5.25</v>
      </c>
      <c r="C14" s="20">
        <f t="shared" si="0"/>
        <v>96.813500000000005</v>
      </c>
      <c r="D14" s="20">
        <v>96.788499999999999</v>
      </c>
      <c r="E14" s="20">
        <f t="shared" si="1"/>
        <v>96.688500000000005</v>
      </c>
      <c r="F14" s="20">
        <f t="shared" si="2"/>
        <v>96.628500000000003</v>
      </c>
      <c r="G14" s="20">
        <v>95.990700000000004</v>
      </c>
      <c r="H14" s="50">
        <v>95.893299999999996</v>
      </c>
      <c r="I14" s="26">
        <v>4.875</v>
      </c>
      <c r="J14" s="20">
        <f t="shared" si="3"/>
        <v>96.029500000000013</v>
      </c>
      <c r="K14" s="20">
        <v>96.019500000000008</v>
      </c>
      <c r="L14" s="20">
        <v>95.820000000000007</v>
      </c>
      <c r="M14" s="20">
        <v>95.533799999999999</v>
      </c>
      <c r="N14" s="20">
        <v>95.02300000000001</v>
      </c>
      <c r="O14" s="27">
        <v>94.888199999999998</v>
      </c>
      <c r="P14" s="689" t="s">
        <v>79</v>
      </c>
      <c r="Q14" s="24"/>
      <c r="R14" s="24"/>
      <c r="S14" s="361">
        <v>2.5000000000000001E-2</v>
      </c>
      <c r="T14" s="22">
        <v>2.5000000000000001E-2</v>
      </c>
      <c r="U14" s="23"/>
      <c r="V14" s="24"/>
      <c r="W14" s="24"/>
      <c r="X14" s="692"/>
      <c r="Y14" s="685"/>
      <c r="Z14" s="691"/>
      <c r="AA14" s="649"/>
    </row>
    <row r="15" spans="1:27" ht="21.95" customHeight="1" x14ac:dyDescent="0.2">
      <c r="B15" s="49">
        <v>5.375</v>
      </c>
      <c r="C15" s="20">
        <f t="shared" si="0"/>
        <v>97.40270000000001</v>
      </c>
      <c r="D15" s="20">
        <v>97.377700000000004</v>
      </c>
      <c r="E15" s="20">
        <f t="shared" si="1"/>
        <v>97.27770000000001</v>
      </c>
      <c r="F15" s="20">
        <f t="shared" si="2"/>
        <v>97.217700000000008</v>
      </c>
      <c r="G15" s="20">
        <v>96.573999999999998</v>
      </c>
      <c r="H15" s="50">
        <v>96.481800000000007</v>
      </c>
      <c r="I15" s="26">
        <v>4.99</v>
      </c>
      <c r="J15" s="20">
        <f t="shared" si="3"/>
        <v>96.526200000000003</v>
      </c>
      <c r="K15" s="20">
        <v>96.516199999999998</v>
      </c>
      <c r="L15" s="20">
        <v>96.314599999999999</v>
      </c>
      <c r="M15" s="20">
        <v>96.029699999999991</v>
      </c>
      <c r="N15" s="20">
        <v>95.519200000000012</v>
      </c>
      <c r="O15" s="27">
        <v>95.384399999999999</v>
      </c>
      <c r="P15" s="689" t="s">
        <v>164</v>
      </c>
      <c r="Q15" s="24"/>
      <c r="R15" s="24"/>
      <c r="S15" s="361">
        <v>0.05</v>
      </c>
      <c r="T15" s="22">
        <v>0.05</v>
      </c>
      <c r="U15" s="28"/>
      <c r="V15" s="24"/>
      <c r="W15" s="24"/>
      <c r="X15" s="24"/>
      <c r="Y15" s="24"/>
      <c r="Z15" s="22"/>
      <c r="AA15" s="649"/>
    </row>
    <row r="16" spans="1:27" ht="21.95" customHeight="1" x14ac:dyDescent="0.2">
      <c r="B16" s="49">
        <v>5.5</v>
      </c>
      <c r="C16" s="20">
        <f t="shared" si="0"/>
        <v>98.115600000000015</v>
      </c>
      <c r="D16" s="20">
        <v>98.090600000000009</v>
      </c>
      <c r="E16" s="20">
        <f t="shared" si="1"/>
        <v>97.990600000000015</v>
      </c>
      <c r="F16" s="20">
        <f t="shared" si="2"/>
        <v>97.930600000000013</v>
      </c>
      <c r="G16" s="20">
        <v>97.301500000000004</v>
      </c>
      <c r="H16" s="50">
        <v>97.274100000000004</v>
      </c>
      <c r="I16" s="26">
        <v>5.125</v>
      </c>
      <c r="J16" s="20">
        <f t="shared" si="3"/>
        <v>97.089300000000009</v>
      </c>
      <c r="K16" s="20">
        <v>97.079300000000003</v>
      </c>
      <c r="L16" s="20">
        <v>96.873500000000007</v>
      </c>
      <c r="M16" s="20">
        <v>96.662099999999995</v>
      </c>
      <c r="N16" s="20">
        <v>96.207600000000014</v>
      </c>
      <c r="O16" s="27">
        <v>96.045199999999994</v>
      </c>
      <c r="P16" s="689" t="s">
        <v>102</v>
      </c>
      <c r="Q16" s="362"/>
      <c r="R16" s="362"/>
      <c r="S16" s="363">
        <v>7.4999999999999997E-2</v>
      </c>
      <c r="T16" s="29">
        <v>7.4999999999999997E-2</v>
      </c>
      <c r="U16" s="30"/>
      <c r="V16" s="24"/>
      <c r="W16" s="24"/>
      <c r="X16" s="24"/>
      <c r="Y16" s="24"/>
      <c r="Z16" s="22"/>
      <c r="AA16" s="649"/>
    </row>
    <row r="17" spans="2:27" ht="21.95" customHeight="1" x14ac:dyDescent="0.2">
      <c r="B17" s="49">
        <v>5.625</v>
      </c>
      <c r="C17" s="20">
        <f t="shared" si="0"/>
        <v>98.572600000000008</v>
      </c>
      <c r="D17" s="20">
        <v>98.547600000000003</v>
      </c>
      <c r="E17" s="20">
        <f t="shared" si="1"/>
        <v>98.447600000000008</v>
      </c>
      <c r="F17" s="20">
        <f t="shared" si="2"/>
        <v>98.387600000000006</v>
      </c>
      <c r="G17" s="20">
        <v>97.758600000000001</v>
      </c>
      <c r="H17" s="50">
        <v>97.731099999999998</v>
      </c>
      <c r="I17" s="26">
        <v>5.25</v>
      </c>
      <c r="J17" s="20">
        <f t="shared" si="3"/>
        <v>97.806100000000015</v>
      </c>
      <c r="K17" s="20">
        <v>97.79610000000001</v>
      </c>
      <c r="L17" s="20">
        <v>97.58720000000001</v>
      </c>
      <c r="M17" s="20">
        <v>97.372199999999992</v>
      </c>
      <c r="N17" s="20">
        <v>96.918500000000009</v>
      </c>
      <c r="O17" s="27">
        <v>96.761200000000002</v>
      </c>
      <c r="P17" s="689" t="s">
        <v>527</v>
      </c>
      <c r="Q17" s="24"/>
      <c r="R17" s="24"/>
      <c r="S17" s="363">
        <v>0.1</v>
      </c>
      <c r="T17" s="22">
        <v>0.1</v>
      </c>
      <c r="U17" s="32"/>
      <c r="V17" s="33"/>
      <c r="W17" s="33"/>
      <c r="X17" s="33"/>
      <c r="Y17" s="33"/>
      <c r="Z17" s="29"/>
      <c r="AA17" s="649"/>
    </row>
    <row r="18" spans="2:27" ht="21.95" customHeight="1" x14ac:dyDescent="0.2">
      <c r="B18" s="49">
        <v>5.75</v>
      </c>
      <c r="C18" s="20">
        <f t="shared" si="0"/>
        <v>99.167800000000014</v>
      </c>
      <c r="D18" s="20">
        <v>99.142800000000008</v>
      </c>
      <c r="E18" s="20">
        <f t="shared" si="1"/>
        <v>99.042800000000014</v>
      </c>
      <c r="F18" s="20">
        <f t="shared" si="2"/>
        <v>98.982800000000012</v>
      </c>
      <c r="G18" s="20">
        <v>98.514600000000002</v>
      </c>
      <c r="H18" s="50">
        <v>98.426299999999998</v>
      </c>
      <c r="I18" s="26">
        <v>5.375</v>
      </c>
      <c r="J18" s="20">
        <f t="shared" si="3"/>
        <v>98.345200000000006</v>
      </c>
      <c r="K18" s="20">
        <v>98.3352</v>
      </c>
      <c r="L18" s="20">
        <v>98.123200000000011</v>
      </c>
      <c r="M18" s="20">
        <v>97.904799999999994</v>
      </c>
      <c r="N18" s="20">
        <v>97.451700000000002</v>
      </c>
      <c r="O18" s="27">
        <v>97.299700000000001</v>
      </c>
      <c r="P18" s="688" t="s">
        <v>83</v>
      </c>
      <c r="Q18" s="13"/>
      <c r="R18" s="13"/>
      <c r="S18" s="14" t="s">
        <v>80</v>
      </c>
      <c r="T18" s="15" t="s">
        <v>81</v>
      </c>
      <c r="U18" s="486" t="s">
        <v>510</v>
      </c>
      <c r="V18" s="487"/>
      <c r="W18" s="488"/>
      <c r="X18" s="13"/>
      <c r="Y18" s="13"/>
      <c r="Z18" s="693"/>
      <c r="AA18" s="649"/>
    </row>
    <row r="19" spans="2:27" ht="21.95" customHeight="1" x14ac:dyDescent="0.2">
      <c r="B19" s="49">
        <v>5.875</v>
      </c>
      <c r="C19" s="20">
        <f t="shared" si="0"/>
        <v>99.679600000000008</v>
      </c>
      <c r="D19" s="20">
        <v>99.654600000000002</v>
      </c>
      <c r="E19" s="20">
        <f t="shared" si="1"/>
        <v>99.554600000000008</v>
      </c>
      <c r="F19" s="20">
        <f t="shared" si="2"/>
        <v>99.494600000000005</v>
      </c>
      <c r="G19" s="20">
        <v>99.020499999999998</v>
      </c>
      <c r="H19" s="50">
        <v>98.967399999999998</v>
      </c>
      <c r="I19" s="26">
        <v>5.5</v>
      </c>
      <c r="J19" s="20">
        <f t="shared" si="3"/>
        <v>98.843700000000013</v>
      </c>
      <c r="K19" s="20">
        <v>98.833700000000007</v>
      </c>
      <c r="L19" s="20">
        <v>98.619500000000002</v>
      </c>
      <c r="M19" s="20">
        <v>98.398799999999994</v>
      </c>
      <c r="N19" s="20">
        <v>97.946200000000005</v>
      </c>
      <c r="O19" s="27">
        <v>97.797700000000006</v>
      </c>
      <c r="P19" s="694" t="s">
        <v>373</v>
      </c>
      <c r="Q19" s="24"/>
      <c r="R19" s="24"/>
      <c r="S19" s="361">
        <v>7.4999999999999997E-2</v>
      </c>
      <c r="T19" s="22">
        <v>0.05</v>
      </c>
      <c r="U19" s="695" t="s">
        <v>511</v>
      </c>
      <c r="V19" s="696"/>
      <c r="W19" s="697">
        <v>0.15</v>
      </c>
      <c r="X19" s="43"/>
      <c r="Y19" s="43"/>
      <c r="Z19" s="407"/>
      <c r="AA19" s="649"/>
    </row>
    <row r="20" spans="2:27" ht="21.95" customHeight="1" x14ac:dyDescent="0.2">
      <c r="B20" s="49">
        <v>5.99</v>
      </c>
      <c r="C20" s="20">
        <f t="shared" si="0"/>
        <v>100.15020000000001</v>
      </c>
      <c r="D20" s="20">
        <v>100.12520000000001</v>
      </c>
      <c r="E20" s="20">
        <f t="shared" si="1"/>
        <v>100.02520000000001</v>
      </c>
      <c r="F20" s="20">
        <f t="shared" si="2"/>
        <v>99.96520000000001</v>
      </c>
      <c r="G20" s="20">
        <v>99.485700000000008</v>
      </c>
      <c r="H20" s="50">
        <v>99.437399999999997</v>
      </c>
      <c r="I20" s="26">
        <v>5.625</v>
      </c>
      <c r="J20" s="20">
        <f t="shared" si="3"/>
        <v>99.238600000000005</v>
      </c>
      <c r="K20" s="20">
        <v>99.2286</v>
      </c>
      <c r="L20" s="20">
        <v>99.014500000000012</v>
      </c>
      <c r="M20" s="20">
        <v>98.793700000000001</v>
      </c>
      <c r="N20" s="20">
        <v>98.341100000000012</v>
      </c>
      <c r="O20" s="27">
        <v>98.192599999999999</v>
      </c>
      <c r="P20" s="694" t="s">
        <v>485</v>
      </c>
      <c r="Q20" s="24"/>
      <c r="R20" s="24"/>
      <c r="S20" s="361">
        <v>2.5000000000000001E-2</v>
      </c>
      <c r="T20" s="22">
        <v>0</v>
      </c>
      <c r="U20" s="698"/>
      <c r="V20" s="699"/>
      <c r="W20" s="699"/>
      <c r="X20" s="699"/>
      <c r="Y20" s="699"/>
      <c r="Z20" s="700"/>
      <c r="AA20" s="649"/>
    </row>
    <row r="21" spans="2:27" ht="21.95" customHeight="1" x14ac:dyDescent="0.2">
      <c r="B21" s="49">
        <v>6.125</v>
      </c>
      <c r="C21" s="20">
        <f t="shared" si="0"/>
        <v>100.62970000000001</v>
      </c>
      <c r="D21" s="20">
        <v>100.60470000000001</v>
      </c>
      <c r="E21" s="20">
        <f t="shared" si="1"/>
        <v>100.50470000000001</v>
      </c>
      <c r="F21" s="20">
        <f t="shared" si="2"/>
        <v>100.44470000000001</v>
      </c>
      <c r="G21" s="20">
        <v>99.965100000000007</v>
      </c>
      <c r="H21" s="50">
        <v>99.916800000000009</v>
      </c>
      <c r="I21" s="26">
        <v>5.75</v>
      </c>
      <c r="J21" s="20">
        <f t="shared" si="3"/>
        <v>99.583800000000011</v>
      </c>
      <c r="K21" s="20">
        <v>99.573800000000006</v>
      </c>
      <c r="L21" s="20">
        <v>99.352400000000003</v>
      </c>
      <c r="M21" s="20">
        <v>99.226299999999995</v>
      </c>
      <c r="N21" s="20">
        <v>98.845700000000008</v>
      </c>
      <c r="O21" s="27">
        <v>98.667599999999993</v>
      </c>
      <c r="P21" s="694" t="s">
        <v>506</v>
      </c>
      <c r="Q21" s="24"/>
      <c r="R21" s="24"/>
      <c r="S21" s="361">
        <v>0</v>
      </c>
      <c r="T21" s="22">
        <v>0</v>
      </c>
      <c r="U21" s="701"/>
      <c r="V21" s="699"/>
      <c r="W21" s="699"/>
      <c r="X21" s="699"/>
      <c r="Y21" s="699"/>
      <c r="Z21" s="700"/>
      <c r="AA21" s="649"/>
    </row>
    <row r="22" spans="2:27" ht="21.95" customHeight="1" x14ac:dyDescent="0.2">
      <c r="B22" s="49">
        <v>6.25</v>
      </c>
      <c r="C22" s="20">
        <f t="shared" si="0"/>
        <v>101.0549</v>
      </c>
      <c r="D22" s="20">
        <v>101.0299</v>
      </c>
      <c r="E22" s="20">
        <f t="shared" si="1"/>
        <v>100.9299</v>
      </c>
      <c r="F22" s="20">
        <f t="shared" si="2"/>
        <v>100.8699</v>
      </c>
      <c r="G22" s="20">
        <v>100.0916</v>
      </c>
      <c r="H22" s="50">
        <v>99.940200000000004</v>
      </c>
      <c r="I22" s="26">
        <v>5.875</v>
      </c>
      <c r="J22" s="20">
        <f t="shared" si="3"/>
        <v>100.048</v>
      </c>
      <c r="K22" s="20">
        <v>100.038</v>
      </c>
      <c r="L22" s="20">
        <v>99.813500000000005</v>
      </c>
      <c r="M22" s="20">
        <v>99.683999999999997</v>
      </c>
      <c r="N22" s="20">
        <v>99.304100000000005</v>
      </c>
      <c r="O22" s="27">
        <v>99.131200000000007</v>
      </c>
      <c r="P22" s="694" t="s">
        <v>494</v>
      </c>
      <c r="Q22" s="44"/>
      <c r="R22" s="44"/>
      <c r="S22" s="361">
        <v>0.05</v>
      </c>
      <c r="T22" s="22">
        <v>0.05</v>
      </c>
      <c r="U22" s="1067"/>
      <c r="V22" s="1068"/>
      <c r="W22" s="1068"/>
      <c r="X22" s="1068"/>
      <c r="Y22" s="1068"/>
      <c r="Z22" s="1069"/>
      <c r="AA22" s="649"/>
    </row>
    <row r="23" spans="2:27" ht="21.95" customHeight="1" x14ac:dyDescent="0.2">
      <c r="B23" s="49">
        <v>6.375</v>
      </c>
      <c r="C23" s="20">
        <f t="shared" ref="C23:C29" si="4">D23+0.025</f>
        <v>101.42630000000001</v>
      </c>
      <c r="D23" s="20">
        <v>101.40130000000001</v>
      </c>
      <c r="E23" s="20">
        <f t="shared" si="1"/>
        <v>101.30130000000001</v>
      </c>
      <c r="F23" s="20">
        <f t="shared" si="2"/>
        <v>101.24130000000001</v>
      </c>
      <c r="G23" s="20">
        <v>100.4571</v>
      </c>
      <c r="H23" s="50">
        <v>100.3109</v>
      </c>
      <c r="I23" s="26">
        <v>5.99</v>
      </c>
      <c r="J23" s="20">
        <f t="shared" si="3"/>
        <v>100.4706</v>
      </c>
      <c r="K23" s="20">
        <v>100.4606</v>
      </c>
      <c r="L23" s="20">
        <v>100.23400000000001</v>
      </c>
      <c r="M23" s="20">
        <v>100.10209999999999</v>
      </c>
      <c r="N23" s="20">
        <v>99.722700000000003</v>
      </c>
      <c r="O23" s="27">
        <v>99.553299999999993</v>
      </c>
      <c r="P23" s="694" t="s">
        <v>507</v>
      </c>
      <c r="Q23" s="44"/>
      <c r="R23" s="44"/>
      <c r="S23" s="361">
        <v>-0.1</v>
      </c>
      <c r="T23" s="22">
        <v>-7.4999999999999997E-2</v>
      </c>
      <c r="U23" s="1070"/>
      <c r="V23" s="1071"/>
      <c r="W23" s="1071"/>
      <c r="X23" s="1071"/>
      <c r="Y23" s="1071"/>
      <c r="Z23" s="1072"/>
      <c r="AA23" s="649"/>
    </row>
    <row r="24" spans="2:27" ht="21.95" customHeight="1" x14ac:dyDescent="0.2">
      <c r="B24" s="49">
        <v>6.5</v>
      </c>
      <c r="C24" s="20">
        <f t="shared" si="4"/>
        <v>101.91140000000001</v>
      </c>
      <c r="D24" s="20">
        <v>101.88640000000001</v>
      </c>
      <c r="E24" s="20">
        <f t="shared" si="1"/>
        <v>101.78640000000001</v>
      </c>
      <c r="F24" s="20">
        <f t="shared" si="2"/>
        <v>101.72640000000001</v>
      </c>
      <c r="G24" s="20">
        <v>100.9559</v>
      </c>
      <c r="H24" s="50">
        <v>100.7975</v>
      </c>
      <c r="I24" s="26">
        <v>6.125</v>
      </c>
      <c r="J24" s="20">
        <f t="shared" si="3"/>
        <v>100.85050000000001</v>
      </c>
      <c r="K24" s="20">
        <v>100.84050000000001</v>
      </c>
      <c r="L24" s="20">
        <v>100.6139</v>
      </c>
      <c r="M24" s="20">
        <v>100.482</v>
      </c>
      <c r="N24" s="20">
        <v>100.10260000000001</v>
      </c>
      <c r="O24" s="27">
        <v>99.933199999999999</v>
      </c>
      <c r="P24" s="694" t="s">
        <v>382</v>
      </c>
      <c r="Q24" s="44"/>
      <c r="R24" s="44"/>
      <c r="S24" s="361">
        <v>-0.15</v>
      </c>
      <c r="T24" s="22">
        <v>-0.125</v>
      </c>
      <c r="U24" s="16"/>
      <c r="V24" s="17" t="s">
        <v>437</v>
      </c>
      <c r="W24" s="13"/>
      <c r="X24" s="13"/>
      <c r="Y24" s="13"/>
      <c r="Z24" s="702"/>
      <c r="AA24" s="649"/>
    </row>
    <row r="25" spans="2:27" ht="21.95" customHeight="1" x14ac:dyDescent="0.2">
      <c r="B25" s="49">
        <v>6.625</v>
      </c>
      <c r="C25" s="20">
        <f t="shared" si="4"/>
        <v>102.34690000000001</v>
      </c>
      <c r="D25" s="20">
        <v>102.3219</v>
      </c>
      <c r="E25" s="20">
        <f t="shared" si="1"/>
        <v>102.22190000000001</v>
      </c>
      <c r="F25" s="20">
        <f t="shared" si="2"/>
        <v>102.1619</v>
      </c>
      <c r="G25" s="20">
        <v>101.60430000000001</v>
      </c>
      <c r="H25" s="50">
        <v>101.41120000000001</v>
      </c>
      <c r="I25" s="26">
        <v>6.25</v>
      </c>
      <c r="J25" s="20">
        <f t="shared" si="3"/>
        <v>100.9526</v>
      </c>
      <c r="K25" s="20">
        <v>100.9426</v>
      </c>
      <c r="L25" s="20">
        <v>100.70880000000001</v>
      </c>
      <c r="M25" s="20">
        <v>100.4755</v>
      </c>
      <c r="N25" s="20">
        <v>99.94250000000001</v>
      </c>
      <c r="O25" s="27">
        <v>99.737899999999996</v>
      </c>
      <c r="P25" s="694" t="s">
        <v>512</v>
      </c>
      <c r="Q25" s="44"/>
      <c r="R25" s="44"/>
      <c r="S25" s="361">
        <v>0.1</v>
      </c>
      <c r="T25" s="22">
        <v>0.1</v>
      </c>
      <c r="U25" s="481"/>
      <c r="V25" s="24" t="s">
        <v>437</v>
      </c>
      <c r="W25" s="24"/>
      <c r="X25" s="24"/>
      <c r="Y25" s="24"/>
      <c r="Z25" s="29">
        <v>-0.125</v>
      </c>
      <c r="AA25" s="649"/>
    </row>
    <row r="26" spans="2:27" ht="21.95" customHeight="1" x14ac:dyDescent="0.2">
      <c r="B26" s="49">
        <v>6.75</v>
      </c>
      <c r="C26" s="20">
        <f t="shared" si="4"/>
        <v>102.78680000000001</v>
      </c>
      <c r="D26" s="20">
        <v>102.76180000000001</v>
      </c>
      <c r="E26" s="20">
        <f t="shared" si="1"/>
        <v>102.66180000000001</v>
      </c>
      <c r="F26" s="20">
        <f t="shared" si="2"/>
        <v>102.60180000000001</v>
      </c>
      <c r="G26" s="20">
        <v>102.08890000000001</v>
      </c>
      <c r="H26" s="50">
        <v>101.901</v>
      </c>
      <c r="I26" s="26">
        <v>6.375</v>
      </c>
      <c r="J26" s="20">
        <f t="shared" ref="J26:J27" si="5">K26+0.01</f>
        <v>101.35860000000001</v>
      </c>
      <c r="K26" s="20">
        <v>101.3486</v>
      </c>
      <c r="L26" s="20">
        <v>101.1174</v>
      </c>
      <c r="M26" s="20">
        <v>100.8831</v>
      </c>
      <c r="N26" s="20">
        <v>100.35040000000001</v>
      </c>
      <c r="O26" s="27">
        <v>100.146</v>
      </c>
      <c r="P26" s="802" t="s">
        <v>505</v>
      </c>
      <c r="Q26" s="803"/>
      <c r="R26" s="803"/>
      <c r="S26" s="803"/>
      <c r="T26" s="803"/>
      <c r="U26" s="803"/>
      <c r="V26" s="803"/>
      <c r="W26" s="803"/>
      <c r="X26" s="803"/>
      <c r="Y26" s="803"/>
      <c r="Z26" s="804"/>
      <c r="AA26" s="649"/>
    </row>
    <row r="27" spans="2:27" ht="21.95" customHeight="1" x14ac:dyDescent="0.2">
      <c r="B27" s="49">
        <v>6.875</v>
      </c>
      <c r="C27" s="20">
        <f t="shared" si="4"/>
        <v>103.11420000000001</v>
      </c>
      <c r="D27" s="20">
        <v>103.08920000000001</v>
      </c>
      <c r="E27" s="20">
        <f t="shared" si="1"/>
        <v>102.98920000000001</v>
      </c>
      <c r="F27" s="20">
        <f t="shared" si="2"/>
        <v>102.92920000000001</v>
      </c>
      <c r="G27" s="20">
        <v>102.4191</v>
      </c>
      <c r="H27" s="50">
        <v>102.2277</v>
      </c>
      <c r="I27" s="26">
        <v>6.5</v>
      </c>
      <c r="J27" s="20">
        <f t="shared" si="5"/>
        <v>101.74640000000001</v>
      </c>
      <c r="K27" s="20">
        <v>101.7364</v>
      </c>
      <c r="L27" s="20">
        <v>101.50490000000001</v>
      </c>
      <c r="M27" s="20">
        <v>101.26949999999999</v>
      </c>
      <c r="N27" s="20">
        <v>100.73700000000001</v>
      </c>
      <c r="O27" s="27">
        <v>100.5346</v>
      </c>
      <c r="P27" s="703"/>
      <c r="Q27" s="43"/>
      <c r="R27" s="43" t="s">
        <v>498</v>
      </c>
      <c r="S27" s="43" t="s">
        <v>499</v>
      </c>
      <c r="T27" s="43" t="s">
        <v>500</v>
      </c>
      <c r="U27" s="43" t="s">
        <v>501</v>
      </c>
      <c r="V27" s="43" t="s">
        <v>502</v>
      </c>
      <c r="W27" s="43" t="s">
        <v>503</v>
      </c>
      <c r="X27" s="43" t="s">
        <v>504</v>
      </c>
      <c r="Y27" s="43"/>
      <c r="Z27" s="704"/>
      <c r="AA27" s="649"/>
    </row>
    <row r="28" spans="2:27" ht="21.95" customHeight="1" x14ac:dyDescent="0.2">
      <c r="B28" s="49">
        <v>7</v>
      </c>
      <c r="C28" s="20">
        <f t="shared" si="4"/>
        <v>103.63800000000001</v>
      </c>
      <c r="D28" s="20">
        <v>103.613</v>
      </c>
      <c r="E28" s="20">
        <f t="shared" si="1"/>
        <v>103.51300000000001</v>
      </c>
      <c r="F28" s="20">
        <f t="shared" si="2"/>
        <v>103.453</v>
      </c>
      <c r="G28" s="20">
        <v>102.9443</v>
      </c>
      <c r="H28" s="50">
        <v>102.7548</v>
      </c>
      <c r="I28" s="26">
        <v>6.625</v>
      </c>
      <c r="J28" s="20">
        <f t="shared" ref="J28:J29" si="6">K28+0.01</f>
        <v>102.12030000000001</v>
      </c>
      <c r="K28" s="20">
        <v>102.11030000000001</v>
      </c>
      <c r="L28" s="20">
        <v>101.88040000000001</v>
      </c>
      <c r="M28" s="20">
        <v>101.6452</v>
      </c>
      <c r="N28" s="20">
        <v>101.18560000000001</v>
      </c>
      <c r="O28" s="27">
        <v>100.9606</v>
      </c>
      <c r="P28" s="705" t="s">
        <v>496</v>
      </c>
      <c r="Q28" s="482"/>
      <c r="R28" s="483">
        <v>0</v>
      </c>
      <c r="S28" s="483">
        <v>0.45</v>
      </c>
      <c r="T28" s="483">
        <v>0.55000000000000004</v>
      </c>
      <c r="U28" s="483">
        <v>0.75</v>
      </c>
      <c r="V28" s="483">
        <v>0.5</v>
      </c>
      <c r="W28" s="483">
        <v>0.5</v>
      </c>
      <c r="X28" s="706">
        <v>0</v>
      </c>
      <c r="Y28" s="365"/>
      <c r="Z28" s="22"/>
      <c r="AA28" s="649"/>
    </row>
    <row r="29" spans="2:27" ht="21.95" customHeight="1" x14ac:dyDescent="0.2">
      <c r="B29" s="49">
        <v>7.125</v>
      </c>
      <c r="C29" s="20">
        <f t="shared" si="4"/>
        <v>104.0284</v>
      </c>
      <c r="D29" s="20">
        <v>104.0034</v>
      </c>
      <c r="E29" s="20">
        <f t="shared" si="1"/>
        <v>103.9034</v>
      </c>
      <c r="F29" s="20">
        <f t="shared" si="2"/>
        <v>103.8434</v>
      </c>
      <c r="G29" s="20">
        <v>103.4233</v>
      </c>
      <c r="H29" s="50">
        <v>103.21250000000001</v>
      </c>
      <c r="I29" s="26">
        <v>6.75</v>
      </c>
      <c r="J29" s="20">
        <f t="shared" si="6"/>
        <v>102.40450000000001</v>
      </c>
      <c r="K29" s="20">
        <v>102.39450000000001</v>
      </c>
      <c r="L29" s="20">
        <v>102.15230000000001</v>
      </c>
      <c r="M29" s="20">
        <v>102.0711</v>
      </c>
      <c r="N29" s="20">
        <v>101.68020000000001</v>
      </c>
      <c r="O29" s="27">
        <v>101.4524</v>
      </c>
      <c r="P29" s="707" t="s">
        <v>495</v>
      </c>
      <c r="Q29" s="699"/>
      <c r="R29" s="699">
        <v>0</v>
      </c>
      <c r="S29" s="699">
        <v>0.25</v>
      </c>
      <c r="T29" s="699">
        <v>0.45</v>
      </c>
      <c r="U29" s="699">
        <v>0.6</v>
      </c>
      <c r="V29" s="699">
        <v>0.2</v>
      </c>
      <c r="W29" s="699">
        <v>0</v>
      </c>
      <c r="X29" s="699">
        <v>0</v>
      </c>
      <c r="Y29" s="40"/>
      <c r="Z29" s="142"/>
      <c r="AA29" s="649"/>
    </row>
    <row r="30" spans="2:27" ht="21.95" customHeight="1" x14ac:dyDescent="0.2">
      <c r="B30" s="1013" t="s">
        <v>37</v>
      </c>
      <c r="C30" s="1014"/>
      <c r="D30" s="1014"/>
      <c r="E30" s="1014"/>
      <c r="F30" s="1014"/>
      <c r="G30" s="1014"/>
      <c r="H30" s="1057"/>
      <c r="I30" s="1066" t="s">
        <v>39</v>
      </c>
      <c r="J30" s="1014"/>
      <c r="K30" s="1014"/>
      <c r="L30" s="1014"/>
      <c r="M30" s="1014"/>
      <c r="N30" s="1014"/>
      <c r="O30" s="1015"/>
      <c r="P30" s="1062" t="s">
        <v>497</v>
      </c>
      <c r="Q30" s="1062"/>
      <c r="R30" s="1062"/>
      <c r="S30" s="1062"/>
      <c r="T30" s="1062"/>
      <c r="U30" s="1062"/>
      <c r="V30" s="1062"/>
      <c r="W30" s="1062"/>
      <c r="X30" s="1062"/>
      <c r="Y30" s="1062"/>
      <c r="Z30" s="1063"/>
    </row>
    <row r="31" spans="2:27" ht="21.95" customHeight="1" x14ac:dyDescent="0.2">
      <c r="B31" s="687" t="s">
        <v>4</v>
      </c>
      <c r="C31" s="353" t="s">
        <v>434</v>
      </c>
      <c r="D31" s="353" t="s">
        <v>5</v>
      </c>
      <c r="E31" s="353" t="s">
        <v>6</v>
      </c>
      <c r="F31" s="353" t="s">
        <v>75</v>
      </c>
      <c r="G31" s="353" t="s">
        <v>302</v>
      </c>
      <c r="H31" s="354" t="s">
        <v>303</v>
      </c>
      <c r="I31" s="355" t="s">
        <v>4</v>
      </c>
      <c r="J31" s="353" t="s">
        <v>434</v>
      </c>
      <c r="K31" s="353" t="s">
        <v>5</v>
      </c>
      <c r="L31" s="353" t="s">
        <v>6</v>
      </c>
      <c r="M31" s="353" t="s">
        <v>75</v>
      </c>
      <c r="N31" s="353" t="s">
        <v>302</v>
      </c>
      <c r="O31" s="367" t="s">
        <v>303</v>
      </c>
      <c r="P31" s="805" t="s">
        <v>481</v>
      </c>
      <c r="Q31" s="805"/>
      <c r="R31" s="805"/>
      <c r="S31" s="805"/>
      <c r="T31" s="805"/>
      <c r="U31" s="805"/>
      <c r="V31" s="805"/>
      <c r="W31" s="805"/>
      <c r="X31" s="805"/>
      <c r="Y31" s="805"/>
      <c r="Z31" s="806"/>
    </row>
    <row r="32" spans="2:27" ht="21.95" customHeight="1" x14ac:dyDescent="0.2">
      <c r="B32" s="49">
        <v>4.625</v>
      </c>
      <c r="C32" s="20">
        <f>D32+0.05</f>
        <v>97.056400000000011</v>
      </c>
      <c r="D32" s="20">
        <v>97.006400000000014</v>
      </c>
      <c r="E32" s="20">
        <v>96.784800000000018</v>
      </c>
      <c r="F32" s="20">
        <v>96.605500000000006</v>
      </c>
      <c r="G32" s="20">
        <v>96.274400000000014</v>
      </c>
      <c r="H32" s="50">
        <v>96.209300000000013</v>
      </c>
      <c r="I32" s="26">
        <v>4.625</v>
      </c>
      <c r="J32" s="20">
        <v>96.836800000000011</v>
      </c>
      <c r="K32" s="20">
        <v>96.8994</v>
      </c>
      <c r="L32" s="20">
        <v>96.707900000000009</v>
      </c>
      <c r="M32" s="20">
        <v>96.543600000000012</v>
      </c>
      <c r="N32" s="20">
        <v>96.467700000000008</v>
      </c>
      <c r="O32" s="27">
        <v>96.427700000000002</v>
      </c>
      <c r="P32" s="652"/>
      <c r="Q32" s="652"/>
      <c r="R32" s="652"/>
      <c r="S32" s="652"/>
      <c r="T32" s="652"/>
      <c r="U32" s="652"/>
      <c r="V32" s="652"/>
      <c r="W32" s="47"/>
      <c r="X32" s="41"/>
      <c r="Y32" s="44"/>
      <c r="Z32" s="45"/>
    </row>
    <row r="33" spans="2:27" ht="21.95" customHeight="1" x14ac:dyDescent="0.2">
      <c r="B33" s="49">
        <v>4.75</v>
      </c>
      <c r="C33" s="20">
        <f t="shared" ref="C33:C48" si="7">D33+0.05</f>
        <v>97.617400000000004</v>
      </c>
      <c r="D33" s="20">
        <v>97.567400000000006</v>
      </c>
      <c r="E33" s="20">
        <v>97.342700000000008</v>
      </c>
      <c r="F33" s="20">
        <v>97.159900000000007</v>
      </c>
      <c r="G33" s="20">
        <v>96.82950000000001</v>
      </c>
      <c r="H33" s="50">
        <v>96.769600000000011</v>
      </c>
      <c r="I33" s="26">
        <v>4.75</v>
      </c>
      <c r="J33" s="20">
        <v>97.130200000000002</v>
      </c>
      <c r="K33" s="20">
        <v>97.197100000000006</v>
      </c>
      <c r="L33" s="20">
        <v>97.002400000000009</v>
      </c>
      <c r="M33" s="20">
        <v>96.834600000000009</v>
      </c>
      <c r="N33" s="20">
        <v>96.759399999999999</v>
      </c>
      <c r="O33" s="27">
        <v>96.724700000000013</v>
      </c>
      <c r="P33" s="652"/>
      <c r="Q33" s="652"/>
      <c r="R33" s="652"/>
      <c r="S33" s="652"/>
      <c r="T33" s="652"/>
      <c r="U33" s="652"/>
      <c r="V33" s="652"/>
      <c r="W33" s="47"/>
      <c r="X33" s="41"/>
      <c r="Y33" s="44"/>
      <c r="Z33" s="45"/>
    </row>
    <row r="34" spans="2:27" ht="21.95" customHeight="1" x14ac:dyDescent="0.2">
      <c r="B34" s="49">
        <v>4.875</v>
      </c>
      <c r="C34" s="20">
        <f t="shared" si="7"/>
        <v>98.173299999999998</v>
      </c>
      <c r="D34" s="20">
        <v>98.1233</v>
      </c>
      <c r="E34" s="20">
        <v>97.895900000000012</v>
      </c>
      <c r="F34" s="20">
        <v>97.710100000000011</v>
      </c>
      <c r="G34" s="20">
        <v>97.380300000000005</v>
      </c>
      <c r="H34" s="50">
        <v>97.3249</v>
      </c>
      <c r="I34" s="26">
        <v>4.875</v>
      </c>
      <c r="J34" s="20">
        <v>97.534000000000006</v>
      </c>
      <c r="K34" s="20">
        <v>97.579400000000007</v>
      </c>
      <c r="L34" s="20">
        <v>97.381600000000006</v>
      </c>
      <c r="M34" s="20">
        <v>97.234999999999999</v>
      </c>
      <c r="N34" s="20">
        <v>97.143000000000001</v>
      </c>
      <c r="O34" s="27">
        <v>97.07180000000001</v>
      </c>
      <c r="P34" s="652"/>
      <c r="Q34" s="652"/>
      <c r="R34" s="652"/>
      <c r="S34" s="652"/>
      <c r="T34" s="652"/>
      <c r="U34" s="652"/>
      <c r="V34" s="652"/>
      <c r="W34" s="47"/>
      <c r="X34" s="41"/>
      <c r="Y34" s="44"/>
      <c r="Z34" s="45"/>
    </row>
    <row r="35" spans="2:27" ht="21.95" customHeight="1" x14ac:dyDescent="0.2">
      <c r="B35" s="49">
        <v>5</v>
      </c>
      <c r="C35" s="20">
        <f t="shared" si="7"/>
        <v>98.523400000000009</v>
      </c>
      <c r="D35" s="20">
        <v>98.473400000000012</v>
      </c>
      <c r="E35" s="20">
        <v>98.242400000000004</v>
      </c>
      <c r="F35" s="20">
        <v>98.077400000000011</v>
      </c>
      <c r="G35" s="20">
        <v>97.730800000000016</v>
      </c>
      <c r="H35" s="50">
        <v>97.644000000000005</v>
      </c>
      <c r="I35" s="26">
        <v>5</v>
      </c>
      <c r="J35" s="20">
        <v>97.972000000000008</v>
      </c>
      <c r="K35" s="20">
        <v>98.02300000000001</v>
      </c>
      <c r="L35" s="20">
        <v>97.822000000000003</v>
      </c>
      <c r="M35" s="20">
        <v>97.671900000000008</v>
      </c>
      <c r="N35" s="20">
        <v>97.580600000000004</v>
      </c>
      <c r="O35" s="27">
        <v>97.514600000000002</v>
      </c>
      <c r="P35" s="652"/>
      <c r="Q35" s="652"/>
      <c r="R35" s="652"/>
      <c r="S35" s="652"/>
      <c r="T35" s="652"/>
      <c r="U35" s="652"/>
      <c r="V35" s="652"/>
      <c r="W35" s="47"/>
      <c r="X35" s="41"/>
      <c r="Y35" s="44"/>
      <c r="Z35" s="45"/>
    </row>
    <row r="36" spans="2:27" ht="21.95" customHeight="1" x14ac:dyDescent="0.2">
      <c r="B36" s="49">
        <v>5.125</v>
      </c>
      <c r="C36" s="20">
        <f t="shared" si="7"/>
        <v>98.930900000000008</v>
      </c>
      <c r="D36" s="20">
        <v>98.880900000000011</v>
      </c>
      <c r="E36" s="20">
        <v>98.646800000000013</v>
      </c>
      <c r="F36" s="20">
        <v>98.478300000000004</v>
      </c>
      <c r="G36" s="20">
        <v>98.132400000000018</v>
      </c>
      <c r="H36" s="50">
        <v>98.046400000000006</v>
      </c>
      <c r="I36" s="26">
        <v>5.125</v>
      </c>
      <c r="J36" s="20">
        <v>98.364800000000002</v>
      </c>
      <c r="K36" s="20">
        <v>98.421300000000002</v>
      </c>
      <c r="L36" s="20">
        <v>98.217200000000005</v>
      </c>
      <c r="M36" s="20">
        <v>98.063700000000011</v>
      </c>
      <c r="N36" s="20">
        <v>97.973000000000013</v>
      </c>
      <c r="O36" s="27">
        <v>97.912200000000013</v>
      </c>
      <c r="P36" s="652"/>
      <c r="Q36" s="652"/>
      <c r="R36" s="652"/>
      <c r="S36" s="652"/>
      <c r="T36" s="652"/>
      <c r="U36" s="652"/>
      <c r="V36" s="652"/>
      <c r="W36" s="47"/>
      <c r="X36" s="41"/>
      <c r="Y36" s="44"/>
      <c r="Z36" s="45"/>
    </row>
    <row r="37" spans="2:27" ht="21.95" customHeight="1" x14ac:dyDescent="0.2">
      <c r="B37" s="49">
        <v>5.25</v>
      </c>
      <c r="C37" s="20">
        <f t="shared" si="7"/>
        <v>99.351800000000026</v>
      </c>
      <c r="D37" s="20">
        <v>99.301800000000028</v>
      </c>
      <c r="E37" s="20">
        <v>99.064600000000027</v>
      </c>
      <c r="F37" s="20">
        <v>98.89260000000003</v>
      </c>
      <c r="G37" s="20">
        <v>98.547400000000039</v>
      </c>
      <c r="H37" s="50">
        <v>98.466700000000031</v>
      </c>
      <c r="I37" s="26">
        <v>5.25</v>
      </c>
      <c r="J37" s="20">
        <v>98.629400000000004</v>
      </c>
      <c r="K37" s="20">
        <v>98.692900000000009</v>
      </c>
      <c r="L37" s="20">
        <v>98.485700000000008</v>
      </c>
      <c r="M37" s="20">
        <v>98.328700000000012</v>
      </c>
      <c r="N37" s="20">
        <v>98.238700000000009</v>
      </c>
      <c r="O37" s="27">
        <v>98.18310000000001</v>
      </c>
      <c r="P37" s="652"/>
      <c r="Q37" s="652"/>
      <c r="R37" s="652"/>
      <c r="S37" s="652"/>
      <c r="T37" s="652"/>
      <c r="U37" s="652"/>
      <c r="V37" s="652"/>
      <c r="W37" s="47"/>
      <c r="X37" s="41"/>
      <c r="Y37" s="44"/>
      <c r="Z37" s="45"/>
    </row>
    <row r="38" spans="2:27" ht="21.95" customHeight="1" x14ac:dyDescent="0.2">
      <c r="B38" s="49">
        <v>5.375</v>
      </c>
      <c r="C38" s="20">
        <f t="shared" si="7"/>
        <v>99.893900000000002</v>
      </c>
      <c r="D38" s="20">
        <v>99.843900000000005</v>
      </c>
      <c r="E38" s="20">
        <v>99.60390000000001</v>
      </c>
      <c r="F38" s="20">
        <v>99.428899999999999</v>
      </c>
      <c r="G38" s="20">
        <v>99.084300000000013</v>
      </c>
      <c r="H38" s="50">
        <v>99.008099999999999</v>
      </c>
      <c r="I38" s="26">
        <v>5.375</v>
      </c>
      <c r="J38" s="20">
        <v>98.881700000000009</v>
      </c>
      <c r="K38" s="20">
        <v>98.9512</v>
      </c>
      <c r="L38" s="20">
        <v>98.741200000000006</v>
      </c>
      <c r="M38" s="20">
        <v>98.603100000000012</v>
      </c>
      <c r="N38" s="20">
        <v>98.528600000000012</v>
      </c>
      <c r="O38" s="27">
        <v>98.44080000000001</v>
      </c>
      <c r="P38" s="652"/>
      <c r="Q38" s="652"/>
      <c r="R38" s="652"/>
      <c r="S38" s="652"/>
      <c r="T38" s="652"/>
      <c r="U38" s="652"/>
      <c r="V38" s="652"/>
      <c r="W38" s="47"/>
      <c r="X38" s="41"/>
      <c r="Y38" s="44"/>
      <c r="Z38" s="45"/>
    </row>
    <row r="39" spans="2:27" ht="21.95" customHeight="1" x14ac:dyDescent="0.2">
      <c r="B39" s="49">
        <v>5.5</v>
      </c>
      <c r="C39" s="20">
        <f t="shared" si="7"/>
        <v>100.14990000000002</v>
      </c>
      <c r="D39" s="20">
        <v>100.09990000000002</v>
      </c>
      <c r="E39" s="20">
        <v>99.859900000000025</v>
      </c>
      <c r="F39" s="20">
        <v>99.684900000000013</v>
      </c>
      <c r="G39" s="20">
        <v>99.344300000000018</v>
      </c>
      <c r="H39" s="50">
        <v>99.264100000000013</v>
      </c>
      <c r="I39" s="26">
        <v>5.5</v>
      </c>
      <c r="J39" s="20">
        <v>99.249000000000009</v>
      </c>
      <c r="K39" s="20">
        <v>99.322800000000001</v>
      </c>
      <c r="L39" s="20">
        <v>99.109300000000005</v>
      </c>
      <c r="M39" s="20">
        <v>99.001300000000001</v>
      </c>
      <c r="N39" s="20">
        <v>98.927500000000009</v>
      </c>
      <c r="O39" s="27">
        <v>98.840600000000009</v>
      </c>
      <c r="P39" s="652"/>
      <c r="Q39" s="652"/>
      <c r="R39" s="652"/>
      <c r="S39" s="652"/>
      <c r="T39" s="652"/>
      <c r="U39" s="652"/>
      <c r="V39" s="652"/>
      <c r="W39" s="47"/>
      <c r="X39" s="41"/>
      <c r="Y39" s="44"/>
      <c r="Z39" s="45"/>
    </row>
    <row r="40" spans="2:27" ht="21.95" customHeight="1" x14ac:dyDescent="0.2">
      <c r="B40" s="49">
        <v>5.625</v>
      </c>
      <c r="C40" s="20">
        <f t="shared" si="7"/>
        <v>100.46350000000001</v>
      </c>
      <c r="D40" s="20">
        <v>100.41350000000001</v>
      </c>
      <c r="E40" s="20">
        <v>100.16690000000001</v>
      </c>
      <c r="F40" s="20">
        <v>100.04040000000002</v>
      </c>
      <c r="G40" s="20">
        <v>99.709200000000024</v>
      </c>
      <c r="H40" s="50">
        <v>99.599400000000017</v>
      </c>
      <c r="I40" s="26">
        <v>5.625</v>
      </c>
      <c r="J40" s="20">
        <v>99.603500000000011</v>
      </c>
      <c r="K40" s="20">
        <v>99.685300000000012</v>
      </c>
      <c r="L40" s="20">
        <v>99.468700000000013</v>
      </c>
      <c r="M40" s="20">
        <v>99.357200000000006</v>
      </c>
      <c r="N40" s="20">
        <v>99.284100000000009</v>
      </c>
      <c r="O40" s="27">
        <v>99.202500000000001</v>
      </c>
      <c r="P40" s="652"/>
      <c r="Q40" s="652"/>
      <c r="R40" s="652"/>
      <c r="S40" s="652"/>
      <c r="T40" s="652"/>
      <c r="U40" s="652"/>
      <c r="V40" s="652"/>
      <c r="W40" s="47"/>
      <c r="X40" s="41"/>
      <c r="Y40" s="44"/>
      <c r="Z40" s="45"/>
    </row>
    <row r="41" spans="2:27" ht="21.95" customHeight="1" x14ac:dyDescent="0.2">
      <c r="B41" s="49">
        <v>5.75</v>
      </c>
      <c r="C41" s="20">
        <f t="shared" si="7"/>
        <v>100.64150000000001</v>
      </c>
      <c r="D41" s="20">
        <v>100.59150000000001</v>
      </c>
      <c r="E41" s="20">
        <v>100.34180000000002</v>
      </c>
      <c r="F41" s="20">
        <v>100.21180000000001</v>
      </c>
      <c r="G41" s="20">
        <v>99.881200000000021</v>
      </c>
      <c r="H41" s="50">
        <v>99.776700000000005</v>
      </c>
      <c r="I41" s="26">
        <v>5.75</v>
      </c>
      <c r="J41" s="20">
        <v>99.858800000000002</v>
      </c>
      <c r="K41" s="20">
        <v>99.957100000000011</v>
      </c>
      <c r="L41" s="20">
        <v>99.737400000000008</v>
      </c>
      <c r="M41" s="20">
        <v>99.678300000000007</v>
      </c>
      <c r="N41" s="20">
        <v>99.62060000000001</v>
      </c>
      <c r="O41" s="27">
        <v>99.502600000000001</v>
      </c>
      <c r="P41" s="652"/>
      <c r="Q41" s="652"/>
      <c r="R41" s="652"/>
      <c r="S41" s="652"/>
      <c r="T41" s="652"/>
      <c r="U41" s="652"/>
      <c r="V41" s="652"/>
      <c r="W41" s="47"/>
      <c r="X41" s="41"/>
      <c r="Y41" s="44"/>
      <c r="Z41" s="45"/>
    </row>
    <row r="42" spans="2:27" ht="21.95" customHeight="1" x14ac:dyDescent="0.2">
      <c r="B42" s="49">
        <v>5.875</v>
      </c>
      <c r="C42" s="20">
        <f t="shared" si="7"/>
        <v>101.16150000000002</v>
      </c>
      <c r="D42" s="20">
        <v>101.11150000000002</v>
      </c>
      <c r="E42" s="20">
        <v>100.85910000000003</v>
      </c>
      <c r="F42" s="20">
        <v>100.72600000000001</v>
      </c>
      <c r="G42" s="20">
        <v>100.39610000000002</v>
      </c>
      <c r="H42" s="50">
        <v>100.29610000000001</v>
      </c>
      <c r="I42" s="26">
        <v>5.875</v>
      </c>
      <c r="J42" s="20">
        <v>100.23150000000001</v>
      </c>
      <c r="K42" s="20">
        <v>100.33550000000001</v>
      </c>
      <c r="L42" s="20">
        <v>100.1127</v>
      </c>
      <c r="M42" s="20">
        <v>100.0502</v>
      </c>
      <c r="N42" s="20">
        <v>99.993200000000002</v>
      </c>
      <c r="O42" s="27">
        <v>99.880300000000005</v>
      </c>
      <c r="P42" s="652"/>
      <c r="Q42" s="652"/>
      <c r="R42" s="652"/>
      <c r="S42" s="652"/>
      <c r="T42" s="652"/>
      <c r="U42" s="652"/>
      <c r="V42" s="652"/>
      <c r="W42" s="47"/>
      <c r="X42" s="41"/>
      <c r="Y42" s="44"/>
      <c r="Z42" s="45"/>
    </row>
    <row r="43" spans="2:27" ht="21.95" customHeight="1" x14ac:dyDescent="0.2">
      <c r="B43" s="49">
        <v>6</v>
      </c>
      <c r="C43" s="20">
        <f t="shared" si="7"/>
        <v>101.38050000000001</v>
      </c>
      <c r="D43" s="20">
        <v>101.33050000000001</v>
      </c>
      <c r="E43" s="20">
        <v>101.07800000000002</v>
      </c>
      <c r="F43" s="20">
        <v>100.97890000000001</v>
      </c>
      <c r="G43" s="20">
        <v>100.66450000000002</v>
      </c>
      <c r="H43" s="50">
        <v>100.52870000000001</v>
      </c>
      <c r="I43" s="26">
        <v>6</v>
      </c>
      <c r="J43" s="20">
        <v>100.5822</v>
      </c>
      <c r="K43" s="20">
        <v>100.6944</v>
      </c>
      <c r="L43" s="20">
        <v>100.4684</v>
      </c>
      <c r="M43" s="20">
        <v>100.4024</v>
      </c>
      <c r="N43" s="20">
        <v>100.34610000000001</v>
      </c>
      <c r="O43" s="27">
        <v>100.2385</v>
      </c>
      <c r="P43" s="652"/>
      <c r="Q43" s="652"/>
      <c r="R43" s="652"/>
      <c r="S43" s="652"/>
      <c r="T43" s="652"/>
      <c r="U43" s="652"/>
      <c r="V43" s="652"/>
      <c r="W43" s="47"/>
      <c r="X43" s="41"/>
      <c r="Y43" s="44"/>
      <c r="Z43" s="45"/>
    </row>
    <row r="44" spans="2:27" ht="21.95" customHeight="1" x14ac:dyDescent="0.2">
      <c r="B44" s="49">
        <v>6.125</v>
      </c>
      <c r="C44" s="20">
        <f t="shared" si="7"/>
        <v>101.67840000000002</v>
      </c>
      <c r="D44" s="20">
        <v>101.62840000000003</v>
      </c>
      <c r="E44" s="20">
        <v>101.36930000000002</v>
      </c>
      <c r="F44" s="20">
        <v>101.28480000000002</v>
      </c>
      <c r="G44" s="20">
        <v>100.97110000000002</v>
      </c>
      <c r="H44" s="50">
        <v>100.84060000000002</v>
      </c>
      <c r="I44" s="26">
        <v>6.125</v>
      </c>
      <c r="J44" s="20">
        <v>100.8909</v>
      </c>
      <c r="K44" s="20">
        <v>101.01350000000001</v>
      </c>
      <c r="L44" s="20">
        <v>100.78440000000001</v>
      </c>
      <c r="M44" s="20">
        <v>100.7149</v>
      </c>
      <c r="N44" s="20">
        <v>100.65940000000001</v>
      </c>
      <c r="O44" s="27">
        <v>100.55690000000001</v>
      </c>
      <c r="P44" s="652"/>
      <c r="Q44" s="652"/>
      <c r="R44" s="652"/>
      <c r="S44" s="652"/>
      <c r="T44" s="652"/>
      <c r="U44" s="652"/>
      <c r="V44" s="652"/>
      <c r="W44" s="47"/>
      <c r="X44" s="41"/>
      <c r="Y44" s="44"/>
      <c r="Z44" s="45"/>
    </row>
    <row r="45" spans="2:27" ht="21.95" customHeight="1" x14ac:dyDescent="0.2">
      <c r="B45" s="49">
        <v>6.25</v>
      </c>
      <c r="C45" s="20">
        <f t="shared" si="7"/>
        <v>102.08240000000002</v>
      </c>
      <c r="D45" s="20">
        <v>102.03240000000002</v>
      </c>
      <c r="E45" s="20">
        <v>101.77020000000002</v>
      </c>
      <c r="F45" s="20">
        <v>101.68220000000002</v>
      </c>
      <c r="G45" s="20">
        <v>101.36920000000002</v>
      </c>
      <c r="H45" s="50">
        <v>101.24380000000002</v>
      </c>
      <c r="I45" s="26">
        <v>6.25</v>
      </c>
      <c r="J45" s="20">
        <v>101.14110000000001</v>
      </c>
      <c r="K45" s="20">
        <v>101.2227</v>
      </c>
      <c r="L45" s="20">
        <v>100.99050000000001</v>
      </c>
      <c r="M45" s="20">
        <v>100.94900000000001</v>
      </c>
      <c r="N45" s="20">
        <v>100.94120000000001</v>
      </c>
      <c r="O45" s="27">
        <v>100.8023</v>
      </c>
      <c r="P45" s="652"/>
      <c r="Q45" s="652"/>
      <c r="R45" s="652"/>
      <c r="S45" s="652"/>
      <c r="T45" s="652"/>
      <c r="U45" s="652"/>
      <c r="V45" s="652"/>
      <c r="W45" s="47"/>
      <c r="X45" s="41"/>
      <c r="Y45" s="44"/>
      <c r="Z45" s="45"/>
    </row>
    <row r="46" spans="2:27" ht="21.95" customHeight="1" x14ac:dyDescent="0.2">
      <c r="B46" s="49">
        <v>6.375</v>
      </c>
      <c r="C46" s="20">
        <f t="shared" si="7"/>
        <v>102.5934</v>
      </c>
      <c r="D46" s="20">
        <v>102.54340000000001</v>
      </c>
      <c r="E46" s="20">
        <v>102.27840000000002</v>
      </c>
      <c r="F46" s="20">
        <v>102.18740000000001</v>
      </c>
      <c r="G46" s="20">
        <v>101.87500000000001</v>
      </c>
      <c r="H46" s="50">
        <v>101.75420000000001</v>
      </c>
      <c r="I46" s="26">
        <v>6.375</v>
      </c>
      <c r="J46" s="20">
        <v>101.4487</v>
      </c>
      <c r="K46" s="20">
        <v>101.4684</v>
      </c>
      <c r="L46" s="20">
        <v>101.233</v>
      </c>
      <c r="M46" s="20">
        <v>101.2594</v>
      </c>
      <c r="N46" s="20">
        <v>101.25230000000001</v>
      </c>
      <c r="O46" s="27">
        <v>101.1186</v>
      </c>
      <c r="P46" s="652"/>
      <c r="Q46" s="652"/>
      <c r="R46" s="652"/>
      <c r="S46" s="652"/>
      <c r="T46" s="652"/>
      <c r="U46" s="652"/>
      <c r="V46" s="652"/>
      <c r="W46" s="47"/>
      <c r="X46" s="41"/>
      <c r="Y46" s="44"/>
      <c r="Z46" s="45"/>
    </row>
    <row r="47" spans="2:27" ht="21.95" customHeight="1" x14ac:dyDescent="0.2">
      <c r="B47" s="49">
        <v>6.5</v>
      </c>
      <c r="C47" s="20">
        <f t="shared" si="7"/>
        <v>102.79040000000001</v>
      </c>
      <c r="D47" s="20">
        <v>102.74040000000001</v>
      </c>
      <c r="E47" s="20">
        <v>102.68040000000001</v>
      </c>
      <c r="F47" s="20">
        <f>E47-0.25</f>
        <v>102.43040000000001</v>
      </c>
      <c r="G47" s="20">
        <f t="shared" ref="G47:H47" si="8">F47-0.25</f>
        <v>102.18040000000001</v>
      </c>
      <c r="H47" s="20">
        <f t="shared" si="8"/>
        <v>101.93040000000001</v>
      </c>
      <c r="I47" s="26">
        <v>6.5</v>
      </c>
      <c r="J47" s="20">
        <v>101.76050000000001</v>
      </c>
      <c r="K47" s="20">
        <v>101.7894</v>
      </c>
      <c r="L47" s="20">
        <v>101.55100000000002</v>
      </c>
      <c r="M47" s="20">
        <v>101.57380000000001</v>
      </c>
      <c r="N47" s="20">
        <v>101.56750000000001</v>
      </c>
      <c r="O47" s="27">
        <v>101.43900000000001</v>
      </c>
      <c r="P47" s="652"/>
      <c r="Q47" s="652"/>
      <c r="R47" s="652"/>
      <c r="S47" s="652"/>
      <c r="T47" s="652"/>
      <c r="U47" s="652"/>
      <c r="V47" s="652"/>
      <c r="W47" s="47"/>
      <c r="X47" s="41"/>
      <c r="Y47" s="44"/>
      <c r="Z47" s="45"/>
    </row>
    <row r="48" spans="2:27" ht="21.95" customHeight="1" x14ac:dyDescent="0.2">
      <c r="B48" s="94">
        <v>6.625</v>
      </c>
      <c r="C48" s="38">
        <f t="shared" si="7"/>
        <v>102.3777</v>
      </c>
      <c r="D48" s="38">
        <v>102.32770000000001</v>
      </c>
      <c r="E48" s="38">
        <v>102.26110000000001</v>
      </c>
      <c r="F48" s="38">
        <f>E48-0.25</f>
        <v>102.01110000000001</v>
      </c>
      <c r="G48" s="38">
        <f t="shared" ref="G48:H48" si="9">F48-0.25</f>
        <v>101.76110000000001</v>
      </c>
      <c r="H48" s="38">
        <f t="shared" si="9"/>
        <v>101.51110000000001</v>
      </c>
      <c r="I48" s="37">
        <v>6.625</v>
      </c>
      <c r="J48" s="38">
        <v>102.05420000000001</v>
      </c>
      <c r="K48" s="38">
        <v>102.09230000000001</v>
      </c>
      <c r="L48" s="38">
        <v>101.8507</v>
      </c>
      <c r="M48" s="38">
        <v>101.87010000000001</v>
      </c>
      <c r="N48" s="38">
        <v>101.8644</v>
      </c>
      <c r="O48" s="39">
        <v>101.7411</v>
      </c>
      <c r="P48" s="652"/>
      <c r="Q48" s="652"/>
      <c r="R48" s="652"/>
      <c r="S48" s="652"/>
      <c r="T48" s="652"/>
      <c r="U48" s="652"/>
      <c r="V48" s="652"/>
      <c r="W48" s="47"/>
      <c r="X48" s="41"/>
      <c r="Y48" s="44"/>
      <c r="Z48" s="45"/>
      <c r="AA48" s="500"/>
    </row>
    <row r="49" spans="2:26" ht="21.95" customHeight="1" x14ac:dyDescent="0.2">
      <c r="B49" s="1013" t="s">
        <v>35</v>
      </c>
      <c r="C49" s="1014"/>
      <c r="D49" s="1014"/>
      <c r="E49" s="1014"/>
      <c r="F49" s="1014"/>
      <c r="G49" s="1014"/>
      <c r="H49" s="1015"/>
      <c r="I49" s="1013" t="s">
        <v>38</v>
      </c>
      <c r="J49" s="1014"/>
      <c r="K49" s="1014"/>
      <c r="L49" s="1014"/>
      <c r="M49" s="1014"/>
      <c r="N49" s="1014"/>
      <c r="O49" s="1015"/>
      <c r="P49" s="652"/>
      <c r="Q49" s="652"/>
      <c r="R49" s="652"/>
      <c r="S49" s="652"/>
      <c r="T49" s="652"/>
      <c r="U49" s="652"/>
      <c r="V49" s="652"/>
      <c r="W49" s="47"/>
      <c r="X49" s="41"/>
      <c r="Y49" s="44"/>
      <c r="Z49" s="45"/>
    </row>
    <row r="50" spans="2:26" ht="21.95" customHeight="1" x14ac:dyDescent="0.2">
      <c r="B50" s="687" t="s">
        <v>4</v>
      </c>
      <c r="C50" s="353" t="s">
        <v>434</v>
      </c>
      <c r="D50" s="353" t="s">
        <v>5</v>
      </c>
      <c r="E50" s="353" t="s">
        <v>6</v>
      </c>
      <c r="F50" s="353" t="s">
        <v>75</v>
      </c>
      <c r="G50" s="353" t="s">
        <v>302</v>
      </c>
      <c r="H50" s="354" t="s">
        <v>303</v>
      </c>
      <c r="I50" s="359" t="s">
        <v>4</v>
      </c>
      <c r="J50" s="353" t="s">
        <v>434</v>
      </c>
      <c r="K50" s="353" t="s">
        <v>5</v>
      </c>
      <c r="L50" s="353" t="s">
        <v>6</v>
      </c>
      <c r="M50" s="353" t="s">
        <v>75</v>
      </c>
      <c r="N50" s="353" t="s">
        <v>302</v>
      </c>
      <c r="O50" s="367" t="s">
        <v>303</v>
      </c>
      <c r="P50" s="652"/>
      <c r="Q50" s="652"/>
      <c r="R50" s="652"/>
      <c r="S50" s="652"/>
      <c r="T50" s="652"/>
      <c r="U50" s="652"/>
      <c r="V50" s="652"/>
      <c r="W50" s="47"/>
      <c r="X50" s="41"/>
      <c r="Y50" s="44"/>
      <c r="Z50" s="45"/>
    </row>
    <row r="51" spans="2:26" ht="21.95" customHeight="1" x14ac:dyDescent="0.2">
      <c r="B51" s="49">
        <v>5.625</v>
      </c>
      <c r="C51" s="20">
        <f>D51+0.05</f>
        <v>98.544499999999999</v>
      </c>
      <c r="D51" s="20">
        <v>98.494500000000002</v>
      </c>
      <c r="E51" s="20">
        <v>98.454599999999999</v>
      </c>
      <c r="F51" s="20">
        <v>98.332999999999998</v>
      </c>
      <c r="G51" s="20">
        <v>98.185400000000001</v>
      </c>
      <c r="H51" s="20">
        <v>98.097899999999996</v>
      </c>
      <c r="I51" s="26">
        <v>6.25</v>
      </c>
      <c r="J51" s="20">
        <v>85</v>
      </c>
      <c r="K51" s="20">
        <v>85</v>
      </c>
      <c r="L51" s="20">
        <v>85</v>
      </c>
      <c r="M51" s="20">
        <v>85</v>
      </c>
      <c r="N51" s="20">
        <v>85</v>
      </c>
      <c r="O51" s="27">
        <v>85</v>
      </c>
      <c r="P51" s="652"/>
      <c r="Q51" s="652"/>
      <c r="R51" s="652"/>
      <c r="S51" s="652"/>
      <c r="T51" s="652"/>
      <c r="U51" s="652"/>
      <c r="V51" s="652"/>
      <c r="W51" s="47"/>
      <c r="X51" s="41"/>
      <c r="Y51" s="44"/>
      <c r="Z51" s="45"/>
    </row>
    <row r="52" spans="2:26" ht="21.95" customHeight="1" x14ac:dyDescent="0.2">
      <c r="B52" s="49">
        <v>5.75</v>
      </c>
      <c r="C52" s="20">
        <f t="shared" ref="C52:C63" si="10">D52+0.05</f>
        <v>99.149000000000001</v>
      </c>
      <c r="D52" s="20">
        <v>99.099000000000004</v>
      </c>
      <c r="E52" s="20">
        <v>98.927599999999998</v>
      </c>
      <c r="F52" s="20">
        <v>98.761499999999998</v>
      </c>
      <c r="G52" s="20">
        <v>98.400700000000001</v>
      </c>
      <c r="H52" s="20">
        <v>98.282499999999999</v>
      </c>
      <c r="I52" s="26">
        <f>I51+0.125</f>
        <v>6.375</v>
      </c>
      <c r="J52" s="20">
        <v>85</v>
      </c>
      <c r="K52" s="20">
        <v>85</v>
      </c>
      <c r="L52" s="20">
        <v>85</v>
      </c>
      <c r="M52" s="20">
        <v>85</v>
      </c>
      <c r="N52" s="20">
        <v>85</v>
      </c>
      <c r="O52" s="27">
        <v>85</v>
      </c>
      <c r="P52" s="652"/>
      <c r="Q52" s="652"/>
      <c r="R52" s="652"/>
      <c r="S52" s="652"/>
      <c r="T52" s="652"/>
      <c r="U52" s="652"/>
      <c r="V52" s="652"/>
      <c r="W52" s="47"/>
      <c r="X52" s="41"/>
      <c r="Y52" s="44"/>
      <c r="Z52" s="45"/>
    </row>
    <row r="53" spans="2:26" ht="21.95" customHeight="1" x14ac:dyDescent="0.2">
      <c r="B53" s="49">
        <v>5.875</v>
      </c>
      <c r="C53" s="20">
        <f t="shared" si="10"/>
        <v>99.660799999999995</v>
      </c>
      <c r="D53" s="20">
        <v>99.610799999999998</v>
      </c>
      <c r="E53" s="20">
        <v>99.436300000000003</v>
      </c>
      <c r="F53" s="20">
        <v>99.266800000000003</v>
      </c>
      <c r="G53" s="20">
        <v>98.906700000000001</v>
      </c>
      <c r="H53" s="20">
        <v>98.793599999999998</v>
      </c>
      <c r="I53" s="26">
        <f t="shared" ref="I53:I57" si="11">I52+0.125</f>
        <v>6.5</v>
      </c>
      <c r="J53" s="20">
        <v>85</v>
      </c>
      <c r="K53" s="20">
        <v>85</v>
      </c>
      <c r="L53" s="20">
        <v>85</v>
      </c>
      <c r="M53" s="20">
        <v>85</v>
      </c>
      <c r="N53" s="20">
        <v>85</v>
      </c>
      <c r="O53" s="27">
        <v>85</v>
      </c>
      <c r="P53" s="652"/>
      <c r="Q53" s="652"/>
      <c r="R53" s="652"/>
      <c r="S53" s="652"/>
      <c r="T53" s="652"/>
      <c r="U53" s="652"/>
      <c r="V53" s="652"/>
      <c r="W53" s="47"/>
      <c r="X53" s="41"/>
      <c r="Y53" s="44"/>
      <c r="Z53" s="45"/>
    </row>
    <row r="54" spans="2:26" ht="21.95" customHeight="1" x14ac:dyDescent="0.2">
      <c r="B54" s="49">
        <v>6</v>
      </c>
      <c r="C54" s="20">
        <f t="shared" si="10"/>
        <v>100.1456</v>
      </c>
      <c r="D54" s="20">
        <v>100.0956</v>
      </c>
      <c r="E54" s="20">
        <v>99.918300000000002</v>
      </c>
      <c r="F54" s="20">
        <v>99.745599999999996</v>
      </c>
      <c r="G54" s="20">
        <v>99.386099999999999</v>
      </c>
      <c r="H54" s="20">
        <v>99.277799999999999</v>
      </c>
      <c r="I54" s="26">
        <f t="shared" si="11"/>
        <v>6.625</v>
      </c>
      <c r="J54" s="20">
        <v>85</v>
      </c>
      <c r="K54" s="20">
        <v>85</v>
      </c>
      <c r="L54" s="20">
        <v>85</v>
      </c>
      <c r="M54" s="20">
        <v>85</v>
      </c>
      <c r="N54" s="20">
        <v>85</v>
      </c>
      <c r="O54" s="27">
        <v>85</v>
      </c>
      <c r="P54" s="708" t="s">
        <v>429</v>
      </c>
      <c r="Q54" s="72"/>
      <c r="R54" s="72"/>
      <c r="S54" s="72"/>
      <c r="T54" s="73" t="s">
        <v>295</v>
      </c>
      <c r="U54" s="74"/>
      <c r="V54" s="74"/>
      <c r="W54" s="74"/>
      <c r="X54" s="75"/>
      <c r="Y54" s="76" t="s">
        <v>88</v>
      </c>
      <c r="Z54" s="54"/>
    </row>
    <row r="55" spans="2:26" ht="21.95" customHeight="1" x14ac:dyDescent="0.2">
      <c r="B55" s="49">
        <v>6.125</v>
      </c>
      <c r="C55" s="20">
        <f t="shared" si="10"/>
        <v>100.5698</v>
      </c>
      <c r="D55" s="20">
        <v>100.5198</v>
      </c>
      <c r="E55" s="20">
        <v>100.3425</v>
      </c>
      <c r="F55" s="20">
        <v>100.1698</v>
      </c>
      <c r="G55" s="20">
        <v>99.810299999999998</v>
      </c>
      <c r="H55" s="20">
        <v>99.701999999999998</v>
      </c>
      <c r="I55" s="26">
        <f t="shared" si="11"/>
        <v>6.75</v>
      </c>
      <c r="J55" s="20">
        <v>85</v>
      </c>
      <c r="K55" s="20">
        <v>85</v>
      </c>
      <c r="L55" s="20">
        <v>85</v>
      </c>
      <c r="M55" s="20">
        <v>85</v>
      </c>
      <c r="N55" s="20">
        <v>85</v>
      </c>
      <c r="O55" s="27">
        <v>85</v>
      </c>
      <c r="P55" s="709" t="s">
        <v>430</v>
      </c>
      <c r="Q55" s="70"/>
      <c r="R55" s="78"/>
      <c r="S55" s="463">
        <v>0</v>
      </c>
      <c r="T55" s="79" t="s">
        <v>305</v>
      </c>
      <c r="U55" s="80"/>
      <c r="V55" s="80"/>
      <c r="W55" s="81">
        <v>-0.02</v>
      </c>
      <c r="X55" s="82"/>
      <c r="Y55" s="212" t="s">
        <v>89</v>
      </c>
      <c r="Z55" s="83">
        <v>1125</v>
      </c>
    </row>
    <row r="56" spans="2:26" ht="21.95" customHeight="1" x14ac:dyDescent="0.2">
      <c r="B56" s="49">
        <v>6.25</v>
      </c>
      <c r="C56" s="20">
        <f t="shared" si="10"/>
        <v>100.95949999999999</v>
      </c>
      <c r="D56" s="20">
        <v>100.90949999999999</v>
      </c>
      <c r="E56" s="20">
        <v>100.7256</v>
      </c>
      <c r="F56" s="20">
        <v>100.4453</v>
      </c>
      <c r="G56" s="20">
        <v>99.908500000000004</v>
      </c>
      <c r="H56" s="20">
        <v>99.74430000000001</v>
      </c>
      <c r="I56" s="26">
        <f t="shared" si="11"/>
        <v>6.875</v>
      </c>
      <c r="J56" s="20">
        <v>85</v>
      </c>
      <c r="K56" s="20">
        <v>85</v>
      </c>
      <c r="L56" s="20">
        <v>85</v>
      </c>
      <c r="M56" s="20">
        <v>85</v>
      </c>
      <c r="N56" s="20">
        <v>85</v>
      </c>
      <c r="O56" s="27">
        <v>85</v>
      </c>
      <c r="P56" s="709" t="s">
        <v>431</v>
      </c>
      <c r="Q56" s="84"/>
      <c r="R56" s="85"/>
      <c r="S56" s="85"/>
      <c r="T56" s="86" t="s">
        <v>306</v>
      </c>
      <c r="U56" s="80"/>
      <c r="V56" s="80"/>
      <c r="W56" s="81">
        <v>-0.02</v>
      </c>
      <c r="X56" s="82"/>
      <c r="Y56" s="212" t="s">
        <v>156</v>
      </c>
      <c r="Z56" s="83">
        <v>700</v>
      </c>
    </row>
    <row r="57" spans="2:26" ht="21.95" customHeight="1" x14ac:dyDescent="0.2">
      <c r="B57" s="49">
        <v>6.375</v>
      </c>
      <c r="C57" s="20">
        <f t="shared" si="10"/>
        <v>101.4115</v>
      </c>
      <c r="D57" s="20">
        <v>101.36150000000001</v>
      </c>
      <c r="E57" s="20">
        <v>101.1758</v>
      </c>
      <c r="F57" s="20">
        <v>100.8955</v>
      </c>
      <c r="G57" s="20">
        <v>100.3587</v>
      </c>
      <c r="H57" s="20">
        <v>100.196</v>
      </c>
      <c r="I57" s="26">
        <f t="shared" si="11"/>
        <v>7</v>
      </c>
      <c r="J57" s="20">
        <v>85</v>
      </c>
      <c r="K57" s="20">
        <v>85</v>
      </c>
      <c r="L57" s="20">
        <v>85</v>
      </c>
      <c r="M57" s="20">
        <v>85</v>
      </c>
      <c r="N57" s="20">
        <v>85</v>
      </c>
      <c r="O57" s="27">
        <v>85</v>
      </c>
      <c r="P57" s="709"/>
      <c r="Q57" s="84" t="s">
        <v>432</v>
      </c>
      <c r="R57" s="85"/>
      <c r="S57" s="85">
        <v>0</v>
      </c>
      <c r="T57" s="86" t="s">
        <v>307</v>
      </c>
      <c r="U57" s="80"/>
      <c r="V57" s="80"/>
      <c r="W57" s="81">
        <v>-0.04</v>
      </c>
      <c r="X57" s="82"/>
      <c r="Y57" s="212" t="s">
        <v>157</v>
      </c>
      <c r="Z57" s="83">
        <v>295</v>
      </c>
    </row>
    <row r="58" spans="2:26" ht="21.95" customHeight="1" x14ac:dyDescent="0.2">
      <c r="B58" s="49">
        <v>6.5</v>
      </c>
      <c r="C58" s="20">
        <f t="shared" si="10"/>
        <v>101.8206</v>
      </c>
      <c r="D58" s="20">
        <v>101.7706</v>
      </c>
      <c r="E58" s="20">
        <v>101.5847</v>
      </c>
      <c r="F58" s="20">
        <v>101.30330000000001</v>
      </c>
      <c r="G58" s="20">
        <v>100.77730000000001</v>
      </c>
      <c r="H58" s="20">
        <v>100.6062</v>
      </c>
      <c r="I58" s="26"/>
      <c r="J58" s="20"/>
      <c r="K58" s="20"/>
      <c r="L58" s="20"/>
      <c r="M58" s="20"/>
      <c r="N58" s="20"/>
      <c r="O58" s="27"/>
      <c r="P58" s="710"/>
      <c r="Q58" s="1060" t="s">
        <v>433</v>
      </c>
      <c r="R58" s="1060"/>
      <c r="S58" s="85">
        <v>0</v>
      </c>
      <c r="T58" s="86" t="s">
        <v>308</v>
      </c>
      <c r="U58" s="80"/>
      <c r="V58" s="80"/>
      <c r="W58" s="81">
        <v>-0.04</v>
      </c>
      <c r="X58" s="82"/>
      <c r="Y58" s="366" t="s">
        <v>158</v>
      </c>
      <c r="Z58" s="83">
        <v>0</v>
      </c>
    </row>
    <row r="59" spans="2:26" ht="21.95" customHeight="1" x14ac:dyDescent="0.2">
      <c r="B59" s="49">
        <v>6.625</v>
      </c>
      <c r="C59" s="20">
        <f t="shared" si="10"/>
        <v>102.17139999999999</v>
      </c>
      <c r="D59" s="20">
        <v>102.12139999999999</v>
      </c>
      <c r="E59" s="20">
        <v>101.9344</v>
      </c>
      <c r="F59" s="20">
        <v>101.6097</v>
      </c>
      <c r="G59" s="20">
        <v>101.1935</v>
      </c>
      <c r="H59" s="20">
        <v>100.9825</v>
      </c>
      <c r="I59" s="26"/>
      <c r="J59" s="20"/>
      <c r="K59" s="20"/>
      <c r="L59" s="20"/>
      <c r="M59" s="20"/>
      <c r="N59" s="20"/>
      <c r="O59" s="27"/>
      <c r="P59" s="1058" t="s">
        <v>309</v>
      </c>
      <c r="Q59" s="1058"/>
      <c r="R59" s="1058"/>
      <c r="S59" s="1059"/>
      <c r="T59" s="86" t="s">
        <v>85</v>
      </c>
      <c r="U59" s="87"/>
      <c r="V59" s="87"/>
      <c r="W59" s="81">
        <v>-0.125</v>
      </c>
      <c r="X59" s="1050"/>
      <c r="Y59" s="1051"/>
      <c r="Z59" s="1061"/>
    </row>
    <row r="60" spans="2:26" ht="21.95" customHeight="1" x14ac:dyDescent="0.2">
      <c r="B60" s="49">
        <v>6.75</v>
      </c>
      <c r="C60" s="20">
        <f t="shared" si="10"/>
        <v>102.47239999999999</v>
      </c>
      <c r="D60" s="20">
        <v>102.4224</v>
      </c>
      <c r="E60" s="20">
        <v>102.226</v>
      </c>
      <c r="F60" s="20">
        <v>102.0971</v>
      </c>
      <c r="G60" s="20">
        <v>101.6816</v>
      </c>
      <c r="H60" s="20">
        <v>101.47580000000001</v>
      </c>
      <c r="I60" s="26"/>
      <c r="J60" s="20"/>
      <c r="K60" s="20"/>
      <c r="L60" s="20"/>
      <c r="M60" s="20"/>
      <c r="N60" s="20"/>
      <c r="O60" s="27"/>
      <c r="P60" s="1058"/>
      <c r="Q60" s="1058"/>
      <c r="R60" s="1058"/>
      <c r="S60" s="1059"/>
      <c r="T60" s="89"/>
      <c r="U60" s="84"/>
      <c r="V60" s="84"/>
      <c r="W60" s="84"/>
      <c r="X60" s="1050"/>
      <c r="Y60" s="1051"/>
      <c r="Z60" s="1061"/>
    </row>
    <row r="61" spans="2:26" ht="21.95" customHeight="1" x14ac:dyDescent="0.2">
      <c r="B61" s="49">
        <v>6.875</v>
      </c>
      <c r="C61" s="20">
        <f t="shared" si="10"/>
        <v>102.7907</v>
      </c>
      <c r="D61" s="20">
        <v>102.7407</v>
      </c>
      <c r="E61" s="20">
        <v>102.5453</v>
      </c>
      <c r="F61" s="20">
        <v>102.41889999999999</v>
      </c>
      <c r="G61" s="20">
        <v>102.003</v>
      </c>
      <c r="H61" s="20">
        <v>101.79600000000001</v>
      </c>
      <c r="I61" s="26"/>
      <c r="J61" s="20"/>
      <c r="K61" s="20"/>
      <c r="L61" s="20"/>
      <c r="M61" s="20"/>
      <c r="N61" s="20"/>
      <c r="O61" s="27"/>
      <c r="P61" s="1058"/>
      <c r="Q61" s="1058"/>
      <c r="R61" s="1058"/>
      <c r="S61" s="1059"/>
      <c r="T61" s="1048" t="s">
        <v>86</v>
      </c>
      <c r="U61" s="1049"/>
      <c r="V61" s="1049"/>
      <c r="W61" s="1049"/>
      <c r="X61" s="1055"/>
      <c r="Y61" s="1056"/>
      <c r="Z61" s="91"/>
    </row>
    <row r="62" spans="2:26" ht="21.95" customHeight="1" x14ac:dyDescent="0.2">
      <c r="B62" s="49">
        <v>7</v>
      </c>
      <c r="C62" s="20">
        <f t="shared" si="10"/>
        <v>103.16159999999999</v>
      </c>
      <c r="D62" s="20">
        <v>103.1116</v>
      </c>
      <c r="E62" s="20">
        <v>102.91420000000001</v>
      </c>
      <c r="F62" s="20">
        <v>102.7881</v>
      </c>
      <c r="G62" s="20">
        <v>102.372</v>
      </c>
      <c r="H62" s="20">
        <v>102.1665</v>
      </c>
      <c r="I62" s="26"/>
      <c r="J62" s="20"/>
      <c r="K62" s="20"/>
      <c r="L62" s="20"/>
      <c r="M62" s="20"/>
      <c r="N62" s="20"/>
      <c r="O62" s="27"/>
      <c r="P62" s="122" t="s">
        <v>84</v>
      </c>
      <c r="Q62" s="84"/>
      <c r="R62" s="84"/>
      <c r="S62" s="65">
        <v>-0.1</v>
      </c>
      <c r="T62" s="1048"/>
      <c r="U62" s="1049"/>
      <c r="V62" s="1049"/>
      <c r="W62" s="1049"/>
      <c r="X62" s="1055"/>
      <c r="Y62" s="1056"/>
      <c r="Z62" s="92"/>
    </row>
    <row r="63" spans="2:26" ht="21.95" customHeight="1" x14ac:dyDescent="0.2">
      <c r="B63" s="94">
        <v>7.125</v>
      </c>
      <c r="C63" s="38">
        <f t="shared" si="10"/>
        <v>103.1468</v>
      </c>
      <c r="D63" s="38">
        <v>103.0968</v>
      </c>
      <c r="E63" s="38">
        <v>102.9012</v>
      </c>
      <c r="F63" s="38">
        <v>102.8082</v>
      </c>
      <c r="G63" s="38">
        <v>102.396</v>
      </c>
      <c r="H63" s="38">
        <v>102.15900000000001</v>
      </c>
      <c r="I63" s="37"/>
      <c r="J63" s="38"/>
      <c r="K63" s="38"/>
      <c r="L63" s="38"/>
      <c r="M63" s="38"/>
      <c r="N63" s="38"/>
      <c r="O63" s="39"/>
      <c r="P63" s="96"/>
      <c r="Q63" s="96"/>
      <c r="R63" s="96"/>
      <c r="S63" s="96"/>
      <c r="T63" s="97"/>
      <c r="U63" s="96"/>
      <c r="V63" s="96"/>
      <c r="W63" s="96"/>
      <c r="X63" s="98"/>
      <c r="Y63" s="96"/>
      <c r="Z63" s="99"/>
    </row>
    <row r="64" spans="2:26" ht="21.95" customHeight="1" x14ac:dyDescent="0.2">
      <c r="B64" s="100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1021"/>
      <c r="S64" s="1021"/>
      <c r="T64" s="74"/>
      <c r="U64" s="74"/>
      <c r="V64" s="74"/>
      <c r="W64" s="74"/>
      <c r="X64" s="74"/>
      <c r="Y64" s="74"/>
      <c r="Z64" s="101"/>
    </row>
    <row r="65" spans="2:27" ht="21.95" customHeight="1" x14ac:dyDescent="0.2">
      <c r="B65" s="509"/>
      <c r="C65" s="500"/>
      <c r="D65" s="500"/>
      <c r="E65" s="500"/>
      <c r="F65" s="500"/>
      <c r="G65" s="500"/>
      <c r="H65" s="500"/>
      <c r="I65" s="500"/>
      <c r="J65" s="500"/>
      <c r="K65" s="500"/>
      <c r="L65" s="500"/>
      <c r="M65" s="653" t="s">
        <v>57</v>
      </c>
      <c r="N65" s="500"/>
      <c r="O65" s="500"/>
      <c r="P65" s="500"/>
      <c r="Q65" s="500"/>
      <c r="R65" s="500"/>
      <c r="S65" s="500"/>
      <c r="T65" s="500"/>
      <c r="U65" s="500"/>
      <c r="V65" s="500"/>
      <c r="W65" s="500"/>
      <c r="X65" s="500"/>
      <c r="Y65" s="500"/>
      <c r="Z65" s="502"/>
    </row>
    <row r="66" spans="2:27" ht="21.95" customHeight="1" x14ac:dyDescent="0.2">
      <c r="B66" s="509"/>
      <c r="C66" s="500"/>
      <c r="D66" s="500"/>
      <c r="E66" s="500"/>
      <c r="F66" s="500"/>
      <c r="G66" s="500"/>
      <c r="H66" s="500"/>
      <c r="I66" s="500"/>
      <c r="J66" s="500"/>
      <c r="K66" s="500"/>
      <c r="L66" s="500"/>
      <c r="M66" s="653" t="s">
        <v>58</v>
      </c>
      <c r="N66" s="500"/>
      <c r="O66" s="500"/>
      <c r="P66" s="500"/>
      <c r="Q66" s="500"/>
      <c r="R66" s="500"/>
      <c r="S66" s="500"/>
      <c r="T66" s="500"/>
      <c r="U66" s="500"/>
      <c r="V66" s="500"/>
      <c r="W66" s="500"/>
      <c r="X66" s="500"/>
      <c r="Y66" s="500"/>
      <c r="Z66" s="502"/>
    </row>
    <row r="67" spans="2:27" ht="21.95" customHeight="1" x14ac:dyDescent="0.2">
      <c r="B67" s="509"/>
      <c r="C67" s="500"/>
      <c r="D67" s="500"/>
      <c r="E67" s="500"/>
      <c r="F67" s="500"/>
      <c r="G67" s="500"/>
      <c r="H67" s="500"/>
      <c r="I67" s="500"/>
      <c r="J67" s="500"/>
      <c r="K67" s="500"/>
      <c r="L67" s="500"/>
      <c r="M67" s="654" t="s">
        <v>67</v>
      </c>
      <c r="N67" s="500"/>
      <c r="O67" s="500"/>
      <c r="P67" s="500"/>
      <c r="Q67" s="500"/>
      <c r="R67" s="500"/>
      <c r="S67" s="500"/>
      <c r="T67" s="500"/>
      <c r="U67" s="500"/>
      <c r="V67" s="500"/>
      <c r="W67" s="500"/>
      <c r="X67" s="500"/>
      <c r="Y67" s="500"/>
      <c r="Z67" s="502"/>
      <c r="AA67" s="93"/>
    </row>
    <row r="68" spans="2:27" ht="21.95" customHeight="1" thickBot="1" x14ac:dyDescent="0.25">
      <c r="B68" s="509"/>
      <c r="C68" s="500"/>
      <c r="D68" s="500"/>
      <c r="E68" s="500"/>
      <c r="F68" s="500"/>
      <c r="G68" s="500"/>
      <c r="H68" s="500"/>
      <c r="I68" s="500"/>
      <c r="J68" s="500"/>
      <c r="K68" s="500"/>
      <c r="L68" s="500"/>
      <c r="M68" s="654" t="s">
        <v>59</v>
      </c>
      <c r="N68" s="500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502"/>
    </row>
    <row r="69" spans="2:27" s="651" customFormat="1" ht="21.95" customHeight="1" x14ac:dyDescent="0.3">
      <c r="B69" s="655" t="s">
        <v>66</v>
      </c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1023"/>
      <c r="Y69" s="1023"/>
      <c r="Z69" s="1024"/>
    </row>
    <row r="70" spans="2:27" s="651" customFormat="1" ht="21.95" customHeight="1" x14ac:dyDescent="0.3">
      <c r="B70" s="657" t="s">
        <v>68</v>
      </c>
      <c r="C70" s="658"/>
      <c r="D70" s="658"/>
      <c r="E70" s="658"/>
      <c r="F70" s="658"/>
      <c r="G70" s="658"/>
      <c r="H70" s="659"/>
      <c r="I70" s="659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934"/>
      <c r="X70" s="934"/>
      <c r="Y70" s="1034"/>
      <c r="Z70" s="1035"/>
    </row>
    <row r="71" spans="2:27" s="651" customFormat="1" ht="21.95" customHeight="1" x14ac:dyDescent="0.3">
      <c r="B71" s="657" t="s">
        <v>69</v>
      </c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60"/>
    </row>
    <row r="72" spans="2:27" s="651" customFormat="1" ht="21.95" customHeight="1" x14ac:dyDescent="0.3">
      <c r="B72" s="661" t="s">
        <v>72</v>
      </c>
      <c r="C72" s="658"/>
      <c r="D72" s="658"/>
      <c r="E72" s="658"/>
      <c r="F72" s="658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58"/>
      <c r="X72" s="663"/>
      <c r="Y72" s="663"/>
      <c r="Z72" s="660"/>
    </row>
    <row r="73" spans="2:27" s="651" customFormat="1" ht="21.95" customHeight="1" x14ac:dyDescent="0.3">
      <c r="B73" s="657"/>
      <c r="C73" s="664"/>
      <c r="D73" s="664"/>
      <c r="E73" s="664"/>
      <c r="F73" s="664"/>
      <c r="G73" s="664"/>
      <c r="H73" s="664"/>
      <c r="I73" s="664"/>
      <c r="J73" s="664"/>
      <c r="K73" s="664"/>
      <c r="L73" s="664"/>
      <c r="M73" s="664"/>
      <c r="N73" s="664"/>
      <c r="O73" s="664"/>
      <c r="P73" s="664"/>
      <c r="Q73" s="664"/>
      <c r="R73" s="664"/>
      <c r="S73" s="664"/>
      <c r="T73" s="664"/>
      <c r="U73" s="664"/>
      <c r="V73" s="664"/>
      <c r="W73" s="663"/>
      <c r="X73" s="658"/>
      <c r="Y73" s="658"/>
      <c r="Z73" s="665"/>
    </row>
    <row r="74" spans="2:27" s="651" customFormat="1" ht="21.95" customHeight="1" x14ac:dyDescent="0.3">
      <c r="B74" s="657" t="s">
        <v>73</v>
      </c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63"/>
      <c r="X74" s="658"/>
      <c r="Y74" s="658"/>
      <c r="Z74" s="665"/>
    </row>
    <row r="75" spans="2:27" s="650" customFormat="1" ht="21.95" customHeight="1" x14ac:dyDescent="0.25">
      <c r="B75" s="1013" t="s">
        <v>70</v>
      </c>
      <c r="C75" s="1014"/>
      <c r="D75" s="1014"/>
      <c r="E75" s="1014"/>
      <c r="F75" s="1014"/>
      <c r="G75" s="1014"/>
      <c r="H75" s="1014"/>
      <c r="I75" s="1014"/>
      <c r="J75" s="1014"/>
      <c r="K75" s="1014"/>
      <c r="L75" s="1014"/>
      <c r="M75" s="1014"/>
      <c r="N75" s="1014"/>
      <c r="O75" s="1014"/>
      <c r="P75" s="1014"/>
      <c r="Q75" s="1014"/>
      <c r="R75" s="1014"/>
      <c r="S75" s="1014"/>
      <c r="T75" s="1014"/>
      <c r="U75" s="1014"/>
      <c r="V75" s="1014"/>
      <c r="W75" s="1014"/>
      <c r="X75" s="1014"/>
      <c r="Y75" s="1014"/>
      <c r="Z75" s="1015"/>
    </row>
    <row r="76" spans="2:27" s="650" customFormat="1" ht="21.95" customHeight="1" x14ac:dyDescent="0.25">
      <c r="B76" s="672"/>
      <c r="C76" s="673"/>
      <c r="D76" s="673"/>
      <c r="E76" s="673"/>
      <c r="F76" s="673"/>
      <c r="G76" s="673"/>
      <c r="H76" s="673"/>
      <c r="I76" s="673"/>
      <c r="J76" s="673"/>
      <c r="K76" s="673"/>
      <c r="L76" s="673"/>
      <c r="M76" s="673"/>
      <c r="N76" s="673"/>
      <c r="O76" s="673"/>
      <c r="P76" s="673"/>
      <c r="Q76" s="673"/>
      <c r="R76" s="673"/>
      <c r="S76" s="673"/>
      <c r="T76" s="673"/>
      <c r="U76" s="673"/>
      <c r="V76" s="673"/>
      <c r="W76" s="673"/>
      <c r="X76" s="673"/>
      <c r="Y76" s="673"/>
      <c r="Z76" s="674"/>
    </row>
    <row r="77" spans="2:27" s="650" customFormat="1" ht="21.95" customHeight="1" x14ac:dyDescent="0.25">
      <c r="B77" s="1013" t="s">
        <v>1</v>
      </c>
      <c r="C77" s="1014"/>
      <c r="D77" s="1014"/>
      <c r="E77" s="1014"/>
      <c r="F77" s="1014"/>
      <c r="G77" s="1014"/>
      <c r="H77" s="1015"/>
      <c r="I77" s="1013" t="s">
        <v>3</v>
      </c>
      <c r="J77" s="1014"/>
      <c r="K77" s="1014"/>
      <c r="L77" s="1014"/>
      <c r="M77" s="1014"/>
      <c r="N77" s="1014"/>
      <c r="O77" s="1015"/>
      <c r="P77" s="715"/>
      <c r="Q77" s="55"/>
      <c r="R77" s="716"/>
      <c r="S77" s="717"/>
      <c r="T77" s="717"/>
      <c r="U77" s="717"/>
      <c r="V77" s="717"/>
      <c r="W77" s="515"/>
      <c r="X77" s="515"/>
      <c r="Y77" s="515"/>
      <c r="Z77" s="718"/>
    </row>
    <row r="78" spans="2:27" ht="21.95" customHeight="1" x14ac:dyDescent="0.2">
      <c r="B78" s="687" t="s">
        <v>4</v>
      </c>
      <c r="C78" s="353" t="s">
        <v>434</v>
      </c>
      <c r="D78" s="353" t="s">
        <v>5</v>
      </c>
      <c r="E78" s="353" t="s">
        <v>6</v>
      </c>
      <c r="F78" s="353" t="s">
        <v>75</v>
      </c>
      <c r="G78" s="353" t="s">
        <v>302</v>
      </c>
      <c r="H78" s="367" t="s">
        <v>303</v>
      </c>
      <c r="I78" s="372" t="s">
        <v>4</v>
      </c>
      <c r="J78" s="353" t="s">
        <v>434</v>
      </c>
      <c r="K78" s="353" t="s">
        <v>5</v>
      </c>
      <c r="L78" s="353" t="s">
        <v>6</v>
      </c>
      <c r="M78" s="353" t="s">
        <v>75</v>
      </c>
      <c r="N78" s="353" t="s">
        <v>302</v>
      </c>
      <c r="O78" s="367" t="s">
        <v>303</v>
      </c>
      <c r="P78" s="719"/>
      <c r="Q78" s="4"/>
      <c r="R78" s="4" t="s">
        <v>101</v>
      </c>
      <c r="S78" s="112"/>
      <c r="T78" s="123">
        <v>0</v>
      </c>
      <c r="U78" s="44"/>
      <c r="V78" s="4"/>
      <c r="W78" s="4"/>
      <c r="X78" s="112"/>
      <c r="Y78" s="123"/>
      <c r="Z78" s="720"/>
    </row>
    <row r="79" spans="2:27" ht="21.95" customHeight="1" x14ac:dyDescent="0.2">
      <c r="B79" s="49">
        <v>4.75</v>
      </c>
      <c r="C79" s="20">
        <f>D79+0.035</f>
        <v>96.108599999999996</v>
      </c>
      <c r="D79" s="20">
        <v>96.073599999999999</v>
      </c>
      <c r="E79" s="20">
        <v>95.934400000000011</v>
      </c>
      <c r="F79" s="20">
        <v>95.714000000000013</v>
      </c>
      <c r="G79" s="20">
        <v>95.520600000000016</v>
      </c>
      <c r="H79" s="27">
        <v>95.383700000000005</v>
      </c>
      <c r="I79" s="49">
        <v>4.5</v>
      </c>
      <c r="J79" s="20">
        <v>98.214600000000004</v>
      </c>
      <c r="K79" s="20">
        <v>98.139900000000011</v>
      </c>
      <c r="L79" s="20">
        <v>98.135800000000003</v>
      </c>
      <c r="M79" s="20">
        <v>98.062200000000004</v>
      </c>
      <c r="N79" s="20">
        <v>97.481999999999999</v>
      </c>
      <c r="O79" s="27">
        <v>96.81450000000001</v>
      </c>
      <c r="P79" s="721"/>
      <c r="Q79" s="4"/>
      <c r="R79" s="4"/>
      <c r="S79" s="112"/>
      <c r="T79" s="112"/>
      <c r="U79" s="44"/>
      <c r="V79" s="4"/>
      <c r="W79" s="4"/>
      <c r="X79" s="112"/>
      <c r="Y79" s="112"/>
      <c r="Z79" s="720"/>
      <c r="AA79" s="510"/>
    </row>
    <row r="80" spans="2:27" ht="21.95" customHeight="1" x14ac:dyDescent="0.2">
      <c r="B80" s="49">
        <v>4.875</v>
      </c>
      <c r="C80" s="20">
        <f t="shared" ref="C80:C98" si="12">D80+0.035</f>
        <v>96.834199999999996</v>
      </c>
      <c r="D80" s="20">
        <v>96.799199999999999</v>
      </c>
      <c r="E80" s="20">
        <v>96.660000000000011</v>
      </c>
      <c r="F80" s="20">
        <v>96.439600000000013</v>
      </c>
      <c r="G80" s="20">
        <v>96.226200000000006</v>
      </c>
      <c r="H80" s="27">
        <v>96.089200000000005</v>
      </c>
      <c r="I80" s="49">
        <f>I79+0.125</f>
        <v>4.625</v>
      </c>
      <c r="J80" s="20">
        <v>98.778400000000005</v>
      </c>
      <c r="K80" s="20">
        <v>98.703600000000009</v>
      </c>
      <c r="L80" s="20">
        <v>98.699600000000004</v>
      </c>
      <c r="M80" s="20">
        <v>98.626000000000005</v>
      </c>
      <c r="N80" s="20">
        <v>98.0458</v>
      </c>
      <c r="O80" s="27">
        <v>97.37830000000001</v>
      </c>
      <c r="P80" s="721"/>
      <c r="Q80" s="109"/>
      <c r="R80" s="109" t="s">
        <v>83</v>
      </c>
      <c r="S80" s="110"/>
      <c r="T80" s="110"/>
      <c r="U80" s="110"/>
      <c r="V80" s="110"/>
      <c r="W80" s="110"/>
      <c r="X80" s="110"/>
      <c r="Y80" s="110"/>
      <c r="Z80" s="722"/>
      <c r="AA80" s="510"/>
    </row>
    <row r="81" spans="2:27" ht="21.95" customHeight="1" x14ac:dyDescent="0.2">
      <c r="B81" s="49">
        <v>5</v>
      </c>
      <c r="C81" s="20">
        <f t="shared" si="12"/>
        <v>97.573899999999995</v>
      </c>
      <c r="D81" s="20">
        <v>97.538899999999998</v>
      </c>
      <c r="E81" s="20">
        <v>97.39970000000001</v>
      </c>
      <c r="F81" s="20">
        <v>97.179300000000012</v>
      </c>
      <c r="G81" s="20">
        <v>96.986000000000004</v>
      </c>
      <c r="H81" s="27">
        <v>96.859000000000009</v>
      </c>
      <c r="I81" s="49">
        <f t="shared" ref="I81:I95" si="13">I80+0.125</f>
        <v>4.75</v>
      </c>
      <c r="J81" s="20">
        <v>98.803400000000011</v>
      </c>
      <c r="K81" s="20">
        <v>98.71690000000001</v>
      </c>
      <c r="L81" s="20">
        <v>98.701800000000006</v>
      </c>
      <c r="M81" s="20">
        <v>98.637500000000003</v>
      </c>
      <c r="N81" s="20">
        <v>98.044000000000011</v>
      </c>
      <c r="O81" s="27">
        <v>97.35560000000001</v>
      </c>
      <c r="P81" s="721"/>
      <c r="Q81" s="515"/>
      <c r="R81" s="515"/>
      <c r="S81" s="44"/>
      <c r="T81" s="44"/>
      <c r="U81" s="44"/>
      <c r="V81" s="116"/>
      <c r="W81" s="116"/>
      <c r="X81" s="116"/>
      <c r="Y81" s="116"/>
      <c r="Z81" s="723"/>
      <c r="AA81" s="510"/>
    </row>
    <row r="82" spans="2:27" ht="21.95" customHeight="1" x14ac:dyDescent="0.2">
      <c r="B82" s="49">
        <v>5.125</v>
      </c>
      <c r="C82" s="20">
        <f t="shared" si="12"/>
        <v>98.235700000000008</v>
      </c>
      <c r="D82" s="20">
        <v>98.200700000000012</v>
      </c>
      <c r="E82" s="20">
        <v>98.061500000000009</v>
      </c>
      <c r="F82" s="20">
        <v>97.841100000000012</v>
      </c>
      <c r="G82" s="20">
        <v>97.627700000000004</v>
      </c>
      <c r="H82" s="27">
        <v>97.490700000000004</v>
      </c>
      <c r="I82" s="49">
        <f t="shared" si="13"/>
        <v>4.875</v>
      </c>
      <c r="J82" s="20">
        <v>99.3613</v>
      </c>
      <c r="K82" s="20">
        <v>99.274799999999999</v>
      </c>
      <c r="L82" s="20">
        <v>99.259700000000009</v>
      </c>
      <c r="M82" s="20">
        <v>99.195400000000006</v>
      </c>
      <c r="N82" s="20">
        <v>98.601900000000001</v>
      </c>
      <c r="O82" s="27">
        <v>97.913500000000013</v>
      </c>
      <c r="P82" s="721"/>
      <c r="Q82" s="4"/>
      <c r="R82" s="4" t="s">
        <v>60</v>
      </c>
      <c r="S82" s="681">
        <v>0.05</v>
      </c>
      <c r="T82" s="44"/>
      <c r="U82" s="44" t="s">
        <v>438</v>
      </c>
      <c r="V82" s="114">
        <v>0.05</v>
      </c>
      <c r="W82" s="114" t="s">
        <v>486</v>
      </c>
      <c r="X82" s="114">
        <v>-0.05</v>
      </c>
      <c r="Y82" s="114"/>
      <c r="Z82" s="724"/>
      <c r="AA82" s="510"/>
    </row>
    <row r="83" spans="2:27" ht="21.95" customHeight="1" x14ac:dyDescent="0.2">
      <c r="B83" s="49">
        <v>5.25</v>
      </c>
      <c r="C83" s="20">
        <f t="shared" si="12"/>
        <v>98.601900000000001</v>
      </c>
      <c r="D83" s="20">
        <v>98.566900000000004</v>
      </c>
      <c r="E83" s="20">
        <v>98.416700000000006</v>
      </c>
      <c r="F83" s="20">
        <v>98.181000000000012</v>
      </c>
      <c r="G83" s="20">
        <v>97.944700000000012</v>
      </c>
      <c r="H83" s="27">
        <v>97.79310000000001</v>
      </c>
      <c r="I83" s="49">
        <f t="shared" si="13"/>
        <v>5</v>
      </c>
      <c r="J83" s="20">
        <v>99.906600000000012</v>
      </c>
      <c r="K83" s="20">
        <v>99.820100000000011</v>
      </c>
      <c r="L83" s="20">
        <v>99.805000000000007</v>
      </c>
      <c r="M83" s="20">
        <v>99.740700000000004</v>
      </c>
      <c r="N83" s="20">
        <v>99.147200000000012</v>
      </c>
      <c r="O83" s="27">
        <v>98.458800000000011</v>
      </c>
      <c r="P83" s="721"/>
      <c r="Q83" s="4"/>
      <c r="R83" s="4" t="s">
        <v>87</v>
      </c>
      <c r="S83" s="681">
        <v>0</v>
      </c>
      <c r="T83" s="44"/>
      <c r="U83" s="44" t="s">
        <v>304</v>
      </c>
      <c r="V83" s="114">
        <v>0.1</v>
      </c>
      <c r="W83" s="114" t="s">
        <v>487</v>
      </c>
      <c r="X83" s="114">
        <v>0</v>
      </c>
      <c r="Y83" s="114"/>
      <c r="Z83" s="725"/>
      <c r="AA83" s="510"/>
    </row>
    <row r="84" spans="2:27" ht="21.95" customHeight="1" x14ac:dyDescent="0.2">
      <c r="B84" s="49">
        <v>5.375</v>
      </c>
      <c r="C84" s="20">
        <f t="shared" si="12"/>
        <v>99.317900000000009</v>
      </c>
      <c r="D84" s="20">
        <v>99.282900000000012</v>
      </c>
      <c r="E84" s="20">
        <v>99.132600000000011</v>
      </c>
      <c r="F84" s="20">
        <v>98.896900000000002</v>
      </c>
      <c r="G84" s="20">
        <v>98.660700000000006</v>
      </c>
      <c r="H84" s="27">
        <v>98.509000000000015</v>
      </c>
      <c r="I84" s="49">
        <f t="shared" si="13"/>
        <v>5.125</v>
      </c>
      <c r="J84" s="20">
        <v>100.43660000000001</v>
      </c>
      <c r="K84" s="20">
        <v>100.35010000000001</v>
      </c>
      <c r="L84" s="20">
        <v>100.33500000000001</v>
      </c>
      <c r="M84" s="20">
        <v>100.27070000000001</v>
      </c>
      <c r="N84" s="20">
        <v>99.677199999999999</v>
      </c>
      <c r="O84" s="27">
        <v>98.988800000000012</v>
      </c>
      <c r="P84" s="721"/>
      <c r="Q84" s="4"/>
      <c r="R84" s="4" t="s">
        <v>61</v>
      </c>
      <c r="S84" s="681">
        <v>0</v>
      </c>
      <c r="T84" s="44"/>
      <c r="U84" s="44" t="s">
        <v>360</v>
      </c>
      <c r="V84" s="114">
        <v>-0.1</v>
      </c>
      <c r="W84" s="114" t="s">
        <v>508</v>
      </c>
      <c r="X84" s="114">
        <v>0</v>
      </c>
      <c r="Y84" s="114"/>
      <c r="Z84" s="725"/>
      <c r="AA84" s="510"/>
    </row>
    <row r="85" spans="2:27" ht="21.95" customHeight="1" x14ac:dyDescent="0.2">
      <c r="B85" s="49">
        <v>5.5</v>
      </c>
      <c r="C85" s="20">
        <f t="shared" si="12"/>
        <v>100.01900000000001</v>
      </c>
      <c r="D85" s="20">
        <v>99.984000000000009</v>
      </c>
      <c r="E85" s="20">
        <v>99.833800000000011</v>
      </c>
      <c r="F85" s="20">
        <v>99.598100000000002</v>
      </c>
      <c r="G85" s="20">
        <v>99.361800000000017</v>
      </c>
      <c r="H85" s="27">
        <v>99.210200000000015</v>
      </c>
      <c r="I85" s="49">
        <f t="shared" si="13"/>
        <v>5.25</v>
      </c>
      <c r="J85" s="20">
        <v>100.1558</v>
      </c>
      <c r="K85" s="20">
        <v>100.0887</v>
      </c>
      <c r="L85" s="20">
        <v>100.0625</v>
      </c>
      <c r="M85" s="20">
        <v>100.03880000000001</v>
      </c>
      <c r="N85" s="20">
        <v>99.464200000000005</v>
      </c>
      <c r="O85" s="27">
        <v>98.75500000000001</v>
      </c>
      <c r="P85" s="721"/>
      <c r="Q85" s="4"/>
      <c r="R85" s="4" t="s">
        <v>62</v>
      </c>
      <c r="S85" s="681">
        <v>-0.1</v>
      </c>
      <c r="T85" s="44"/>
      <c r="U85" s="44" t="s">
        <v>361</v>
      </c>
      <c r="V85" s="114">
        <v>0.05</v>
      </c>
      <c r="W85" s="114" t="s">
        <v>509</v>
      </c>
      <c r="X85" s="114">
        <v>-0.05</v>
      </c>
      <c r="Y85" s="114"/>
      <c r="Z85" s="725"/>
      <c r="AA85" s="510"/>
    </row>
    <row r="86" spans="2:27" ht="21.95" customHeight="1" x14ac:dyDescent="0.2">
      <c r="B86" s="49">
        <v>5.625</v>
      </c>
      <c r="C86" s="20">
        <f t="shared" si="12"/>
        <v>100.7037</v>
      </c>
      <c r="D86" s="20">
        <v>100.6687</v>
      </c>
      <c r="E86" s="20">
        <v>100.51840000000001</v>
      </c>
      <c r="F86" s="20">
        <v>100.28270000000001</v>
      </c>
      <c r="G86" s="20">
        <v>100.04650000000001</v>
      </c>
      <c r="H86" s="27">
        <v>99.894900000000007</v>
      </c>
      <c r="I86" s="49">
        <f t="shared" si="13"/>
        <v>5.375</v>
      </c>
      <c r="J86" s="20">
        <v>100.67970000000001</v>
      </c>
      <c r="K86" s="20">
        <v>100.6127</v>
      </c>
      <c r="L86" s="20">
        <v>100.58640000000001</v>
      </c>
      <c r="M86" s="20">
        <v>100.56280000000001</v>
      </c>
      <c r="N86" s="20">
        <v>99.988200000000006</v>
      </c>
      <c r="O86" s="27">
        <v>99.279000000000011</v>
      </c>
      <c r="P86" s="721"/>
      <c r="Q86" s="4"/>
      <c r="R86" s="4" t="s">
        <v>63</v>
      </c>
      <c r="S86" s="681">
        <v>0.1</v>
      </c>
      <c r="T86" s="44"/>
      <c r="U86" s="44" t="s">
        <v>362</v>
      </c>
      <c r="V86" s="114">
        <v>0</v>
      </c>
      <c r="W86" s="114"/>
      <c r="X86" s="114"/>
      <c r="Y86" s="114"/>
      <c r="Z86" s="725"/>
      <c r="AA86" s="510"/>
    </row>
    <row r="87" spans="2:27" ht="21.95" customHeight="1" x14ac:dyDescent="0.2">
      <c r="B87" s="49">
        <v>5.75</v>
      </c>
      <c r="C87" s="20">
        <f t="shared" si="12"/>
        <v>100.92870000000001</v>
      </c>
      <c r="D87" s="20">
        <v>100.89370000000001</v>
      </c>
      <c r="E87" s="20">
        <v>100.73230000000001</v>
      </c>
      <c r="F87" s="20">
        <v>100.4813</v>
      </c>
      <c r="G87" s="20">
        <v>100.23330000000001</v>
      </c>
      <c r="H87" s="27">
        <v>100.08090000000001</v>
      </c>
      <c r="I87" s="49">
        <f t="shared" si="13"/>
        <v>5.5</v>
      </c>
      <c r="J87" s="20">
        <v>101.1815</v>
      </c>
      <c r="K87" s="20">
        <v>101.1144</v>
      </c>
      <c r="L87" s="20">
        <v>101.0882</v>
      </c>
      <c r="M87" s="20">
        <v>101.06450000000001</v>
      </c>
      <c r="N87" s="20">
        <v>100.48990000000001</v>
      </c>
      <c r="O87" s="27">
        <v>99.78070000000001</v>
      </c>
      <c r="P87" s="721"/>
      <c r="Q87" s="4"/>
      <c r="R87" s="4" t="s">
        <v>64</v>
      </c>
      <c r="S87" s="681">
        <v>0.05</v>
      </c>
      <c r="T87" s="44"/>
      <c r="U87" s="44" t="s">
        <v>374</v>
      </c>
      <c r="V87" s="114">
        <v>7.4999999999999997E-2</v>
      </c>
      <c r="W87" s="114"/>
      <c r="X87" s="114"/>
      <c r="Y87" s="114"/>
      <c r="Z87" s="725"/>
      <c r="AA87" s="510"/>
    </row>
    <row r="88" spans="2:27" ht="21.95" customHeight="1" x14ac:dyDescent="0.2">
      <c r="B88" s="49">
        <v>5.875</v>
      </c>
      <c r="C88" s="20">
        <f t="shared" si="12"/>
        <v>101.38470000000001</v>
      </c>
      <c r="D88" s="20">
        <v>101.34970000000001</v>
      </c>
      <c r="E88" s="20">
        <v>101.18830000000001</v>
      </c>
      <c r="F88" s="20">
        <v>100.93730000000001</v>
      </c>
      <c r="G88" s="20">
        <v>100.68930000000002</v>
      </c>
      <c r="H88" s="27">
        <v>100.53700000000001</v>
      </c>
      <c r="I88" s="49">
        <f t="shared" si="13"/>
        <v>5.625</v>
      </c>
      <c r="J88" s="20">
        <v>101.65600000000001</v>
      </c>
      <c r="K88" s="20">
        <v>101.58890000000001</v>
      </c>
      <c r="L88" s="20">
        <v>101.56270000000001</v>
      </c>
      <c r="M88" s="20">
        <v>101.539</v>
      </c>
      <c r="N88" s="20">
        <v>100.96440000000001</v>
      </c>
      <c r="O88" s="27">
        <v>100.25520000000002</v>
      </c>
      <c r="P88" s="721"/>
      <c r="Q88" s="4"/>
      <c r="R88" s="4" t="s">
        <v>103</v>
      </c>
      <c r="S88" s="681">
        <v>2.5000000000000001E-2</v>
      </c>
      <c r="T88" s="44"/>
      <c r="U88" s="44" t="s">
        <v>378</v>
      </c>
      <c r="V88" s="114">
        <v>0.1</v>
      </c>
      <c r="W88" s="480" t="s">
        <v>510</v>
      </c>
      <c r="X88" s="17"/>
      <c r="Y88" s="13"/>
      <c r="Z88" s="725"/>
      <c r="AA88" s="510"/>
    </row>
    <row r="89" spans="2:27" ht="21.95" customHeight="1" x14ac:dyDescent="0.2">
      <c r="B89" s="49">
        <v>5.99</v>
      </c>
      <c r="C89" s="20">
        <f t="shared" si="12"/>
        <v>101.8155</v>
      </c>
      <c r="D89" s="20">
        <v>101.7805</v>
      </c>
      <c r="E89" s="20">
        <v>101.61910000000002</v>
      </c>
      <c r="F89" s="20">
        <v>101.3682</v>
      </c>
      <c r="G89" s="20">
        <v>101.12010000000001</v>
      </c>
      <c r="H89" s="27">
        <v>100.96780000000001</v>
      </c>
      <c r="I89" s="49">
        <f t="shared" si="13"/>
        <v>5.75</v>
      </c>
      <c r="J89" s="20">
        <v>100.9033</v>
      </c>
      <c r="K89" s="20">
        <v>100.87130000000001</v>
      </c>
      <c r="L89" s="20">
        <v>100.8339</v>
      </c>
      <c r="M89" s="20">
        <v>100.85090000000001</v>
      </c>
      <c r="N89" s="20">
        <v>100.29520000000001</v>
      </c>
      <c r="O89" s="27">
        <v>99.565200000000004</v>
      </c>
      <c r="P89" s="721"/>
      <c r="Q89" s="4"/>
      <c r="R89" s="4" t="s">
        <v>104</v>
      </c>
      <c r="S89" s="681">
        <v>0.1</v>
      </c>
      <c r="T89" s="44"/>
      <c r="U89" s="44" t="s">
        <v>379</v>
      </c>
      <c r="V89" s="114">
        <v>-2.5000000000000001E-2</v>
      </c>
      <c r="W89" s="484" t="s">
        <v>511</v>
      </c>
      <c r="X89" s="43"/>
      <c r="Y89" s="485">
        <v>0.15</v>
      </c>
      <c r="Z89" s="725"/>
      <c r="AA89" s="510"/>
    </row>
    <row r="90" spans="2:27" ht="21.95" customHeight="1" x14ac:dyDescent="0.2">
      <c r="B90" s="49">
        <v>6.125</v>
      </c>
      <c r="C90" s="20">
        <f t="shared" si="12"/>
        <v>102.52509999999999</v>
      </c>
      <c r="D90" s="20">
        <v>102.4901</v>
      </c>
      <c r="E90" s="20">
        <v>102.32870000000001</v>
      </c>
      <c r="F90" s="20">
        <v>102.07780000000001</v>
      </c>
      <c r="G90" s="20">
        <v>101.81970000000001</v>
      </c>
      <c r="H90" s="27">
        <v>101.65740000000001</v>
      </c>
      <c r="I90" s="49">
        <f t="shared" si="13"/>
        <v>5.875</v>
      </c>
      <c r="J90" s="20">
        <v>101.37230000000001</v>
      </c>
      <c r="K90" s="20">
        <v>101.3403</v>
      </c>
      <c r="L90" s="20">
        <v>101.30290000000001</v>
      </c>
      <c r="M90" s="20">
        <v>101.3199</v>
      </c>
      <c r="N90" s="20">
        <v>100.7642</v>
      </c>
      <c r="O90" s="27">
        <v>100.03420000000001</v>
      </c>
      <c r="P90" s="721"/>
      <c r="Q90" s="4"/>
      <c r="R90" s="479" t="s">
        <v>162</v>
      </c>
      <c r="S90" s="682">
        <v>0.15</v>
      </c>
      <c r="T90" s="44"/>
      <c r="U90" s="44" t="s">
        <v>382</v>
      </c>
      <c r="V90" s="114">
        <v>-0.05</v>
      </c>
      <c r="W90" s="114"/>
      <c r="X90" s="114"/>
      <c r="Y90" s="114"/>
      <c r="Z90" s="725"/>
      <c r="AA90" s="510"/>
    </row>
    <row r="91" spans="2:27" ht="21.95" customHeight="1" x14ac:dyDescent="0.2">
      <c r="B91" s="49">
        <v>6.25</v>
      </c>
      <c r="C91" s="20">
        <f t="shared" si="12"/>
        <v>102.45229999999999</v>
      </c>
      <c r="D91" s="20">
        <v>102.4173</v>
      </c>
      <c r="E91" s="20">
        <v>102.2449</v>
      </c>
      <c r="F91" s="20">
        <v>101.9786</v>
      </c>
      <c r="G91" s="20">
        <v>101.8219</v>
      </c>
      <c r="H91" s="27">
        <v>101.75540000000001</v>
      </c>
      <c r="I91" s="49">
        <f t="shared" si="13"/>
        <v>6</v>
      </c>
      <c r="J91" s="20">
        <v>101.81870000000001</v>
      </c>
      <c r="K91" s="20">
        <v>101.78670000000001</v>
      </c>
      <c r="L91" s="20">
        <v>101.74930000000001</v>
      </c>
      <c r="M91" s="20">
        <v>101.7663</v>
      </c>
      <c r="N91" s="20">
        <v>101.2107</v>
      </c>
      <c r="O91" s="27">
        <v>100.48060000000001</v>
      </c>
      <c r="P91" s="721"/>
      <c r="Q91" s="44"/>
      <c r="R91" s="4" t="s">
        <v>383</v>
      </c>
      <c r="S91" s="681">
        <v>0</v>
      </c>
      <c r="T91" s="44"/>
      <c r="U91" s="44" t="s">
        <v>385</v>
      </c>
      <c r="V91" s="114">
        <v>0.05</v>
      </c>
      <c r="W91" s="114"/>
      <c r="X91" s="114"/>
      <c r="Y91" s="114"/>
      <c r="Z91" s="725"/>
      <c r="AA91" s="510"/>
    </row>
    <row r="92" spans="2:27" ht="21.95" customHeight="1" x14ac:dyDescent="0.2">
      <c r="B92" s="49">
        <v>6.375</v>
      </c>
      <c r="C92" s="20">
        <f t="shared" si="12"/>
        <v>102.8466</v>
      </c>
      <c r="D92" s="20">
        <v>102.8116</v>
      </c>
      <c r="E92" s="20">
        <v>102.6391</v>
      </c>
      <c r="F92" s="20">
        <v>102.3728</v>
      </c>
      <c r="G92" s="20">
        <v>102.21610000000001</v>
      </c>
      <c r="H92" s="27">
        <v>102.14960000000001</v>
      </c>
      <c r="I92" s="49">
        <f t="shared" si="13"/>
        <v>6.125</v>
      </c>
      <c r="J92" s="20">
        <v>102.24780000000001</v>
      </c>
      <c r="K92" s="20">
        <v>102.2158</v>
      </c>
      <c r="L92" s="20">
        <v>102.1785</v>
      </c>
      <c r="M92" s="20">
        <v>102.19540000000001</v>
      </c>
      <c r="N92" s="20">
        <v>101.63980000000001</v>
      </c>
      <c r="O92" s="27">
        <v>100.90970000000002</v>
      </c>
      <c r="P92" s="721"/>
      <c r="Q92" s="44"/>
      <c r="R92" s="44"/>
      <c r="S92" s="44"/>
      <c r="T92" s="44"/>
      <c r="U92" s="44"/>
      <c r="V92" s="114"/>
      <c r="W92" s="114"/>
      <c r="X92" s="114"/>
      <c r="Y92" s="114"/>
      <c r="Z92" s="725"/>
      <c r="AA92" s="510"/>
    </row>
    <row r="93" spans="2:27" ht="21.95" customHeight="1" x14ac:dyDescent="0.2">
      <c r="B93" s="49">
        <v>6.5</v>
      </c>
      <c r="C93" s="20">
        <f t="shared" si="12"/>
        <v>103.37</v>
      </c>
      <c r="D93" s="20">
        <v>103.33500000000001</v>
      </c>
      <c r="E93" s="20">
        <v>103.16260000000001</v>
      </c>
      <c r="F93" s="20">
        <v>102.89630000000001</v>
      </c>
      <c r="G93" s="20">
        <v>102.73960000000001</v>
      </c>
      <c r="H93" s="27">
        <v>102.67310000000001</v>
      </c>
      <c r="I93" s="49">
        <f t="shared" si="13"/>
        <v>6.25</v>
      </c>
      <c r="J93" s="20">
        <v>101.426</v>
      </c>
      <c r="K93" s="20">
        <v>101.30410000000001</v>
      </c>
      <c r="L93" s="20">
        <v>101.2556</v>
      </c>
      <c r="M93" s="20">
        <v>101.3601</v>
      </c>
      <c r="N93" s="20">
        <v>100.8557</v>
      </c>
      <c r="O93" s="27">
        <v>100.10480000000001</v>
      </c>
      <c r="P93" s="726"/>
      <c r="Q93" s="109"/>
      <c r="R93" s="109" t="s">
        <v>82</v>
      </c>
      <c r="S93" s="110"/>
      <c r="T93" s="110"/>
      <c r="U93" s="461"/>
      <c r="V93" s="128"/>
      <c r="W93" s="128"/>
      <c r="X93" s="128"/>
      <c r="Y93" s="128"/>
      <c r="Z93" s="727"/>
      <c r="AA93" s="510"/>
    </row>
    <row r="94" spans="2:27" ht="21.95" customHeight="1" x14ac:dyDescent="0.2">
      <c r="B94" s="49">
        <v>6.625</v>
      </c>
      <c r="C94" s="20">
        <f t="shared" si="12"/>
        <v>103.9564</v>
      </c>
      <c r="D94" s="20">
        <v>103.92140000000001</v>
      </c>
      <c r="E94" s="20">
        <v>103.74900000000001</v>
      </c>
      <c r="F94" s="20">
        <v>103.48270000000001</v>
      </c>
      <c r="G94" s="20">
        <v>103.32600000000001</v>
      </c>
      <c r="H94" s="27">
        <v>103.25950000000002</v>
      </c>
      <c r="I94" s="49">
        <f t="shared" si="13"/>
        <v>6.375</v>
      </c>
      <c r="J94" s="20">
        <v>101.85560000000001</v>
      </c>
      <c r="K94" s="20">
        <v>101.73360000000001</v>
      </c>
      <c r="L94" s="20">
        <v>101.68520000000001</v>
      </c>
      <c r="M94" s="20">
        <v>101.78970000000001</v>
      </c>
      <c r="N94" s="20">
        <v>101.28530000000001</v>
      </c>
      <c r="O94" s="20">
        <v>100.53440000000001</v>
      </c>
      <c r="P94" s="728"/>
      <c r="Q94" s="515"/>
      <c r="R94" s="515"/>
      <c r="S94" s="118"/>
      <c r="T94" s="118" t="s">
        <v>206</v>
      </c>
      <c r="U94" s="515"/>
      <c r="V94" s="729"/>
      <c r="W94" s="729"/>
      <c r="X94" s="729"/>
      <c r="Y94" s="729"/>
      <c r="Z94" s="718"/>
      <c r="AA94" s="510"/>
    </row>
    <row r="95" spans="2:27" ht="21.95" customHeight="1" x14ac:dyDescent="0.2">
      <c r="B95" s="49">
        <v>6.75</v>
      </c>
      <c r="C95" s="20">
        <f t="shared" si="12"/>
        <v>104.0638</v>
      </c>
      <c r="D95" s="20">
        <v>104.0288</v>
      </c>
      <c r="E95" s="20">
        <v>103.84520000000001</v>
      </c>
      <c r="F95" s="20">
        <v>103.56370000000001</v>
      </c>
      <c r="G95" s="20">
        <v>103.35760000000001</v>
      </c>
      <c r="H95" s="27">
        <v>103.26240000000001</v>
      </c>
      <c r="I95" s="49">
        <f t="shared" si="13"/>
        <v>6.5</v>
      </c>
      <c r="J95" s="20">
        <v>102.2637</v>
      </c>
      <c r="K95" s="20">
        <v>102.1418</v>
      </c>
      <c r="L95" s="20">
        <v>102.0934</v>
      </c>
      <c r="M95" s="20">
        <v>102.1978</v>
      </c>
      <c r="N95" s="20">
        <v>101.69340000000001</v>
      </c>
      <c r="O95" s="20">
        <v>100.94260000000001</v>
      </c>
      <c r="P95" s="721"/>
      <c r="Q95" s="213"/>
      <c r="R95" s="213" t="s">
        <v>93</v>
      </c>
      <c r="S95" s="361"/>
      <c r="T95" s="361">
        <v>-0.5</v>
      </c>
      <c r="U95" s="44"/>
      <c r="V95" s="114"/>
      <c r="W95" s="114"/>
      <c r="X95" s="114"/>
      <c r="Y95" s="114"/>
      <c r="Z95" s="725"/>
      <c r="AA95" s="510"/>
    </row>
    <row r="96" spans="2:27" ht="21.95" customHeight="1" x14ac:dyDescent="0.2">
      <c r="B96" s="49">
        <v>6.875</v>
      </c>
      <c r="C96" s="20">
        <f t="shared" si="12"/>
        <v>104.63630000000001</v>
      </c>
      <c r="D96" s="20">
        <v>104.60130000000001</v>
      </c>
      <c r="E96" s="20">
        <v>104.41770000000001</v>
      </c>
      <c r="F96" s="20">
        <v>104.1362</v>
      </c>
      <c r="G96" s="20">
        <v>103.93010000000001</v>
      </c>
      <c r="H96" s="27">
        <v>103.8349</v>
      </c>
      <c r="I96" s="49"/>
      <c r="J96" s="20"/>
      <c r="K96" s="20"/>
      <c r="L96" s="20"/>
      <c r="M96" s="20"/>
      <c r="N96" s="445"/>
      <c r="O96" s="20"/>
      <c r="P96" s="721"/>
      <c r="Q96" s="213"/>
      <c r="R96" s="213" t="s">
        <v>94</v>
      </c>
      <c r="S96" s="361"/>
      <c r="T96" s="361">
        <v>0</v>
      </c>
      <c r="U96" s="44"/>
      <c r="V96" s="114"/>
      <c r="W96" s="114"/>
      <c r="X96" s="114"/>
      <c r="Y96" s="114"/>
      <c r="Z96" s="725"/>
      <c r="AA96" s="510"/>
    </row>
    <row r="97" spans="2:26" ht="21.95" customHeight="1" x14ac:dyDescent="0.2">
      <c r="B97" s="49">
        <v>7</v>
      </c>
      <c r="C97" s="20">
        <f t="shared" si="12"/>
        <v>105.1652</v>
      </c>
      <c r="D97" s="20">
        <v>105.1302</v>
      </c>
      <c r="E97" s="20">
        <v>104.9466</v>
      </c>
      <c r="F97" s="20">
        <v>104.66510000000001</v>
      </c>
      <c r="G97" s="20">
        <v>104.45910000000001</v>
      </c>
      <c r="H97" s="27">
        <v>104.36390000000002</v>
      </c>
      <c r="I97" s="49"/>
      <c r="J97" s="20"/>
      <c r="K97" s="20"/>
      <c r="L97" s="20"/>
      <c r="M97" s="20"/>
      <c r="N97" s="20"/>
      <c r="O97" s="20"/>
      <c r="P97" s="721"/>
      <c r="Q97" s="213"/>
      <c r="R97" s="213" t="s">
        <v>79</v>
      </c>
      <c r="S97" s="361"/>
      <c r="T97" s="361">
        <v>2.5000000000000001E-2</v>
      </c>
      <c r="U97" s="44"/>
      <c r="V97" s="114"/>
      <c r="W97" s="114"/>
      <c r="X97" s="114"/>
      <c r="Y97" s="114"/>
      <c r="Z97" s="725"/>
    </row>
    <row r="98" spans="2:26" ht="21.95" customHeight="1" x14ac:dyDescent="0.2">
      <c r="B98" s="49">
        <v>7.125</v>
      </c>
      <c r="C98" s="20">
        <f t="shared" si="12"/>
        <v>105.64880000000001</v>
      </c>
      <c r="D98" s="20">
        <v>105.61380000000001</v>
      </c>
      <c r="E98" s="20">
        <v>105.43020000000001</v>
      </c>
      <c r="F98" s="20">
        <v>105.14870000000001</v>
      </c>
      <c r="G98" s="20">
        <v>104.94270000000002</v>
      </c>
      <c r="H98" s="27">
        <v>104.84750000000001</v>
      </c>
      <c r="I98" s="94"/>
      <c r="J98" s="713"/>
      <c r="K98" s="713"/>
      <c r="L98" s="713"/>
      <c r="M98" s="713"/>
      <c r="N98" s="714"/>
      <c r="O98" s="714"/>
      <c r="P98" s="721"/>
      <c r="Q98" s="213"/>
      <c r="R98" s="213" t="s">
        <v>164</v>
      </c>
      <c r="S98" s="361"/>
      <c r="T98" s="361">
        <v>0.05</v>
      </c>
      <c r="U98" s="44"/>
      <c r="V98" s="114"/>
      <c r="W98" s="114"/>
      <c r="X98" s="114"/>
      <c r="Y98" s="114"/>
      <c r="Z98" s="725"/>
    </row>
    <row r="99" spans="2:26" ht="21.95" customHeight="1" x14ac:dyDescent="0.25">
      <c r="B99" s="997" t="s">
        <v>12</v>
      </c>
      <c r="C99" s="998"/>
      <c r="D99" s="998"/>
      <c r="E99" s="998"/>
      <c r="F99" s="998"/>
      <c r="G99" s="998"/>
      <c r="H99" s="999"/>
      <c r="I99" s="828" t="s">
        <v>14</v>
      </c>
      <c r="J99" s="828"/>
      <c r="K99" s="828"/>
      <c r="L99" s="828"/>
      <c r="M99" s="828"/>
      <c r="N99" s="828"/>
      <c r="O99" s="828"/>
      <c r="P99" s="719"/>
      <c r="Q99" s="213"/>
      <c r="R99" s="213" t="s">
        <v>102</v>
      </c>
      <c r="S99" s="363"/>
      <c r="T99" s="363">
        <v>7.4999999999999997E-2</v>
      </c>
      <c r="U99" s="44"/>
      <c r="V99" s="114"/>
      <c r="W99" s="114"/>
      <c r="X99" s="114"/>
      <c r="Y99" s="114"/>
      <c r="Z99" s="725"/>
    </row>
    <row r="100" spans="2:26" ht="21.95" customHeight="1" x14ac:dyDescent="0.2">
      <c r="B100" s="687" t="s">
        <v>4</v>
      </c>
      <c r="C100" s="353" t="s">
        <v>434</v>
      </c>
      <c r="D100" s="353" t="s">
        <v>5</v>
      </c>
      <c r="E100" s="353" t="s">
        <v>6</v>
      </c>
      <c r="F100" s="353" t="s">
        <v>75</v>
      </c>
      <c r="G100" s="353" t="s">
        <v>302</v>
      </c>
      <c r="H100" s="367" t="s">
        <v>303</v>
      </c>
      <c r="I100" s="370" t="s">
        <v>4</v>
      </c>
      <c r="J100" s="353" t="s">
        <v>434</v>
      </c>
      <c r="K100" s="353" t="s">
        <v>5</v>
      </c>
      <c r="L100" s="353" t="s">
        <v>6</v>
      </c>
      <c r="M100" s="353" t="s">
        <v>75</v>
      </c>
      <c r="N100" s="353" t="s">
        <v>302</v>
      </c>
      <c r="O100" s="353" t="s">
        <v>303</v>
      </c>
      <c r="P100" s="719"/>
      <c r="Q100" s="213"/>
      <c r="R100" s="213" t="s">
        <v>527</v>
      </c>
      <c r="S100" s="363"/>
      <c r="T100" s="363">
        <v>0.1</v>
      </c>
      <c r="U100" s="44"/>
      <c r="V100" s="114"/>
      <c r="W100" s="114"/>
      <c r="X100" s="114"/>
      <c r="Y100" s="114"/>
      <c r="Z100" s="725"/>
    </row>
    <row r="101" spans="2:26" ht="21.95" customHeight="1" x14ac:dyDescent="0.2">
      <c r="B101" s="26">
        <f>B79</f>
        <v>4.75</v>
      </c>
      <c r="C101" s="20">
        <f>C79-0.125</f>
        <v>95.983599999999996</v>
      </c>
      <c r="D101" s="20">
        <f t="shared" ref="D101:H101" si="14">D79-0.125</f>
        <v>95.948599999999999</v>
      </c>
      <c r="E101" s="20">
        <f t="shared" si="14"/>
        <v>95.809400000000011</v>
      </c>
      <c r="F101" s="20">
        <f>F79-0.125</f>
        <v>95.589000000000013</v>
      </c>
      <c r="G101" s="20">
        <f t="shared" si="14"/>
        <v>95.395600000000016</v>
      </c>
      <c r="H101" s="20">
        <f t="shared" si="14"/>
        <v>95.258700000000005</v>
      </c>
      <c r="I101" s="49">
        <f>I79</f>
        <v>4.5</v>
      </c>
      <c r="J101" s="20">
        <f>J79-0.125</f>
        <v>98.089600000000004</v>
      </c>
      <c r="K101" s="20">
        <f t="shared" ref="K101:L101" si="15">K79-0.125</f>
        <v>98.014900000000011</v>
      </c>
      <c r="L101" s="20">
        <f t="shared" si="15"/>
        <v>98.010800000000003</v>
      </c>
      <c r="M101" s="20">
        <f t="shared" ref="M101:O101" si="16">M79-0.125</f>
        <v>97.937200000000004</v>
      </c>
      <c r="N101" s="20">
        <f t="shared" si="16"/>
        <v>97.356999999999999</v>
      </c>
      <c r="O101" s="20">
        <f t="shared" si="16"/>
        <v>96.68950000000001</v>
      </c>
      <c r="P101" s="719"/>
      <c r="Q101" s="213"/>
      <c r="R101" s="213" t="s">
        <v>30</v>
      </c>
      <c r="S101" s="363"/>
      <c r="T101" s="363">
        <v>0</v>
      </c>
      <c r="U101" s="44"/>
      <c r="V101" s="114"/>
      <c r="W101" s="114"/>
      <c r="X101" s="114"/>
      <c r="Y101" s="114"/>
      <c r="Z101" s="725"/>
    </row>
    <row r="102" spans="2:26" ht="21.95" customHeight="1" x14ac:dyDescent="0.2">
      <c r="B102" s="26">
        <f t="shared" ref="B102:B117" si="17">B80</f>
        <v>4.875</v>
      </c>
      <c r="C102" s="20">
        <f t="shared" ref="C102:H102" si="18">C80-0.125</f>
        <v>96.709199999999996</v>
      </c>
      <c r="D102" s="20">
        <f t="shared" si="18"/>
        <v>96.674199999999999</v>
      </c>
      <c r="E102" s="20">
        <f t="shared" si="18"/>
        <v>96.535000000000011</v>
      </c>
      <c r="F102" s="20">
        <f t="shared" si="18"/>
        <v>96.314600000000013</v>
      </c>
      <c r="G102" s="20">
        <f t="shared" si="18"/>
        <v>96.101200000000006</v>
      </c>
      <c r="H102" s="20">
        <f t="shared" si="18"/>
        <v>95.964200000000005</v>
      </c>
      <c r="I102" s="49">
        <f t="shared" ref="I102:I108" si="19">I80</f>
        <v>4.625</v>
      </c>
      <c r="J102" s="20">
        <f t="shared" ref="J102:L102" si="20">J80-0.125</f>
        <v>98.653400000000005</v>
      </c>
      <c r="K102" s="20">
        <f t="shared" si="20"/>
        <v>98.578600000000009</v>
      </c>
      <c r="L102" s="20">
        <f t="shared" si="20"/>
        <v>98.574600000000004</v>
      </c>
      <c r="M102" s="20">
        <f t="shared" ref="M102:O102" si="21">M80-0.125</f>
        <v>98.501000000000005</v>
      </c>
      <c r="N102" s="20">
        <f t="shared" si="21"/>
        <v>97.9208</v>
      </c>
      <c r="O102" s="20">
        <f t="shared" si="21"/>
        <v>97.25330000000001</v>
      </c>
      <c r="P102" s="719"/>
      <c r="Q102" s="4"/>
      <c r="R102" s="517"/>
      <c r="S102" s="119"/>
      <c r="T102" s="81"/>
      <c r="U102" s="44"/>
      <c r="V102" s="114"/>
      <c r="W102" s="114"/>
      <c r="X102" s="114"/>
      <c r="Y102" s="114"/>
      <c r="Z102" s="725"/>
    </row>
    <row r="103" spans="2:26" ht="21.95" customHeight="1" x14ac:dyDescent="0.2">
      <c r="B103" s="26">
        <f t="shared" si="17"/>
        <v>5</v>
      </c>
      <c r="C103" s="20">
        <f t="shared" ref="C103:H103" si="22">C81-0.125</f>
        <v>97.448899999999995</v>
      </c>
      <c r="D103" s="20">
        <f t="shared" si="22"/>
        <v>97.413899999999998</v>
      </c>
      <c r="E103" s="20">
        <f t="shared" si="22"/>
        <v>97.27470000000001</v>
      </c>
      <c r="F103" s="20">
        <f t="shared" si="22"/>
        <v>97.054300000000012</v>
      </c>
      <c r="G103" s="20">
        <f t="shared" si="22"/>
        <v>96.861000000000004</v>
      </c>
      <c r="H103" s="20">
        <f t="shared" si="22"/>
        <v>96.734000000000009</v>
      </c>
      <c r="I103" s="49">
        <f t="shared" si="19"/>
        <v>4.75</v>
      </c>
      <c r="J103" s="20">
        <f t="shared" ref="J103:L103" si="23">J81-0.125</f>
        <v>98.678400000000011</v>
      </c>
      <c r="K103" s="20">
        <f t="shared" si="23"/>
        <v>98.59190000000001</v>
      </c>
      <c r="L103" s="20">
        <f t="shared" si="23"/>
        <v>98.576800000000006</v>
      </c>
      <c r="M103" s="20">
        <f t="shared" ref="M103:O103" si="24">M81-0.125</f>
        <v>98.512500000000003</v>
      </c>
      <c r="N103" s="20">
        <f t="shared" si="24"/>
        <v>97.919000000000011</v>
      </c>
      <c r="O103" s="20">
        <f t="shared" si="24"/>
        <v>97.23060000000001</v>
      </c>
      <c r="P103" s="719"/>
      <c r="Q103" s="109"/>
      <c r="R103" s="109" t="s">
        <v>7</v>
      </c>
      <c r="S103" s="110"/>
      <c r="T103" s="110"/>
      <c r="U103" s="461"/>
      <c r="V103" s="128"/>
      <c r="W103" s="128"/>
      <c r="X103" s="128"/>
      <c r="Y103" s="128"/>
      <c r="Z103" s="727"/>
    </row>
    <row r="104" spans="2:26" ht="21.95" customHeight="1" x14ac:dyDescent="0.2">
      <c r="B104" s="26">
        <f t="shared" si="17"/>
        <v>5.125</v>
      </c>
      <c r="C104" s="20">
        <f t="shared" ref="C104:H104" si="25">C82-0.125</f>
        <v>98.110700000000008</v>
      </c>
      <c r="D104" s="20">
        <f t="shared" si="25"/>
        <v>98.075700000000012</v>
      </c>
      <c r="E104" s="20">
        <f t="shared" si="25"/>
        <v>97.936500000000009</v>
      </c>
      <c r="F104" s="20">
        <f t="shared" si="25"/>
        <v>97.716100000000012</v>
      </c>
      <c r="G104" s="20">
        <f t="shared" si="25"/>
        <v>97.502700000000004</v>
      </c>
      <c r="H104" s="20">
        <f t="shared" si="25"/>
        <v>97.365700000000004</v>
      </c>
      <c r="I104" s="49">
        <f t="shared" si="19"/>
        <v>4.875</v>
      </c>
      <c r="J104" s="20">
        <f t="shared" ref="J104:L104" si="26">J82-0.125</f>
        <v>99.2363</v>
      </c>
      <c r="K104" s="20">
        <f t="shared" si="26"/>
        <v>99.149799999999999</v>
      </c>
      <c r="L104" s="20">
        <f t="shared" si="26"/>
        <v>99.134700000000009</v>
      </c>
      <c r="M104" s="20">
        <f t="shared" ref="M104:O104" si="27">M82-0.125</f>
        <v>99.070400000000006</v>
      </c>
      <c r="N104" s="20">
        <f t="shared" si="27"/>
        <v>98.476900000000001</v>
      </c>
      <c r="O104" s="20">
        <f t="shared" si="27"/>
        <v>97.788500000000013</v>
      </c>
      <c r="P104" s="719"/>
      <c r="Q104" s="114"/>
      <c r="R104" s="114" t="s">
        <v>8</v>
      </c>
      <c r="S104" s="114"/>
      <c r="T104" s="81">
        <v>0</v>
      </c>
      <c r="U104" s="44"/>
      <c r="V104" s="114"/>
      <c r="W104" s="114"/>
      <c r="X104" s="114"/>
      <c r="Y104" s="114"/>
      <c r="Z104" s="725"/>
    </row>
    <row r="105" spans="2:26" ht="21.95" customHeight="1" x14ac:dyDescent="0.2">
      <c r="B105" s="26">
        <f t="shared" si="17"/>
        <v>5.25</v>
      </c>
      <c r="C105" s="20">
        <f t="shared" ref="C105:H105" si="28">C83-0.125</f>
        <v>98.476900000000001</v>
      </c>
      <c r="D105" s="20">
        <f t="shared" si="28"/>
        <v>98.441900000000004</v>
      </c>
      <c r="E105" s="20">
        <f t="shared" si="28"/>
        <v>98.291700000000006</v>
      </c>
      <c r="F105" s="20">
        <f t="shared" si="28"/>
        <v>98.056000000000012</v>
      </c>
      <c r="G105" s="20">
        <f t="shared" si="28"/>
        <v>97.819700000000012</v>
      </c>
      <c r="H105" s="20">
        <f t="shared" si="28"/>
        <v>97.66810000000001</v>
      </c>
      <c r="I105" s="49">
        <f t="shared" si="19"/>
        <v>5</v>
      </c>
      <c r="J105" s="20">
        <f t="shared" ref="J105:L105" si="29">J83-0.125</f>
        <v>99.781600000000012</v>
      </c>
      <c r="K105" s="20">
        <f t="shared" si="29"/>
        <v>99.695100000000011</v>
      </c>
      <c r="L105" s="20">
        <f t="shared" si="29"/>
        <v>99.68</v>
      </c>
      <c r="M105" s="20">
        <f t="shared" ref="M105:O105" si="30">M83-0.125</f>
        <v>99.615700000000004</v>
      </c>
      <c r="N105" s="20">
        <f t="shared" si="30"/>
        <v>99.022200000000012</v>
      </c>
      <c r="O105" s="20">
        <f t="shared" si="30"/>
        <v>98.333800000000011</v>
      </c>
      <c r="P105" s="719"/>
      <c r="Q105" s="114"/>
      <c r="R105" s="114" t="s">
        <v>9</v>
      </c>
      <c r="S105" s="114"/>
      <c r="T105" s="81">
        <v>-1</v>
      </c>
      <c r="U105" s="44"/>
      <c r="V105" s="114"/>
      <c r="W105" s="114"/>
      <c r="X105" s="114"/>
      <c r="Y105" s="114"/>
      <c r="Z105" s="725"/>
    </row>
    <row r="106" spans="2:26" ht="21.95" customHeight="1" x14ac:dyDescent="0.2">
      <c r="B106" s="26">
        <f t="shared" si="17"/>
        <v>5.375</v>
      </c>
      <c r="C106" s="20">
        <f t="shared" ref="C106:H106" si="31">C84-0.125</f>
        <v>99.192900000000009</v>
      </c>
      <c r="D106" s="20">
        <f t="shared" si="31"/>
        <v>99.157900000000012</v>
      </c>
      <c r="E106" s="20">
        <f t="shared" si="31"/>
        <v>99.007600000000011</v>
      </c>
      <c r="F106" s="20">
        <f t="shared" si="31"/>
        <v>98.771900000000002</v>
      </c>
      <c r="G106" s="20">
        <f t="shared" si="31"/>
        <v>98.535700000000006</v>
      </c>
      <c r="H106" s="20">
        <f t="shared" si="31"/>
        <v>98.384000000000015</v>
      </c>
      <c r="I106" s="49">
        <f t="shared" si="19"/>
        <v>5.125</v>
      </c>
      <c r="J106" s="20">
        <f t="shared" ref="J106:L106" si="32">J84-0.125</f>
        <v>100.31160000000001</v>
      </c>
      <c r="K106" s="20">
        <f t="shared" si="32"/>
        <v>100.22510000000001</v>
      </c>
      <c r="L106" s="20">
        <f t="shared" si="32"/>
        <v>100.21000000000001</v>
      </c>
      <c r="M106" s="20">
        <f t="shared" ref="M106:O106" si="33">M84-0.125</f>
        <v>100.14570000000001</v>
      </c>
      <c r="N106" s="20">
        <f t="shared" si="33"/>
        <v>99.552199999999999</v>
      </c>
      <c r="O106" s="20">
        <f t="shared" si="33"/>
        <v>98.863800000000012</v>
      </c>
      <c r="P106" s="719"/>
      <c r="Q106" s="114"/>
      <c r="R106" s="114" t="s">
        <v>76</v>
      </c>
      <c r="S106" s="114"/>
      <c r="T106" s="81" t="s">
        <v>77</v>
      </c>
      <c r="U106" s="44"/>
      <c r="V106" s="114"/>
      <c r="W106" s="114"/>
      <c r="X106" s="114"/>
      <c r="Y106" s="114"/>
      <c r="Z106" s="725"/>
    </row>
    <row r="107" spans="2:26" ht="21.95" customHeight="1" x14ac:dyDescent="0.2">
      <c r="B107" s="26">
        <f t="shared" si="17"/>
        <v>5.5</v>
      </c>
      <c r="C107" s="20">
        <f t="shared" ref="C107:H107" si="34">C85-0.125</f>
        <v>99.894000000000005</v>
      </c>
      <c r="D107" s="20">
        <f t="shared" si="34"/>
        <v>99.859000000000009</v>
      </c>
      <c r="E107" s="20">
        <f t="shared" si="34"/>
        <v>99.708800000000011</v>
      </c>
      <c r="F107" s="20">
        <f t="shared" si="34"/>
        <v>99.473100000000002</v>
      </c>
      <c r="G107" s="20">
        <f t="shared" si="34"/>
        <v>99.236800000000017</v>
      </c>
      <c r="H107" s="20">
        <f t="shared" si="34"/>
        <v>99.085200000000015</v>
      </c>
      <c r="I107" s="49">
        <f t="shared" si="19"/>
        <v>5.25</v>
      </c>
      <c r="J107" s="20">
        <f t="shared" ref="J107:L107" si="35">J85-0.125</f>
        <v>100.0308</v>
      </c>
      <c r="K107" s="20">
        <f t="shared" si="35"/>
        <v>99.963700000000003</v>
      </c>
      <c r="L107" s="20">
        <f t="shared" si="35"/>
        <v>99.9375</v>
      </c>
      <c r="M107" s="20">
        <f t="shared" ref="M107:O107" si="36">M85-0.125</f>
        <v>99.913800000000009</v>
      </c>
      <c r="N107" s="20">
        <f t="shared" si="36"/>
        <v>99.339200000000005</v>
      </c>
      <c r="O107" s="20">
        <f t="shared" si="36"/>
        <v>98.63000000000001</v>
      </c>
      <c r="P107" s="719"/>
      <c r="Q107" s="114"/>
      <c r="R107" s="114" t="s">
        <v>10</v>
      </c>
      <c r="S107" s="114"/>
      <c r="T107" s="81">
        <v>0</v>
      </c>
      <c r="U107" s="44"/>
      <c r="V107" s="114"/>
      <c r="W107" s="114"/>
      <c r="X107" s="114"/>
      <c r="Y107" s="114"/>
      <c r="Z107" s="725"/>
    </row>
    <row r="108" spans="2:26" ht="21.95" customHeight="1" x14ac:dyDescent="0.2">
      <c r="B108" s="26">
        <f t="shared" si="17"/>
        <v>5.625</v>
      </c>
      <c r="C108" s="20">
        <f t="shared" ref="C108:H108" si="37">C86-0.125</f>
        <v>100.5787</v>
      </c>
      <c r="D108" s="20">
        <f t="shared" si="37"/>
        <v>100.5437</v>
      </c>
      <c r="E108" s="20">
        <f t="shared" si="37"/>
        <v>100.39340000000001</v>
      </c>
      <c r="F108" s="20">
        <f t="shared" si="37"/>
        <v>100.15770000000001</v>
      </c>
      <c r="G108" s="20">
        <f t="shared" si="37"/>
        <v>99.921500000000009</v>
      </c>
      <c r="H108" s="20">
        <f t="shared" si="37"/>
        <v>99.769900000000007</v>
      </c>
      <c r="I108" s="49">
        <f t="shared" si="19"/>
        <v>5.375</v>
      </c>
      <c r="J108" s="20">
        <f t="shared" ref="J108:L108" si="38">J86-0.125</f>
        <v>100.55470000000001</v>
      </c>
      <c r="K108" s="20">
        <f t="shared" si="38"/>
        <v>100.4877</v>
      </c>
      <c r="L108" s="20">
        <f t="shared" si="38"/>
        <v>100.46140000000001</v>
      </c>
      <c r="M108" s="20">
        <f t="shared" ref="M108:O108" si="39">M86-0.125</f>
        <v>100.43780000000001</v>
      </c>
      <c r="N108" s="20">
        <f t="shared" si="39"/>
        <v>99.863200000000006</v>
      </c>
      <c r="O108" s="20">
        <f t="shared" si="39"/>
        <v>99.154000000000011</v>
      </c>
      <c r="P108" s="719"/>
      <c r="Q108" s="114"/>
      <c r="R108" s="114" t="s">
        <v>11</v>
      </c>
      <c r="S108" s="114"/>
      <c r="T108" s="81">
        <v>-3</v>
      </c>
      <c r="U108" s="44"/>
      <c r="V108" s="114"/>
      <c r="W108" s="114"/>
      <c r="X108" s="114"/>
      <c r="Y108" s="114"/>
      <c r="Z108" s="725"/>
    </row>
    <row r="109" spans="2:26" ht="21.95" customHeight="1" x14ac:dyDescent="0.2">
      <c r="B109" s="26">
        <f t="shared" si="17"/>
        <v>5.75</v>
      </c>
      <c r="C109" s="20">
        <f t="shared" ref="C109:H109" si="40">C87-0.125</f>
        <v>100.80370000000001</v>
      </c>
      <c r="D109" s="20">
        <f t="shared" si="40"/>
        <v>100.76870000000001</v>
      </c>
      <c r="E109" s="20">
        <f t="shared" si="40"/>
        <v>100.60730000000001</v>
      </c>
      <c r="F109" s="20">
        <f t="shared" si="40"/>
        <v>100.3563</v>
      </c>
      <c r="G109" s="20">
        <f t="shared" si="40"/>
        <v>100.10830000000001</v>
      </c>
      <c r="H109" s="20">
        <f t="shared" si="40"/>
        <v>99.955900000000014</v>
      </c>
      <c r="I109" s="49"/>
      <c r="J109" s="20"/>
      <c r="K109" s="20"/>
      <c r="L109" s="20"/>
      <c r="M109" s="20"/>
      <c r="N109" s="20"/>
      <c r="O109" s="20"/>
      <c r="P109" s="719"/>
      <c r="Q109" s="114"/>
      <c r="R109" s="114" t="s">
        <v>436</v>
      </c>
      <c r="S109" s="114"/>
      <c r="T109" s="81">
        <v>-0.125</v>
      </c>
      <c r="U109" s="114"/>
      <c r="V109" s="65"/>
      <c r="W109" s="114"/>
      <c r="X109" s="114"/>
      <c r="Y109" s="114"/>
      <c r="Z109" s="725"/>
    </row>
    <row r="110" spans="2:26" ht="21.95" customHeight="1" x14ac:dyDescent="0.2">
      <c r="B110" s="26">
        <f t="shared" si="17"/>
        <v>5.875</v>
      </c>
      <c r="C110" s="20">
        <f t="shared" ref="C110:H110" si="41">C88-0.125</f>
        <v>101.25970000000001</v>
      </c>
      <c r="D110" s="20">
        <f t="shared" si="41"/>
        <v>101.22470000000001</v>
      </c>
      <c r="E110" s="20">
        <f t="shared" si="41"/>
        <v>101.06330000000001</v>
      </c>
      <c r="F110" s="20">
        <f t="shared" si="41"/>
        <v>100.81230000000001</v>
      </c>
      <c r="G110" s="20">
        <f t="shared" si="41"/>
        <v>100.56430000000002</v>
      </c>
      <c r="H110" s="20">
        <f t="shared" si="41"/>
        <v>100.41200000000001</v>
      </c>
      <c r="I110" s="49"/>
      <c r="J110" s="20"/>
      <c r="K110" s="20"/>
      <c r="L110" s="20"/>
      <c r="M110" s="20"/>
      <c r="N110" s="20"/>
      <c r="O110" s="20"/>
      <c r="P110" s="719"/>
      <c r="Q110" s="114"/>
      <c r="R110" s="114" t="s">
        <v>476</v>
      </c>
      <c r="S110" s="114"/>
      <c r="T110" s="81">
        <v>-0.5</v>
      </c>
      <c r="U110" s="44"/>
      <c r="V110" s="114"/>
      <c r="W110" s="114"/>
      <c r="X110" s="114"/>
      <c r="Y110" s="114"/>
      <c r="Z110" s="725"/>
    </row>
    <row r="111" spans="2:26" ht="21.95" customHeight="1" x14ac:dyDescent="0.2">
      <c r="B111" s="26">
        <f t="shared" si="17"/>
        <v>5.99</v>
      </c>
      <c r="C111" s="20">
        <f t="shared" ref="C111:H111" si="42">C89-0.125</f>
        <v>101.6905</v>
      </c>
      <c r="D111" s="20">
        <f t="shared" si="42"/>
        <v>101.6555</v>
      </c>
      <c r="E111" s="20">
        <f t="shared" si="42"/>
        <v>101.49410000000002</v>
      </c>
      <c r="F111" s="20">
        <f t="shared" si="42"/>
        <v>101.2432</v>
      </c>
      <c r="G111" s="20">
        <f t="shared" si="42"/>
        <v>100.99510000000001</v>
      </c>
      <c r="H111" s="20">
        <f t="shared" si="42"/>
        <v>100.84280000000001</v>
      </c>
      <c r="I111" s="49"/>
      <c r="J111" s="20"/>
      <c r="K111" s="20"/>
      <c r="L111" s="20"/>
      <c r="M111" s="20"/>
      <c r="N111" s="20"/>
      <c r="O111" s="20"/>
      <c r="P111" s="719"/>
      <c r="Q111" s="114"/>
      <c r="R111" s="114"/>
      <c r="S111" s="114"/>
      <c r="T111" s="65"/>
      <c r="U111" s="44"/>
      <c r="V111" s="114"/>
      <c r="W111" s="114"/>
      <c r="X111" s="114"/>
      <c r="Y111" s="114"/>
      <c r="Z111" s="725"/>
    </row>
    <row r="112" spans="2:26" ht="21.95" customHeight="1" x14ac:dyDescent="0.2">
      <c r="B112" s="26">
        <f t="shared" si="17"/>
        <v>6.125</v>
      </c>
      <c r="C112" s="20">
        <f t="shared" ref="C112:H112" si="43">C90-0.125</f>
        <v>102.40009999999999</v>
      </c>
      <c r="D112" s="20">
        <f t="shared" si="43"/>
        <v>102.3651</v>
      </c>
      <c r="E112" s="20">
        <f t="shared" si="43"/>
        <v>102.20370000000001</v>
      </c>
      <c r="F112" s="20">
        <f t="shared" si="43"/>
        <v>101.95280000000001</v>
      </c>
      <c r="G112" s="20">
        <f t="shared" si="43"/>
        <v>101.69470000000001</v>
      </c>
      <c r="H112" s="20">
        <f t="shared" si="43"/>
        <v>101.53240000000001</v>
      </c>
      <c r="I112" s="49"/>
      <c r="J112" s="20"/>
      <c r="K112" s="20"/>
      <c r="L112" s="20"/>
      <c r="M112" s="20"/>
      <c r="N112" s="20"/>
      <c r="O112" s="20"/>
      <c r="P112" s="719"/>
      <c r="Q112" s="109"/>
      <c r="R112" s="109" t="s">
        <v>390</v>
      </c>
      <c r="S112" s="110"/>
      <c r="T112" s="110" t="s">
        <v>299</v>
      </c>
      <c r="U112" s="683" t="s">
        <v>391</v>
      </c>
      <c r="V112" s="128"/>
      <c r="W112" s="128"/>
      <c r="X112" s="128"/>
      <c r="Y112" s="128"/>
      <c r="Z112" s="727"/>
    </row>
    <row r="113" spans="2:26" ht="21.95" customHeight="1" x14ac:dyDescent="0.2">
      <c r="B113" s="26">
        <f t="shared" si="17"/>
        <v>6.25</v>
      </c>
      <c r="C113" s="20">
        <f t="shared" ref="C113:H113" si="44">C91-0.125</f>
        <v>102.32729999999999</v>
      </c>
      <c r="D113" s="20">
        <f t="shared" si="44"/>
        <v>102.2923</v>
      </c>
      <c r="E113" s="20">
        <f t="shared" si="44"/>
        <v>102.1199</v>
      </c>
      <c r="F113" s="20">
        <f t="shared" si="44"/>
        <v>101.8536</v>
      </c>
      <c r="G113" s="20">
        <f t="shared" si="44"/>
        <v>101.6969</v>
      </c>
      <c r="H113" s="20">
        <f t="shared" si="44"/>
        <v>101.63040000000001</v>
      </c>
      <c r="I113" s="49"/>
      <c r="J113" s="20"/>
      <c r="K113" s="20"/>
      <c r="L113" s="20"/>
      <c r="M113" s="20"/>
      <c r="N113" s="20"/>
      <c r="O113" s="20"/>
      <c r="P113" s="719"/>
      <c r="Q113" s="114"/>
      <c r="R113" s="114" t="s">
        <v>15</v>
      </c>
      <c r="S113" s="114" t="s">
        <v>45</v>
      </c>
      <c r="T113" s="377">
        <v>0.15</v>
      </c>
      <c r="U113" s="377">
        <v>7.4999999999999997E-2</v>
      </c>
      <c r="V113" s="114"/>
      <c r="W113" s="114"/>
      <c r="X113" s="114"/>
      <c r="Y113" s="114"/>
      <c r="Z113" s="725"/>
    </row>
    <row r="114" spans="2:26" ht="21.95" customHeight="1" x14ac:dyDescent="0.2">
      <c r="B114" s="26">
        <f t="shared" si="17"/>
        <v>6.375</v>
      </c>
      <c r="C114" s="20">
        <f t="shared" ref="C114:H114" si="45">C92-0.125</f>
        <v>102.7216</v>
      </c>
      <c r="D114" s="20">
        <f t="shared" si="45"/>
        <v>102.6866</v>
      </c>
      <c r="E114" s="20">
        <f t="shared" si="45"/>
        <v>102.5141</v>
      </c>
      <c r="F114" s="20">
        <f t="shared" si="45"/>
        <v>102.2478</v>
      </c>
      <c r="G114" s="20">
        <f t="shared" si="45"/>
        <v>102.09110000000001</v>
      </c>
      <c r="H114" s="20">
        <f t="shared" si="45"/>
        <v>102.02460000000001</v>
      </c>
      <c r="I114" s="49"/>
      <c r="J114" s="20"/>
      <c r="K114" s="20"/>
      <c r="L114" s="20"/>
      <c r="M114" s="20"/>
      <c r="N114" s="20"/>
      <c r="O114" s="20"/>
      <c r="P114" s="719"/>
      <c r="Q114" s="114"/>
      <c r="R114" s="114" t="s">
        <v>15</v>
      </c>
      <c r="S114" s="114" t="s">
        <v>95</v>
      </c>
      <c r="T114" s="65">
        <v>7.4999999999999997E-2</v>
      </c>
      <c r="U114" s="65">
        <v>7.4999999999999997E-2</v>
      </c>
      <c r="V114" s="114"/>
      <c r="W114" s="114"/>
      <c r="X114" s="114"/>
      <c r="Y114" s="114"/>
      <c r="Z114" s="725"/>
    </row>
    <row r="115" spans="2:26" ht="21.95" customHeight="1" x14ac:dyDescent="0.2">
      <c r="B115" s="26">
        <f t="shared" si="17"/>
        <v>6.5</v>
      </c>
      <c r="C115" s="20">
        <f t="shared" ref="C115:H115" si="46">C93-0.125</f>
        <v>103.245</v>
      </c>
      <c r="D115" s="20">
        <f t="shared" si="46"/>
        <v>103.21000000000001</v>
      </c>
      <c r="E115" s="20">
        <f t="shared" si="46"/>
        <v>103.03760000000001</v>
      </c>
      <c r="F115" s="20">
        <f t="shared" si="46"/>
        <v>102.77130000000001</v>
      </c>
      <c r="G115" s="20">
        <f t="shared" si="46"/>
        <v>102.61460000000001</v>
      </c>
      <c r="H115" s="20">
        <f t="shared" si="46"/>
        <v>102.54810000000001</v>
      </c>
      <c r="I115" s="49"/>
      <c r="J115" s="20"/>
      <c r="K115" s="20"/>
      <c r="L115" s="20"/>
      <c r="M115" s="20"/>
      <c r="N115" s="20"/>
      <c r="O115" s="20"/>
      <c r="P115" s="719"/>
      <c r="Q115" s="114"/>
      <c r="R115" s="114" t="s">
        <v>15</v>
      </c>
      <c r="S115" s="114" t="s">
        <v>96</v>
      </c>
      <c r="T115" s="65">
        <v>7.4999999999999997E-2</v>
      </c>
      <c r="U115" s="65">
        <v>7.4999999999999997E-2</v>
      </c>
      <c r="V115" s="114"/>
      <c r="W115" s="114"/>
      <c r="X115" s="114"/>
      <c r="Y115" s="114"/>
      <c r="Z115" s="725"/>
    </row>
    <row r="116" spans="2:26" ht="21.95" customHeight="1" x14ac:dyDescent="0.2">
      <c r="B116" s="26">
        <f t="shared" si="17"/>
        <v>6.625</v>
      </c>
      <c r="C116" s="20">
        <f t="shared" ref="C116:H116" si="47">C94-0.125</f>
        <v>103.8314</v>
      </c>
      <c r="D116" s="20">
        <f t="shared" si="47"/>
        <v>103.79640000000001</v>
      </c>
      <c r="E116" s="20">
        <f t="shared" si="47"/>
        <v>103.62400000000001</v>
      </c>
      <c r="F116" s="20">
        <f t="shared" si="47"/>
        <v>103.35770000000001</v>
      </c>
      <c r="G116" s="20">
        <f t="shared" si="47"/>
        <v>103.20100000000001</v>
      </c>
      <c r="H116" s="20">
        <f t="shared" si="47"/>
        <v>103.13450000000002</v>
      </c>
      <c r="I116" s="49"/>
      <c r="J116" s="20"/>
      <c r="K116" s="20"/>
      <c r="L116" s="20"/>
      <c r="M116" s="20"/>
      <c r="N116" s="20"/>
      <c r="O116" s="20"/>
      <c r="P116" s="719"/>
      <c r="Q116" s="114"/>
      <c r="R116" s="114" t="s">
        <v>15</v>
      </c>
      <c r="S116" s="114" t="s">
        <v>97</v>
      </c>
      <c r="T116" s="65">
        <v>0</v>
      </c>
      <c r="U116" s="65">
        <v>0</v>
      </c>
      <c r="V116" s="114"/>
      <c r="W116" s="114"/>
      <c r="X116" s="114"/>
      <c r="Y116" s="114"/>
      <c r="Z116" s="725"/>
    </row>
    <row r="117" spans="2:26" ht="21.95" customHeight="1" x14ac:dyDescent="0.2">
      <c r="B117" s="26">
        <f t="shared" si="17"/>
        <v>6.75</v>
      </c>
      <c r="C117" s="20">
        <f t="shared" ref="C117:H117" si="48">C95-0.125</f>
        <v>103.9388</v>
      </c>
      <c r="D117" s="20">
        <f t="shared" si="48"/>
        <v>103.9038</v>
      </c>
      <c r="E117" s="20">
        <f t="shared" si="48"/>
        <v>103.72020000000001</v>
      </c>
      <c r="F117" s="20">
        <f t="shared" si="48"/>
        <v>103.43870000000001</v>
      </c>
      <c r="G117" s="20">
        <f t="shared" si="48"/>
        <v>103.23260000000001</v>
      </c>
      <c r="H117" s="20">
        <f t="shared" si="48"/>
        <v>103.13740000000001</v>
      </c>
      <c r="I117" s="49"/>
      <c r="J117" s="20"/>
      <c r="K117" s="20"/>
      <c r="L117" s="20"/>
      <c r="M117" s="20"/>
      <c r="N117" s="20"/>
      <c r="O117" s="20"/>
      <c r="P117" s="719"/>
      <c r="Q117" s="114"/>
      <c r="R117" s="114" t="s">
        <v>15</v>
      </c>
      <c r="S117" s="114" t="s">
        <v>98</v>
      </c>
      <c r="T117" s="65">
        <v>0</v>
      </c>
      <c r="U117" s="65">
        <v>0</v>
      </c>
      <c r="V117" s="114"/>
      <c r="W117" s="114"/>
      <c r="X117" s="114"/>
      <c r="Y117" s="114"/>
      <c r="Z117" s="725"/>
    </row>
    <row r="118" spans="2:26" ht="21.95" customHeight="1" x14ac:dyDescent="0.2">
      <c r="B118" s="26"/>
      <c r="C118" s="20"/>
      <c r="D118" s="20"/>
      <c r="E118" s="20"/>
      <c r="F118" s="20"/>
      <c r="G118" s="20"/>
      <c r="H118" s="20"/>
      <c r="I118" s="49"/>
      <c r="J118" s="20"/>
      <c r="K118" s="20"/>
      <c r="L118" s="20"/>
      <c r="M118" s="20"/>
      <c r="N118" s="20"/>
      <c r="O118" s="20"/>
      <c r="P118" s="719"/>
      <c r="Q118" s="114"/>
      <c r="R118" s="114" t="s">
        <v>15</v>
      </c>
      <c r="S118" s="114" t="s">
        <v>99</v>
      </c>
      <c r="T118" s="65">
        <v>-0.15</v>
      </c>
      <c r="U118" s="65">
        <v>-0.15</v>
      </c>
      <c r="V118" s="114"/>
      <c r="W118" s="114"/>
      <c r="X118" s="114"/>
      <c r="Y118" s="114"/>
      <c r="Z118" s="725"/>
    </row>
    <row r="119" spans="2:26" ht="21.95" customHeight="1" x14ac:dyDescent="0.2">
      <c r="B119" s="731"/>
      <c r="C119" s="732"/>
      <c r="D119" s="732"/>
      <c r="E119" s="732"/>
      <c r="F119" s="732"/>
      <c r="G119" s="732"/>
      <c r="H119" s="732"/>
      <c r="I119" s="732"/>
      <c r="J119" s="732"/>
      <c r="K119" s="732"/>
      <c r="L119" s="732"/>
      <c r="M119" s="732"/>
      <c r="N119" s="732"/>
      <c r="O119" s="733"/>
      <c r="P119" s="719"/>
      <c r="Q119" s="84"/>
      <c r="R119" s="114" t="s">
        <v>15</v>
      </c>
      <c r="S119" s="114" t="s">
        <v>100</v>
      </c>
      <c r="T119" s="65">
        <v>-0.75</v>
      </c>
      <c r="U119" s="65">
        <v>-0.75</v>
      </c>
      <c r="V119" s="114"/>
      <c r="W119" s="114"/>
      <c r="X119" s="114"/>
      <c r="Y119" s="114"/>
      <c r="Z119" s="725"/>
    </row>
    <row r="120" spans="2:26" ht="21.95" customHeight="1" x14ac:dyDescent="0.25">
      <c r="B120" s="1013" t="s">
        <v>2</v>
      </c>
      <c r="C120" s="1014"/>
      <c r="D120" s="1014"/>
      <c r="E120" s="1014"/>
      <c r="F120" s="1014"/>
      <c r="G120" s="1014"/>
      <c r="H120" s="1015"/>
      <c r="I120" s="828" t="s">
        <v>13</v>
      </c>
      <c r="J120" s="828"/>
      <c r="K120" s="828"/>
      <c r="L120" s="828"/>
      <c r="M120" s="828"/>
      <c r="N120" s="828"/>
      <c r="O120" s="828"/>
      <c r="P120" s="719"/>
      <c r="Q120" s="114"/>
      <c r="R120" s="114" t="s">
        <v>15</v>
      </c>
      <c r="S120" s="114" t="s">
        <v>21</v>
      </c>
      <c r="T120" s="65">
        <v>-1.5</v>
      </c>
      <c r="U120" s="65">
        <v>-2</v>
      </c>
      <c r="V120" s="114"/>
      <c r="W120" s="114"/>
      <c r="X120" s="114"/>
      <c r="Y120" s="114"/>
      <c r="Z120" s="725"/>
    </row>
    <row r="121" spans="2:26" ht="21.95" customHeight="1" x14ac:dyDescent="0.2">
      <c r="B121" s="372" t="s">
        <v>4</v>
      </c>
      <c r="C121" s="353" t="s">
        <v>434</v>
      </c>
      <c r="D121" s="353" t="s">
        <v>5</v>
      </c>
      <c r="E121" s="353" t="s">
        <v>6</v>
      </c>
      <c r="F121" s="353" t="s">
        <v>75</v>
      </c>
      <c r="G121" s="353" t="s">
        <v>302</v>
      </c>
      <c r="H121" s="367" t="s">
        <v>303</v>
      </c>
      <c r="I121" s="370" t="s">
        <v>4</v>
      </c>
      <c r="J121" s="353" t="s">
        <v>434</v>
      </c>
      <c r="K121" s="353" t="s">
        <v>5</v>
      </c>
      <c r="L121" s="353" t="s">
        <v>6</v>
      </c>
      <c r="M121" s="353" t="s">
        <v>75</v>
      </c>
      <c r="N121" s="353" t="s">
        <v>302</v>
      </c>
      <c r="O121" s="353" t="s">
        <v>303</v>
      </c>
      <c r="P121" s="719"/>
      <c r="Q121" s="114"/>
      <c r="R121" s="114" t="s">
        <v>15</v>
      </c>
      <c r="S121" s="114" t="s">
        <v>22</v>
      </c>
      <c r="T121" s="65">
        <v>-2</v>
      </c>
      <c r="U121" s="65">
        <v>-2.25</v>
      </c>
      <c r="V121" s="114"/>
      <c r="W121" s="114"/>
      <c r="X121" s="114"/>
      <c r="Y121" s="114"/>
      <c r="Z121" s="725"/>
    </row>
    <row r="122" spans="2:26" ht="21.95" customHeight="1" x14ac:dyDescent="0.2">
      <c r="B122" s="49">
        <v>5</v>
      </c>
      <c r="C122" s="20">
        <f>D122+0.025</f>
        <v>96.609500000000011</v>
      </c>
      <c r="D122" s="20">
        <v>96.584500000000006</v>
      </c>
      <c r="E122" s="20">
        <v>96.435400000000001</v>
      </c>
      <c r="F122" s="20">
        <v>96.23</v>
      </c>
      <c r="G122" s="20">
        <v>96.013999999999996</v>
      </c>
      <c r="H122" s="27">
        <v>95.829499999999996</v>
      </c>
      <c r="I122" s="360">
        <f>B122</f>
        <v>5</v>
      </c>
      <c r="J122" s="20">
        <f>C122-0.125</f>
        <v>96.484500000000011</v>
      </c>
      <c r="K122" s="20">
        <f t="shared" ref="K122:O127" si="49">D122-0.125</f>
        <v>96.459500000000006</v>
      </c>
      <c r="L122" s="20">
        <f t="shared" si="49"/>
        <v>96.310400000000001</v>
      </c>
      <c r="M122" s="20">
        <f t="shared" si="49"/>
        <v>96.105000000000004</v>
      </c>
      <c r="N122" s="20">
        <f t="shared" si="49"/>
        <v>95.888999999999996</v>
      </c>
      <c r="O122" s="20">
        <f t="shared" si="49"/>
        <v>95.704499999999996</v>
      </c>
      <c r="P122" s="719"/>
      <c r="Q122" s="114"/>
      <c r="R122" s="114"/>
      <c r="S122" s="114"/>
      <c r="T122" s="65"/>
      <c r="U122" s="44"/>
      <c r="V122" s="114"/>
      <c r="W122" s="114"/>
      <c r="X122" s="114"/>
      <c r="Y122" s="114"/>
      <c r="Z122" s="725"/>
    </row>
    <row r="123" spans="2:26" ht="21.95" customHeight="1" x14ac:dyDescent="0.2">
      <c r="B123" s="49">
        <v>5.125</v>
      </c>
      <c r="C123" s="20">
        <f t="shared" ref="C123:C137" si="50">D123+0.025</f>
        <v>97.171300000000002</v>
      </c>
      <c r="D123" s="20">
        <v>97.146299999999997</v>
      </c>
      <c r="E123" s="20">
        <v>96.997200000000007</v>
      </c>
      <c r="F123" s="20">
        <v>96.791699999999992</v>
      </c>
      <c r="G123" s="20">
        <v>96.575800000000001</v>
      </c>
      <c r="H123" s="27">
        <v>96.391199999999998</v>
      </c>
      <c r="I123" s="360">
        <f t="shared" ref="I123:I127" si="51">B123</f>
        <v>5.125</v>
      </c>
      <c r="J123" s="20">
        <f t="shared" ref="J123:J127" si="52">C123-0.125</f>
        <v>97.046300000000002</v>
      </c>
      <c r="K123" s="20">
        <f t="shared" si="49"/>
        <v>97.021299999999997</v>
      </c>
      <c r="L123" s="20">
        <f t="shared" si="49"/>
        <v>96.872200000000007</v>
      </c>
      <c r="M123" s="20">
        <f t="shared" si="49"/>
        <v>96.666699999999992</v>
      </c>
      <c r="N123" s="20">
        <f t="shared" si="49"/>
        <v>96.450800000000001</v>
      </c>
      <c r="O123" s="20">
        <f t="shared" si="49"/>
        <v>96.266199999999998</v>
      </c>
      <c r="P123" s="719"/>
      <c r="Q123" s="114"/>
      <c r="R123" s="114"/>
      <c r="S123" s="114"/>
      <c r="T123" s="114"/>
      <c r="U123" s="44"/>
      <c r="V123" s="114"/>
      <c r="W123" s="114"/>
      <c r="X123" s="114"/>
      <c r="Y123" s="114"/>
      <c r="Z123" s="725"/>
    </row>
    <row r="124" spans="2:26" ht="21.95" customHeight="1" x14ac:dyDescent="0.2">
      <c r="B124" s="49">
        <v>5.25</v>
      </c>
      <c r="C124" s="20">
        <f t="shared" si="50"/>
        <v>98.243000000000009</v>
      </c>
      <c r="D124" s="20">
        <v>98.218000000000004</v>
      </c>
      <c r="E124" s="20">
        <v>98.057699999999997</v>
      </c>
      <c r="F124" s="20">
        <v>97.837000000000003</v>
      </c>
      <c r="G124" s="20">
        <v>97.621000000000009</v>
      </c>
      <c r="H124" s="27">
        <v>97.454599999999999</v>
      </c>
      <c r="I124" s="360">
        <f t="shared" si="51"/>
        <v>5.25</v>
      </c>
      <c r="J124" s="20">
        <f t="shared" si="52"/>
        <v>98.118000000000009</v>
      </c>
      <c r="K124" s="20">
        <f t="shared" si="49"/>
        <v>98.093000000000004</v>
      </c>
      <c r="L124" s="20">
        <f t="shared" si="49"/>
        <v>97.932699999999997</v>
      </c>
      <c r="M124" s="20">
        <f t="shared" si="49"/>
        <v>97.712000000000003</v>
      </c>
      <c r="N124" s="20">
        <f t="shared" si="49"/>
        <v>97.496000000000009</v>
      </c>
      <c r="O124" s="20">
        <f t="shared" si="49"/>
        <v>97.329599999999999</v>
      </c>
      <c r="P124" s="719"/>
      <c r="Q124" s="109"/>
      <c r="R124" s="109"/>
      <c r="S124" s="110"/>
      <c r="T124" s="110"/>
      <c r="U124" s="461"/>
      <c r="V124" s="128"/>
      <c r="W124" s="128"/>
      <c r="X124" s="128"/>
      <c r="Y124" s="128"/>
      <c r="Z124" s="727"/>
    </row>
    <row r="125" spans="2:26" ht="21.95" customHeight="1" x14ac:dyDescent="0.2">
      <c r="B125" s="49">
        <v>5.375</v>
      </c>
      <c r="C125" s="20">
        <f t="shared" si="50"/>
        <v>98.938900000000004</v>
      </c>
      <c r="D125" s="20">
        <v>98.913899999999998</v>
      </c>
      <c r="E125" s="20">
        <v>98.753699999999995</v>
      </c>
      <c r="F125" s="20">
        <v>98.533000000000001</v>
      </c>
      <c r="G125" s="20">
        <v>98.317000000000007</v>
      </c>
      <c r="H125" s="27">
        <v>98.150500000000008</v>
      </c>
      <c r="I125" s="360">
        <f t="shared" si="51"/>
        <v>5.375</v>
      </c>
      <c r="J125" s="20">
        <f t="shared" si="52"/>
        <v>98.813900000000004</v>
      </c>
      <c r="K125" s="20">
        <f t="shared" si="49"/>
        <v>98.788899999999998</v>
      </c>
      <c r="L125" s="20">
        <f t="shared" si="49"/>
        <v>98.628699999999995</v>
      </c>
      <c r="M125" s="20">
        <f t="shared" si="49"/>
        <v>98.408000000000001</v>
      </c>
      <c r="N125" s="20">
        <f t="shared" si="49"/>
        <v>98.192000000000007</v>
      </c>
      <c r="O125" s="20">
        <f t="shared" si="49"/>
        <v>98.025500000000008</v>
      </c>
      <c r="P125" s="719"/>
      <c r="Q125" s="114"/>
      <c r="R125" s="114"/>
      <c r="S125" s="114"/>
      <c r="T125" s="114"/>
      <c r="U125" s="44"/>
      <c r="V125" s="114"/>
      <c r="W125" s="114"/>
      <c r="X125" s="114"/>
      <c r="Y125" s="114"/>
      <c r="Z125" s="725"/>
    </row>
    <row r="126" spans="2:26" ht="21.95" customHeight="1" x14ac:dyDescent="0.2">
      <c r="B126" s="49">
        <v>5.5</v>
      </c>
      <c r="C126" s="20">
        <f t="shared" si="50"/>
        <v>99.68010000000001</v>
      </c>
      <c r="D126" s="20">
        <v>99.655100000000004</v>
      </c>
      <c r="E126" s="20">
        <v>99.494799999999998</v>
      </c>
      <c r="F126" s="20">
        <v>99.274100000000004</v>
      </c>
      <c r="G126" s="20">
        <v>99.058099999999996</v>
      </c>
      <c r="H126" s="27">
        <v>98.8917</v>
      </c>
      <c r="I126" s="360">
        <f t="shared" si="51"/>
        <v>5.5</v>
      </c>
      <c r="J126" s="20">
        <f t="shared" si="52"/>
        <v>99.55510000000001</v>
      </c>
      <c r="K126" s="20">
        <f t="shared" si="49"/>
        <v>99.530100000000004</v>
      </c>
      <c r="L126" s="20">
        <f t="shared" si="49"/>
        <v>99.369799999999998</v>
      </c>
      <c r="M126" s="20">
        <f t="shared" si="49"/>
        <v>99.149100000000004</v>
      </c>
      <c r="N126" s="20">
        <f t="shared" si="49"/>
        <v>98.933099999999996</v>
      </c>
      <c r="O126" s="20">
        <f t="shared" si="49"/>
        <v>98.7667</v>
      </c>
      <c r="P126" s="734"/>
      <c r="Q126" s="735"/>
      <c r="R126" s="735"/>
      <c r="S126" s="735"/>
      <c r="T126" s="735"/>
      <c r="U126" s="735"/>
      <c r="V126" s="735"/>
      <c r="W126" s="114"/>
      <c r="X126" s="114"/>
      <c r="Y126" s="114"/>
      <c r="Z126" s="725"/>
    </row>
    <row r="127" spans="2:26" ht="21.95" customHeight="1" x14ac:dyDescent="0.2">
      <c r="B127" s="49">
        <v>5.625</v>
      </c>
      <c r="C127" s="20">
        <f t="shared" si="50"/>
        <v>100.10480000000001</v>
      </c>
      <c r="D127" s="20">
        <v>100.07980000000001</v>
      </c>
      <c r="E127" s="20">
        <v>99.919499999999999</v>
      </c>
      <c r="F127" s="20">
        <v>99.698799999999991</v>
      </c>
      <c r="G127" s="20">
        <v>99.482799999999997</v>
      </c>
      <c r="H127" s="27">
        <v>99.316299999999998</v>
      </c>
      <c r="I127" s="360">
        <f t="shared" si="51"/>
        <v>5.625</v>
      </c>
      <c r="J127" s="20">
        <f t="shared" si="52"/>
        <v>99.979800000000012</v>
      </c>
      <c r="K127" s="20">
        <f t="shared" si="49"/>
        <v>99.954800000000006</v>
      </c>
      <c r="L127" s="20">
        <f t="shared" si="49"/>
        <v>99.794499999999999</v>
      </c>
      <c r="M127" s="20">
        <f t="shared" si="49"/>
        <v>99.573799999999991</v>
      </c>
      <c r="N127" s="20">
        <f t="shared" si="49"/>
        <v>99.357799999999997</v>
      </c>
      <c r="O127" s="20">
        <f t="shared" si="49"/>
        <v>99.191299999999998</v>
      </c>
      <c r="P127" s="734"/>
      <c r="Q127" s="735"/>
      <c r="R127" s="735"/>
      <c r="S127" s="735"/>
      <c r="T127" s="735"/>
      <c r="U127" s="735"/>
      <c r="V127" s="735"/>
      <c r="W127" s="114"/>
      <c r="X127" s="114"/>
      <c r="Y127" s="114"/>
      <c r="Z127" s="725"/>
    </row>
    <row r="128" spans="2:26" ht="21.95" customHeight="1" x14ac:dyDescent="0.2">
      <c r="B128" s="49">
        <v>5.75</v>
      </c>
      <c r="C128" s="20">
        <f t="shared" si="50"/>
        <v>100.08800000000001</v>
      </c>
      <c r="D128" s="20">
        <v>100.063</v>
      </c>
      <c r="E128" s="20">
        <v>99.8917</v>
      </c>
      <c r="F128" s="20">
        <v>99.655699999999996</v>
      </c>
      <c r="G128" s="20">
        <v>99.422200000000004</v>
      </c>
      <c r="H128" s="27">
        <v>99.249499999999998</v>
      </c>
      <c r="I128" s="360">
        <f t="shared" ref="I128:I131" si="53">B128</f>
        <v>5.75</v>
      </c>
      <c r="J128" s="20">
        <f t="shared" ref="J128:J131" si="54">C128-0.125</f>
        <v>99.963000000000008</v>
      </c>
      <c r="K128" s="20">
        <f t="shared" ref="K128:K131" si="55">D128-0.125</f>
        <v>99.938000000000002</v>
      </c>
      <c r="L128" s="20">
        <f t="shared" ref="L128:L131" si="56">E128-0.125</f>
        <v>99.7667</v>
      </c>
      <c r="M128" s="20">
        <f t="shared" ref="M128:M131" si="57">F128-0.125</f>
        <v>99.530699999999996</v>
      </c>
      <c r="N128" s="20">
        <f t="shared" ref="N128:N131" si="58">G128-0.125</f>
        <v>99.297200000000004</v>
      </c>
      <c r="O128" s="20">
        <f t="shared" ref="O128:O131" si="59">H128-0.125</f>
        <v>99.124499999999998</v>
      </c>
      <c r="P128" s="734"/>
      <c r="Q128" s="735"/>
      <c r="R128" s="735"/>
      <c r="S128" s="735"/>
      <c r="T128" s="735"/>
      <c r="U128" s="735"/>
      <c r="V128" s="735"/>
      <c r="W128" s="114"/>
      <c r="X128" s="114"/>
      <c r="Y128" s="114"/>
      <c r="Z128" s="725"/>
    </row>
    <row r="129" spans="2:26" ht="21.95" customHeight="1" x14ac:dyDescent="0.2">
      <c r="B129" s="49">
        <v>5.875</v>
      </c>
      <c r="C129" s="20">
        <f t="shared" si="50"/>
        <v>100.783</v>
      </c>
      <c r="D129" s="20">
        <v>100.758</v>
      </c>
      <c r="E129" s="20">
        <v>100.58669999999999</v>
      </c>
      <c r="F129" s="20">
        <v>100.3507</v>
      </c>
      <c r="G129" s="20">
        <v>100.1172</v>
      </c>
      <c r="H129" s="27">
        <v>99.944500000000005</v>
      </c>
      <c r="I129" s="360">
        <f t="shared" si="53"/>
        <v>5.875</v>
      </c>
      <c r="J129" s="20">
        <f t="shared" si="54"/>
        <v>100.658</v>
      </c>
      <c r="K129" s="20">
        <f t="shared" si="55"/>
        <v>100.633</v>
      </c>
      <c r="L129" s="20">
        <f t="shared" si="56"/>
        <v>100.46169999999999</v>
      </c>
      <c r="M129" s="20">
        <f t="shared" si="57"/>
        <v>100.2257</v>
      </c>
      <c r="N129" s="20">
        <f t="shared" si="58"/>
        <v>99.992199999999997</v>
      </c>
      <c r="O129" s="20">
        <f t="shared" si="59"/>
        <v>99.819500000000005</v>
      </c>
      <c r="P129" s="734"/>
      <c r="Q129" s="735"/>
      <c r="R129" s="735"/>
      <c r="S129" s="735"/>
      <c r="T129" s="735"/>
      <c r="U129" s="735"/>
      <c r="V129" s="735"/>
      <c r="W129" s="114"/>
      <c r="X129" s="114"/>
      <c r="Y129" s="114"/>
      <c r="Z129" s="725"/>
    </row>
    <row r="130" spans="2:26" ht="21.95" customHeight="1" x14ac:dyDescent="0.2">
      <c r="B130" s="49">
        <v>6</v>
      </c>
      <c r="C130" s="20">
        <f t="shared" si="50"/>
        <v>101.4539</v>
      </c>
      <c r="D130" s="20">
        <v>101.4289</v>
      </c>
      <c r="E130" s="20">
        <v>101.25749999999999</v>
      </c>
      <c r="F130" s="20">
        <v>101.02159999999999</v>
      </c>
      <c r="G130" s="20">
        <v>100.7881</v>
      </c>
      <c r="H130" s="27">
        <v>100.61540000000001</v>
      </c>
      <c r="I130" s="360">
        <f t="shared" si="53"/>
        <v>6</v>
      </c>
      <c r="J130" s="20">
        <f t="shared" si="54"/>
        <v>101.3289</v>
      </c>
      <c r="K130" s="20">
        <f t="shared" si="55"/>
        <v>101.3039</v>
      </c>
      <c r="L130" s="20">
        <f t="shared" si="56"/>
        <v>101.13249999999999</v>
      </c>
      <c r="M130" s="20">
        <f t="shared" si="57"/>
        <v>100.89659999999999</v>
      </c>
      <c r="N130" s="20">
        <f t="shared" si="58"/>
        <v>100.6631</v>
      </c>
      <c r="O130" s="20">
        <f t="shared" si="59"/>
        <v>100.49040000000001</v>
      </c>
      <c r="P130" s="734"/>
      <c r="Q130" s="735"/>
      <c r="R130" s="735"/>
      <c r="S130" s="735"/>
      <c r="T130" s="735"/>
      <c r="U130" s="735"/>
      <c r="V130" s="735"/>
      <c r="W130" s="114"/>
      <c r="X130" s="114"/>
      <c r="Y130" s="114"/>
      <c r="Z130" s="725"/>
    </row>
    <row r="131" spans="2:26" ht="21.95" customHeight="1" x14ac:dyDescent="0.2">
      <c r="B131" s="49">
        <v>6.125</v>
      </c>
      <c r="C131" s="20">
        <f t="shared" si="50"/>
        <v>101.83850000000001</v>
      </c>
      <c r="D131" s="20">
        <v>101.8135</v>
      </c>
      <c r="E131" s="20">
        <v>101.6421</v>
      </c>
      <c r="F131" s="20">
        <v>101.4061</v>
      </c>
      <c r="G131" s="20">
        <v>101.17270000000001</v>
      </c>
      <c r="H131" s="27">
        <v>100.9999</v>
      </c>
      <c r="I131" s="360">
        <f t="shared" si="53"/>
        <v>6.125</v>
      </c>
      <c r="J131" s="20">
        <f t="shared" si="54"/>
        <v>101.71350000000001</v>
      </c>
      <c r="K131" s="20">
        <f t="shared" si="55"/>
        <v>101.6885</v>
      </c>
      <c r="L131" s="20">
        <f t="shared" si="56"/>
        <v>101.5171</v>
      </c>
      <c r="M131" s="20">
        <f t="shared" si="57"/>
        <v>101.2811</v>
      </c>
      <c r="N131" s="20">
        <f t="shared" si="58"/>
        <v>101.04770000000001</v>
      </c>
      <c r="O131" s="20">
        <f t="shared" si="59"/>
        <v>100.8749</v>
      </c>
      <c r="P131" s="734"/>
      <c r="Q131" s="735"/>
      <c r="R131" s="735"/>
      <c r="S131" s="735"/>
      <c r="T131" s="735"/>
      <c r="U131" s="735"/>
      <c r="V131" s="735"/>
      <c r="W131" s="114"/>
      <c r="X131" s="114"/>
      <c r="Y131" s="114"/>
      <c r="Z131" s="725"/>
    </row>
    <row r="132" spans="2:26" ht="21.95" customHeight="1" x14ac:dyDescent="0.2">
      <c r="B132" s="49">
        <v>6.25</v>
      </c>
      <c r="C132" s="20">
        <f t="shared" si="50"/>
        <v>101.0569</v>
      </c>
      <c r="D132" s="20">
        <v>101.03189999999999</v>
      </c>
      <c r="E132" s="20">
        <v>100.8494</v>
      </c>
      <c r="F132" s="20">
        <v>100.5981</v>
      </c>
      <c r="G132" s="20">
        <v>100.43690000000001</v>
      </c>
      <c r="H132" s="27">
        <v>100.3309</v>
      </c>
      <c r="I132" s="360">
        <f t="shared" ref="I132:I135" si="60">B132</f>
        <v>6.25</v>
      </c>
      <c r="J132" s="20">
        <f t="shared" ref="J132:J135" si="61">C132-0.125</f>
        <v>100.9319</v>
      </c>
      <c r="K132" s="20">
        <f t="shared" ref="K132:K135" si="62">D132-0.125</f>
        <v>100.90689999999999</v>
      </c>
      <c r="L132" s="20">
        <f t="shared" ref="L132:L135" si="63">E132-0.125</f>
        <v>100.7244</v>
      </c>
      <c r="M132" s="20">
        <f t="shared" ref="M132:M135" si="64">F132-0.125</f>
        <v>100.4731</v>
      </c>
      <c r="N132" s="20">
        <f t="shared" ref="N132:N135" si="65">G132-0.125</f>
        <v>100.31190000000001</v>
      </c>
      <c r="O132" s="20">
        <f t="shared" ref="O132:O135" si="66">H132-0.125</f>
        <v>100.2059</v>
      </c>
      <c r="P132" s="734"/>
      <c r="Q132" s="735"/>
      <c r="R132" s="735"/>
      <c r="S132" s="735"/>
      <c r="T132" s="735"/>
      <c r="U132" s="735"/>
      <c r="V132" s="735"/>
      <c r="W132" s="114"/>
      <c r="X132" s="114"/>
      <c r="Y132" s="114"/>
      <c r="Z132" s="725"/>
    </row>
    <row r="133" spans="2:26" ht="21.95" customHeight="1" x14ac:dyDescent="0.2">
      <c r="B133" s="49">
        <v>6.375</v>
      </c>
      <c r="C133" s="20">
        <f t="shared" si="50"/>
        <v>101.73410000000001</v>
      </c>
      <c r="D133" s="20">
        <v>101.70910000000001</v>
      </c>
      <c r="E133" s="20">
        <v>101.5266</v>
      </c>
      <c r="F133" s="20">
        <v>101.2753</v>
      </c>
      <c r="G133" s="20">
        <v>101.11410000000001</v>
      </c>
      <c r="H133" s="27">
        <v>101.0081</v>
      </c>
      <c r="I133" s="360">
        <f t="shared" si="60"/>
        <v>6.375</v>
      </c>
      <c r="J133" s="20">
        <f t="shared" si="61"/>
        <v>101.60910000000001</v>
      </c>
      <c r="K133" s="20">
        <f t="shared" si="62"/>
        <v>101.58410000000001</v>
      </c>
      <c r="L133" s="20">
        <f t="shared" si="63"/>
        <v>101.4016</v>
      </c>
      <c r="M133" s="20">
        <f t="shared" si="64"/>
        <v>101.1503</v>
      </c>
      <c r="N133" s="20">
        <f t="shared" si="65"/>
        <v>100.98910000000001</v>
      </c>
      <c r="O133" s="20">
        <f t="shared" si="66"/>
        <v>100.8831</v>
      </c>
      <c r="P133" s="734"/>
      <c r="Q133" s="735"/>
      <c r="R133" s="735"/>
      <c r="S133" s="735"/>
      <c r="T133" s="735"/>
      <c r="U133" s="735"/>
      <c r="V133" s="735"/>
      <c r="W133" s="114"/>
      <c r="X133" s="114"/>
      <c r="Y133" s="114"/>
      <c r="Z133" s="725"/>
    </row>
    <row r="134" spans="2:26" ht="21.95" customHeight="1" x14ac:dyDescent="0.2">
      <c r="B134" s="49">
        <v>6.5</v>
      </c>
      <c r="C134" s="20">
        <f t="shared" si="50"/>
        <v>102.36450000000001</v>
      </c>
      <c r="D134" s="20">
        <v>102.3395</v>
      </c>
      <c r="E134" s="20">
        <v>102.1571</v>
      </c>
      <c r="F134" s="20">
        <v>101.9058</v>
      </c>
      <c r="G134" s="20">
        <v>101.74460000000001</v>
      </c>
      <c r="H134" s="27">
        <v>101.6386</v>
      </c>
      <c r="I134" s="360">
        <f t="shared" si="60"/>
        <v>6.5</v>
      </c>
      <c r="J134" s="20">
        <f t="shared" si="61"/>
        <v>102.23950000000001</v>
      </c>
      <c r="K134" s="20">
        <f t="shared" si="62"/>
        <v>102.2145</v>
      </c>
      <c r="L134" s="20">
        <f t="shared" si="63"/>
        <v>102.0321</v>
      </c>
      <c r="M134" s="20">
        <f t="shared" si="64"/>
        <v>101.7808</v>
      </c>
      <c r="N134" s="20">
        <f t="shared" si="65"/>
        <v>101.61960000000001</v>
      </c>
      <c r="O134" s="20">
        <f t="shared" si="66"/>
        <v>101.5136</v>
      </c>
      <c r="P134" s="719"/>
      <c r="Q134" s="114"/>
      <c r="R134" s="114"/>
      <c r="S134" s="114"/>
      <c r="T134" s="114"/>
      <c r="U134" s="44"/>
      <c r="V134" s="114"/>
      <c r="W134" s="114"/>
      <c r="X134" s="114"/>
      <c r="Y134" s="114"/>
      <c r="Z134" s="725"/>
    </row>
    <row r="135" spans="2:26" ht="21.95" customHeight="1" x14ac:dyDescent="0.2">
      <c r="B135" s="49">
        <v>6.625</v>
      </c>
      <c r="C135" s="20">
        <f t="shared" si="50"/>
        <v>102.71090000000001</v>
      </c>
      <c r="D135" s="20">
        <v>102.6859</v>
      </c>
      <c r="E135" s="20">
        <v>102.5035</v>
      </c>
      <c r="F135" s="20">
        <v>102.2522</v>
      </c>
      <c r="G135" s="20">
        <v>102.09100000000001</v>
      </c>
      <c r="H135" s="27">
        <v>101.985</v>
      </c>
      <c r="I135" s="360">
        <f t="shared" si="60"/>
        <v>6.625</v>
      </c>
      <c r="J135" s="20">
        <f t="shared" si="61"/>
        <v>102.58590000000001</v>
      </c>
      <c r="K135" s="20">
        <f t="shared" si="62"/>
        <v>102.5609</v>
      </c>
      <c r="L135" s="20">
        <f t="shared" si="63"/>
        <v>102.3785</v>
      </c>
      <c r="M135" s="20">
        <f t="shared" si="64"/>
        <v>102.1272</v>
      </c>
      <c r="N135" s="20">
        <f t="shared" si="65"/>
        <v>101.96600000000001</v>
      </c>
      <c r="O135" s="20">
        <f t="shared" si="66"/>
        <v>101.86</v>
      </c>
      <c r="P135" s="719"/>
      <c r="Q135" s="114"/>
      <c r="R135" s="114"/>
      <c r="S135" s="114"/>
      <c r="T135" s="114"/>
      <c r="U135" s="44"/>
      <c r="V135" s="114"/>
      <c r="W135" s="114"/>
      <c r="X135" s="114"/>
      <c r="Y135" s="114"/>
      <c r="Z135" s="725"/>
    </row>
    <row r="136" spans="2:26" ht="21.95" customHeight="1" x14ac:dyDescent="0.2">
      <c r="B136" s="49">
        <v>6.75</v>
      </c>
      <c r="C136" s="20">
        <f t="shared" si="50"/>
        <v>101.45570000000001</v>
      </c>
      <c r="D136" s="20">
        <v>101.4307</v>
      </c>
      <c r="E136" s="20">
        <v>101.2371</v>
      </c>
      <c r="F136" s="20">
        <v>100.9706</v>
      </c>
      <c r="G136" s="20">
        <v>100.6426</v>
      </c>
      <c r="H136" s="27">
        <v>100.39060000000001</v>
      </c>
      <c r="I136" s="360">
        <f t="shared" ref="I136:I137" si="67">B136</f>
        <v>6.75</v>
      </c>
      <c r="J136" s="20">
        <f t="shared" ref="J136:J137" si="68">C136-0.125</f>
        <v>101.33070000000001</v>
      </c>
      <c r="K136" s="20">
        <f t="shared" ref="K136:K137" si="69">D136-0.125</f>
        <v>101.3057</v>
      </c>
      <c r="L136" s="20">
        <f t="shared" ref="L136:L137" si="70">E136-0.125</f>
        <v>101.1121</v>
      </c>
      <c r="M136" s="20">
        <f t="shared" ref="M136:M137" si="71">F136-0.125</f>
        <v>100.8456</v>
      </c>
      <c r="N136" s="20">
        <f t="shared" ref="N136:N137" si="72">G136-0.125</f>
        <v>100.5176</v>
      </c>
      <c r="O136" s="20">
        <f t="shared" ref="O136:O137" si="73">H136-0.125</f>
        <v>100.26560000000001</v>
      </c>
      <c r="P136" s="719"/>
      <c r="Q136" s="114"/>
      <c r="R136" s="114"/>
      <c r="S136" s="114"/>
      <c r="T136" s="114"/>
      <c r="U136" s="44"/>
      <c r="V136" s="114"/>
      <c r="W136" s="114"/>
      <c r="X136" s="114"/>
      <c r="Y136" s="114"/>
      <c r="Z136" s="725"/>
    </row>
    <row r="137" spans="2:26" ht="21.95" customHeight="1" x14ac:dyDescent="0.2">
      <c r="B137" s="49">
        <v>6.875</v>
      </c>
      <c r="C137" s="20">
        <f t="shared" si="50"/>
        <v>102.05810000000001</v>
      </c>
      <c r="D137" s="20">
        <v>102.0331</v>
      </c>
      <c r="E137" s="20">
        <v>101.8396</v>
      </c>
      <c r="F137" s="20">
        <v>101.57299999999999</v>
      </c>
      <c r="G137" s="20">
        <v>101.24510000000001</v>
      </c>
      <c r="H137" s="27">
        <v>100.9931</v>
      </c>
      <c r="I137" s="360">
        <f t="shared" si="67"/>
        <v>6.875</v>
      </c>
      <c r="J137" s="20">
        <f t="shared" si="68"/>
        <v>101.93310000000001</v>
      </c>
      <c r="K137" s="20">
        <f t="shared" si="69"/>
        <v>101.9081</v>
      </c>
      <c r="L137" s="20">
        <f t="shared" si="70"/>
        <v>101.7146</v>
      </c>
      <c r="M137" s="20">
        <f t="shared" si="71"/>
        <v>101.44799999999999</v>
      </c>
      <c r="N137" s="20">
        <f t="shared" si="72"/>
        <v>101.12010000000001</v>
      </c>
      <c r="O137" s="20">
        <f t="shared" si="73"/>
        <v>100.8681</v>
      </c>
      <c r="P137" s="719"/>
      <c r="Q137" s="114"/>
      <c r="R137" s="114"/>
      <c r="S137" s="114"/>
      <c r="T137" s="114"/>
      <c r="U137" s="44"/>
      <c r="V137" s="114"/>
      <c r="W137" s="114"/>
      <c r="X137" s="114"/>
      <c r="Y137" s="114"/>
      <c r="Z137" s="725"/>
    </row>
    <row r="138" spans="2:26" ht="21.95" customHeight="1" x14ac:dyDescent="0.2">
      <c r="B138" s="49"/>
      <c r="C138" s="20"/>
      <c r="D138" s="20"/>
      <c r="E138" s="20"/>
      <c r="F138" s="20"/>
      <c r="G138" s="20"/>
      <c r="H138" s="27"/>
      <c r="I138" s="360"/>
      <c r="J138" s="20"/>
      <c r="K138" s="20"/>
      <c r="L138" s="20"/>
      <c r="M138" s="20"/>
      <c r="N138" s="20"/>
      <c r="O138" s="20"/>
      <c r="P138" s="719"/>
      <c r="Q138" s="114"/>
      <c r="R138" s="114"/>
      <c r="S138" s="114"/>
      <c r="T138" s="114"/>
      <c r="U138" s="44"/>
      <c r="V138" s="114"/>
      <c r="W138" s="114"/>
      <c r="X138" s="114"/>
      <c r="Y138" s="114"/>
      <c r="Z138" s="725"/>
    </row>
    <row r="139" spans="2:26" ht="21.95" customHeight="1" x14ac:dyDescent="0.2">
      <c r="B139" s="94"/>
      <c r="C139" s="38"/>
      <c r="D139" s="38"/>
      <c r="E139" s="38"/>
      <c r="F139" s="38"/>
      <c r="G139" s="38"/>
      <c r="H139" s="39"/>
      <c r="I139" s="413"/>
      <c r="J139" s="38"/>
      <c r="K139" s="38"/>
      <c r="L139" s="38"/>
      <c r="M139" s="38"/>
      <c r="N139" s="38"/>
      <c r="O139" s="38"/>
      <c r="P139" s="730"/>
      <c r="Q139" s="128"/>
      <c r="R139" s="128"/>
      <c r="S139" s="128"/>
      <c r="T139" s="128"/>
      <c r="U139" s="461"/>
      <c r="V139" s="128"/>
      <c r="W139" s="128"/>
      <c r="X139" s="128"/>
      <c r="Y139" s="128"/>
      <c r="Z139" s="727"/>
    </row>
    <row r="140" spans="2:26" ht="21.95" customHeight="1" x14ac:dyDescent="0.2">
      <c r="B140" s="100" t="s">
        <v>295</v>
      </c>
      <c r="C140" s="74"/>
      <c r="D140" s="74"/>
      <c r="E140" s="74"/>
      <c r="F140" s="74"/>
      <c r="G140" s="74"/>
      <c r="H140" s="74"/>
      <c r="I140" s="368"/>
      <c r="J140" s="74"/>
      <c r="K140" s="74"/>
      <c r="L140" s="74"/>
      <c r="M140" s="74"/>
      <c r="N140" s="74"/>
      <c r="O140" s="74"/>
      <c r="P140" s="368"/>
      <c r="Q140" s="368"/>
      <c r="R140" s="368"/>
      <c r="S140" s="368"/>
      <c r="T140" s="368"/>
      <c r="U140" s="368"/>
      <c r="V140" s="368"/>
      <c r="W140" s="368"/>
      <c r="X140" s="1025" t="s">
        <v>90</v>
      </c>
      <c r="Y140" s="1025"/>
      <c r="Z140" s="54"/>
    </row>
    <row r="141" spans="2:26" ht="21.95" customHeight="1" x14ac:dyDescent="0.2">
      <c r="B141" s="131" t="s">
        <v>305</v>
      </c>
      <c r="C141" s="80"/>
      <c r="D141" s="80"/>
      <c r="E141" s="81">
        <v>-0.02</v>
      </c>
      <c r="F141" s="9"/>
      <c r="G141" s="9"/>
      <c r="H141" s="1022"/>
      <c r="I141" s="1022"/>
      <c r="J141" s="1022"/>
      <c r="K141" s="1022"/>
      <c r="L141" s="132"/>
      <c r="M141" s="133"/>
      <c r="N141" s="133"/>
      <c r="O141" s="133"/>
      <c r="P141" s="133"/>
      <c r="Q141" s="133"/>
      <c r="R141" s="133"/>
      <c r="S141" s="133"/>
      <c r="T141" s="133"/>
      <c r="U141" s="1019" t="s">
        <v>311</v>
      </c>
      <c r="V141" s="1019"/>
      <c r="W141" s="1019"/>
      <c r="X141" s="210">
        <v>1125</v>
      </c>
      <c r="Y141" s="84"/>
      <c r="Z141" s="134"/>
    </row>
    <row r="142" spans="2:26" ht="21.95" customHeight="1" x14ac:dyDescent="0.2">
      <c r="B142" s="135" t="s">
        <v>306</v>
      </c>
      <c r="C142" s="80"/>
      <c r="D142" s="80"/>
      <c r="E142" s="81">
        <v>-0.02</v>
      </c>
      <c r="F142" s="85"/>
      <c r="G142" s="85"/>
      <c r="H142" s="85"/>
      <c r="I142" s="136"/>
      <c r="J142" s="114"/>
      <c r="K142" s="114"/>
      <c r="L142" s="84"/>
      <c r="M142" s="84"/>
      <c r="N142" s="84"/>
      <c r="O142" s="84"/>
      <c r="P142" s="84"/>
      <c r="Q142" s="84"/>
      <c r="R142" s="84"/>
      <c r="S142" s="84"/>
      <c r="T142" s="84"/>
      <c r="U142" s="1016" t="s">
        <v>312</v>
      </c>
      <c r="V142" s="1016"/>
      <c r="W142" s="1016"/>
      <c r="X142" s="391">
        <v>695</v>
      </c>
      <c r="Y142" s="80"/>
      <c r="Z142" s="115"/>
    </row>
    <row r="143" spans="2:26" ht="21.95" customHeight="1" x14ac:dyDescent="0.2">
      <c r="B143" s="135" t="s">
        <v>307</v>
      </c>
      <c r="C143" s="80"/>
      <c r="D143" s="80"/>
      <c r="E143" s="81">
        <v>-0.04</v>
      </c>
      <c r="F143" s="85"/>
      <c r="G143" s="85"/>
      <c r="H143" s="85"/>
      <c r="I143" s="136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209"/>
      <c r="W143" s="209" t="s">
        <v>159</v>
      </c>
      <c r="X143" s="391">
        <v>695</v>
      </c>
      <c r="Y143" s="80"/>
      <c r="Z143" s="137"/>
    </row>
    <row r="144" spans="2:26" ht="21.95" customHeight="1" x14ac:dyDescent="0.2">
      <c r="B144" s="135" t="s">
        <v>308</v>
      </c>
      <c r="C144" s="80"/>
      <c r="D144" s="80"/>
      <c r="E144" s="81">
        <v>-0.04</v>
      </c>
      <c r="F144" s="85"/>
      <c r="G144" s="85"/>
      <c r="H144" s="85"/>
      <c r="I144" s="136"/>
      <c r="J144" s="138"/>
      <c r="K144" s="138"/>
      <c r="L144" s="133"/>
      <c r="M144" s="133"/>
      <c r="N144" s="133"/>
      <c r="O144" s="133"/>
      <c r="P144" s="133"/>
      <c r="Q144" s="133"/>
      <c r="R144" s="133"/>
      <c r="S144" s="133"/>
      <c r="T144" s="133"/>
      <c r="U144" s="84"/>
      <c r="V144" s="84"/>
      <c r="W144" s="209" t="s">
        <v>160</v>
      </c>
      <c r="X144" s="391">
        <v>795</v>
      </c>
      <c r="Y144" s="80"/>
      <c r="Z144" s="115"/>
    </row>
    <row r="145" spans="2:26" ht="21.95" customHeight="1" x14ac:dyDescent="0.2">
      <c r="B145" s="135" t="s">
        <v>85</v>
      </c>
      <c r="C145" s="87"/>
      <c r="D145" s="87"/>
      <c r="E145" s="81">
        <v>-0.125</v>
      </c>
      <c r="F145" s="85"/>
      <c r="G145" s="85"/>
      <c r="H145" s="85"/>
      <c r="I145" s="136"/>
      <c r="J145" s="138"/>
      <c r="K145" s="138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80"/>
      <c r="X145" s="80"/>
      <c r="Y145" s="80"/>
      <c r="Z145" s="115"/>
    </row>
    <row r="146" spans="2:26" ht="21.95" customHeight="1" thickBot="1" x14ac:dyDescent="0.25">
      <c r="B146" s="10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40"/>
    </row>
    <row r="147" spans="2:26" s="44" customFormat="1" ht="21.95" customHeight="1" x14ac:dyDescent="0.2">
      <c r="B147" s="90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711" t="s">
        <v>57</v>
      </c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91"/>
    </row>
    <row r="148" spans="2:26" s="44" customFormat="1" ht="21.95" customHeight="1" x14ac:dyDescent="0.2">
      <c r="B148" s="90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711" t="s">
        <v>58</v>
      </c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91"/>
    </row>
    <row r="149" spans="2:26" s="44" customFormat="1" ht="21.95" customHeight="1" x14ac:dyDescent="0.2">
      <c r="B149" s="90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712" t="s">
        <v>67</v>
      </c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91"/>
    </row>
    <row r="150" spans="2:26" s="44" customFormat="1" ht="21.95" customHeight="1" thickBot="1" x14ac:dyDescent="0.25">
      <c r="B150" s="90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712" t="s">
        <v>59</v>
      </c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91"/>
    </row>
    <row r="151" spans="2:26" s="651" customFormat="1" ht="21.95" customHeight="1" x14ac:dyDescent="0.3">
      <c r="B151" s="655" t="s">
        <v>66</v>
      </c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6"/>
      <c r="P151" s="656"/>
      <c r="Q151" s="656"/>
      <c r="R151" s="656"/>
      <c r="S151" s="656"/>
      <c r="T151" s="656"/>
      <c r="U151" s="656"/>
      <c r="V151" s="656"/>
      <c r="W151" s="656"/>
      <c r="X151" s="1023"/>
      <c r="Y151" s="1023"/>
      <c r="Z151" s="1024"/>
    </row>
    <row r="152" spans="2:26" s="651" customFormat="1" ht="21.95" customHeight="1" x14ac:dyDescent="0.3">
      <c r="B152" s="657" t="s">
        <v>68</v>
      </c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58"/>
      <c r="P152" s="658"/>
      <c r="Q152" s="658"/>
      <c r="R152" s="658"/>
      <c r="S152" s="658"/>
      <c r="T152" s="658"/>
      <c r="U152" s="658"/>
      <c r="V152" s="658"/>
      <c r="W152" s="934"/>
      <c r="X152" s="934"/>
      <c r="Y152" s="1034"/>
      <c r="Z152" s="1035"/>
    </row>
    <row r="153" spans="2:26" s="651" customFormat="1" ht="21.95" customHeight="1" x14ac:dyDescent="0.3">
      <c r="B153" s="657" t="s">
        <v>69</v>
      </c>
      <c r="C153" s="658"/>
      <c r="D153" s="658"/>
      <c r="E153" s="658"/>
      <c r="F153" s="658"/>
      <c r="G153" s="658"/>
      <c r="H153" s="658"/>
      <c r="I153" s="658"/>
      <c r="J153" s="658"/>
      <c r="K153" s="658"/>
      <c r="L153" s="658"/>
      <c r="M153" s="658"/>
      <c r="N153" s="658"/>
      <c r="O153" s="658"/>
      <c r="P153" s="658"/>
      <c r="Q153" s="658"/>
      <c r="R153" s="658"/>
      <c r="S153" s="658"/>
      <c r="T153" s="658"/>
      <c r="U153" s="658"/>
      <c r="V153" s="658"/>
      <c r="W153" s="658"/>
      <c r="X153" s="658"/>
      <c r="Y153" s="658"/>
      <c r="Z153" s="660"/>
    </row>
    <row r="154" spans="2:26" s="651" customFormat="1" ht="21.95" customHeight="1" x14ac:dyDescent="0.3">
      <c r="B154" s="661" t="s">
        <v>72</v>
      </c>
      <c r="C154" s="658"/>
      <c r="D154" s="658"/>
      <c r="E154" s="658"/>
      <c r="F154" s="658"/>
      <c r="G154" s="662"/>
      <c r="H154" s="662"/>
      <c r="I154" s="662"/>
      <c r="J154" s="662"/>
      <c r="K154" s="662"/>
      <c r="L154" s="662"/>
      <c r="M154" s="662"/>
      <c r="N154" s="662"/>
      <c r="O154" s="662"/>
      <c r="P154" s="662"/>
      <c r="Q154" s="662"/>
      <c r="R154" s="662"/>
      <c r="S154" s="662"/>
      <c r="T154" s="662"/>
      <c r="U154" s="662"/>
      <c r="V154" s="662"/>
      <c r="W154" s="663"/>
      <c r="X154" s="658"/>
      <c r="Y154" s="658"/>
      <c r="Z154" s="660"/>
    </row>
    <row r="155" spans="2:26" s="651" customFormat="1" ht="21.95" customHeight="1" x14ac:dyDescent="0.3">
      <c r="B155" s="657"/>
      <c r="C155" s="658"/>
      <c r="D155" s="658"/>
      <c r="E155" s="658"/>
      <c r="F155" s="658"/>
      <c r="G155" s="658"/>
      <c r="H155" s="664"/>
      <c r="I155" s="664"/>
      <c r="J155" s="664"/>
      <c r="K155" s="664"/>
      <c r="L155" s="658"/>
      <c r="M155" s="664"/>
      <c r="N155" s="664"/>
      <c r="O155" s="664"/>
      <c r="P155" s="664"/>
      <c r="Q155" s="664"/>
      <c r="R155" s="664"/>
      <c r="S155" s="664"/>
      <c r="T155" s="664"/>
      <c r="U155" s="664"/>
      <c r="V155" s="664"/>
      <c r="W155" s="658"/>
      <c r="X155" s="663"/>
      <c r="Y155" s="663"/>
      <c r="Z155" s="660"/>
    </row>
    <row r="156" spans="2:26" s="651" customFormat="1" ht="21.95" customHeight="1" x14ac:dyDescent="0.3">
      <c r="B156" s="657" t="s">
        <v>73</v>
      </c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59"/>
      <c r="P156" s="659"/>
      <c r="Q156" s="659"/>
      <c r="R156" s="659"/>
      <c r="S156" s="659"/>
      <c r="T156" s="659"/>
      <c r="U156" s="659"/>
      <c r="V156" s="659"/>
      <c r="W156" s="663"/>
      <c r="X156" s="658"/>
      <c r="Y156" s="658"/>
      <c r="Z156" s="665"/>
    </row>
    <row r="157" spans="2:26" ht="21.95" customHeight="1" x14ac:dyDescent="0.2">
      <c r="B157" s="749"/>
      <c r="C157" s="542"/>
      <c r="D157" s="542"/>
      <c r="E157" s="542"/>
      <c r="F157" s="542"/>
      <c r="G157" s="542"/>
      <c r="H157" s="542"/>
      <c r="I157" s="542"/>
      <c r="J157" s="542"/>
      <c r="K157" s="542"/>
      <c r="L157" s="542"/>
      <c r="M157" s="542"/>
      <c r="N157" s="542"/>
      <c r="O157" s="542"/>
      <c r="P157" s="542"/>
      <c r="Q157" s="542"/>
      <c r="R157" s="542"/>
      <c r="S157" s="542"/>
      <c r="T157" s="542"/>
      <c r="U157" s="542"/>
      <c r="V157" s="542"/>
      <c r="W157" s="542"/>
      <c r="X157" s="542"/>
      <c r="Y157" s="542"/>
      <c r="Z157" s="750"/>
    </row>
    <row r="158" spans="2:26" s="650" customFormat="1" ht="21.95" customHeight="1" x14ac:dyDescent="0.25">
      <c r="B158" s="1013" t="s">
        <v>74</v>
      </c>
      <c r="C158" s="1014"/>
      <c r="D158" s="1014"/>
      <c r="E158" s="1014"/>
      <c r="F158" s="1014"/>
      <c r="G158" s="1014"/>
      <c r="H158" s="1014"/>
      <c r="I158" s="1014"/>
      <c r="J158" s="1014"/>
      <c r="K158" s="1014"/>
      <c r="L158" s="1014"/>
      <c r="M158" s="1014"/>
      <c r="N158" s="1014"/>
      <c r="O158" s="1014"/>
      <c r="P158" s="1014"/>
      <c r="Q158" s="1014"/>
      <c r="R158" s="1014"/>
      <c r="S158" s="1014"/>
      <c r="T158" s="1014"/>
      <c r="U158" s="1014"/>
      <c r="V158" s="1014"/>
      <c r="W158" s="1014"/>
      <c r="X158" s="1014"/>
      <c r="Y158" s="1014"/>
      <c r="Z158" s="1015"/>
    </row>
    <row r="159" spans="2:26" s="650" customFormat="1" ht="21.95" customHeight="1" x14ac:dyDescent="0.25">
      <c r="B159" s="751"/>
      <c r="C159" s="752"/>
      <c r="D159" s="752"/>
      <c r="E159" s="752"/>
      <c r="F159" s="752"/>
      <c r="G159" s="752"/>
      <c r="H159" s="752"/>
      <c r="I159" s="752"/>
      <c r="J159" s="752"/>
      <c r="K159" s="752"/>
      <c r="L159" s="752"/>
      <c r="M159" s="752"/>
      <c r="N159" s="752"/>
      <c r="O159" s="752"/>
      <c r="P159" s="752"/>
      <c r="Q159" s="752"/>
      <c r="R159" s="752"/>
      <c r="S159" s="752"/>
      <c r="T159" s="752"/>
      <c r="U159" s="752"/>
      <c r="V159" s="752"/>
      <c r="W159" s="752"/>
      <c r="X159" s="752"/>
      <c r="Y159" s="752"/>
      <c r="Z159" s="753"/>
    </row>
    <row r="160" spans="2:26" s="650" customFormat="1" ht="21.95" customHeight="1" x14ac:dyDescent="0.25">
      <c r="B160" s="1027" t="s">
        <v>24</v>
      </c>
      <c r="C160" s="954"/>
      <c r="D160" s="954"/>
      <c r="E160" s="954"/>
      <c r="F160" s="954"/>
      <c r="G160" s="954"/>
      <c r="H160" s="1026"/>
      <c r="I160" s="954" t="s">
        <v>26</v>
      </c>
      <c r="J160" s="954"/>
      <c r="K160" s="954"/>
      <c r="L160" s="954"/>
      <c r="M160" s="954"/>
      <c r="N160" s="954"/>
      <c r="O160" s="1026"/>
      <c r="P160" s="739"/>
      <c r="Q160" s="84"/>
      <c r="R160" s="122"/>
      <c r="S160" s="123"/>
      <c r="T160" s="123"/>
      <c r="U160" s="123"/>
      <c r="V160" s="123"/>
      <c r="W160" s="44"/>
      <c r="X160" s="44"/>
      <c r="Y160" s="44"/>
      <c r="Z160" s="45"/>
    </row>
    <row r="161" spans="2:26" ht="21.95" customHeight="1" x14ac:dyDescent="0.2">
      <c r="B161" s="359" t="s">
        <v>4</v>
      </c>
      <c r="C161" s="353" t="s">
        <v>434</v>
      </c>
      <c r="D161" s="353" t="s">
        <v>5</v>
      </c>
      <c r="E161" s="353" t="s">
        <v>6</v>
      </c>
      <c r="F161" s="353" t="s">
        <v>75</v>
      </c>
      <c r="G161" s="353" t="s">
        <v>302</v>
      </c>
      <c r="H161" s="424" t="s">
        <v>303</v>
      </c>
      <c r="I161" s="370" t="s">
        <v>4</v>
      </c>
      <c r="J161" s="353" t="s">
        <v>434</v>
      </c>
      <c r="K161" s="353" t="s">
        <v>5</v>
      </c>
      <c r="L161" s="353" t="s">
        <v>6</v>
      </c>
      <c r="M161" s="353" t="s">
        <v>75</v>
      </c>
      <c r="N161" s="353" t="s">
        <v>302</v>
      </c>
      <c r="O161" s="367" t="s">
        <v>303</v>
      </c>
      <c r="P161" s="84"/>
      <c r="Q161" s="4"/>
      <c r="R161" s="4" t="s">
        <v>101</v>
      </c>
      <c r="S161" s="112"/>
      <c r="T161" s="123">
        <v>0</v>
      </c>
      <c r="U161" s="44"/>
      <c r="V161" s="4"/>
      <c r="W161" s="4"/>
      <c r="X161" s="4"/>
      <c r="Y161" s="4"/>
      <c r="Z161" s="113"/>
    </row>
    <row r="162" spans="2:26" ht="21.95" customHeight="1" x14ac:dyDescent="0.2">
      <c r="B162" s="26">
        <v>4.75</v>
      </c>
      <c r="C162" s="20">
        <f>D162+0.025</f>
        <v>95.973100000000002</v>
      </c>
      <c r="D162" s="20">
        <v>95.948099999999997</v>
      </c>
      <c r="E162" s="20">
        <v>95.809000000000012</v>
      </c>
      <c r="F162" s="20">
        <v>95.5886</v>
      </c>
      <c r="G162" s="20">
        <v>95.275199999999998</v>
      </c>
      <c r="H162" s="20">
        <v>95.098199999999991</v>
      </c>
      <c r="I162" s="746">
        <v>4.5</v>
      </c>
      <c r="J162" s="393">
        <v>98.188400000000001</v>
      </c>
      <c r="K162" s="393">
        <v>98.113799999999998</v>
      </c>
      <c r="L162" s="393">
        <v>98.109700000000004</v>
      </c>
      <c r="M162" s="393">
        <v>98.036100000000005</v>
      </c>
      <c r="N162" s="393">
        <v>97.4559</v>
      </c>
      <c r="O162" s="392">
        <v>96.888400000000004</v>
      </c>
      <c r="P162" s="736"/>
      <c r="Q162" s="4"/>
      <c r="R162" s="4"/>
      <c r="S162" s="112"/>
      <c r="T162" s="112"/>
      <c r="U162" s="44"/>
      <c r="V162" s="4"/>
      <c r="W162" s="4"/>
      <c r="X162" s="4"/>
      <c r="Y162" s="4"/>
      <c r="Z162" s="113"/>
    </row>
    <row r="163" spans="2:26" ht="21.95" customHeight="1" x14ac:dyDescent="0.2">
      <c r="B163" s="26">
        <v>4.875</v>
      </c>
      <c r="C163" s="20">
        <f t="shared" ref="C163:C181" si="74">D163+0.025</f>
        <v>96.617800000000003</v>
      </c>
      <c r="D163" s="20">
        <v>96.592799999999997</v>
      </c>
      <c r="E163" s="20">
        <v>96.453700000000012</v>
      </c>
      <c r="F163" s="20">
        <v>96.233200000000011</v>
      </c>
      <c r="G163" s="20">
        <v>95.919899999999998</v>
      </c>
      <c r="H163" s="20">
        <v>95.742899999999992</v>
      </c>
      <c r="I163" s="49">
        <f>I162+0.125</f>
        <v>4.625</v>
      </c>
      <c r="J163" s="20">
        <v>98.6798</v>
      </c>
      <c r="K163" s="20">
        <v>98.605099999999993</v>
      </c>
      <c r="L163" s="20">
        <v>98.600999999999999</v>
      </c>
      <c r="M163" s="20">
        <v>98.5274</v>
      </c>
      <c r="N163" s="20">
        <v>97.947299999999998</v>
      </c>
      <c r="O163" s="27">
        <v>97.3797</v>
      </c>
      <c r="P163" s="736"/>
      <c r="Q163" s="109"/>
      <c r="R163" s="109" t="s">
        <v>83</v>
      </c>
      <c r="S163" s="110"/>
      <c r="T163" s="110"/>
      <c r="U163" s="110"/>
      <c r="V163" s="110"/>
      <c r="W163" s="110"/>
      <c r="X163" s="109"/>
      <c r="Y163" s="109"/>
      <c r="Z163" s="111"/>
    </row>
    <row r="164" spans="2:26" ht="21.95" customHeight="1" x14ac:dyDescent="0.2">
      <c r="B164" s="26">
        <v>5</v>
      </c>
      <c r="C164" s="20">
        <f t="shared" si="74"/>
        <v>97.3369</v>
      </c>
      <c r="D164" s="20">
        <v>97.311899999999994</v>
      </c>
      <c r="E164" s="20">
        <v>97.172800000000009</v>
      </c>
      <c r="F164" s="20">
        <v>96.952300000000008</v>
      </c>
      <c r="G164" s="20">
        <v>96.638999999999996</v>
      </c>
      <c r="H164" s="20">
        <v>96.462000000000003</v>
      </c>
      <c r="I164" s="49">
        <f t="shared" ref="I164:I178" si="75">I163+0.125</f>
        <v>4.75</v>
      </c>
      <c r="J164" s="20">
        <v>98.851799999999997</v>
      </c>
      <c r="K164" s="20">
        <v>98.765299999999996</v>
      </c>
      <c r="L164" s="20">
        <v>98.750100000000003</v>
      </c>
      <c r="M164" s="20">
        <v>98.685900000000004</v>
      </c>
      <c r="N164" s="20">
        <v>98.092299999999994</v>
      </c>
      <c r="O164" s="27">
        <v>97.504000000000005</v>
      </c>
      <c r="P164" s="736"/>
      <c r="Q164" s="515"/>
      <c r="R164" s="515"/>
      <c r="S164" s="44"/>
      <c r="T164" s="44"/>
      <c r="U164" s="44"/>
      <c r="V164" s="116"/>
      <c r="W164" s="116"/>
      <c r="X164" s="515"/>
      <c r="Y164" s="515"/>
      <c r="Z164" s="45"/>
    </row>
    <row r="165" spans="2:26" ht="21.95" customHeight="1" x14ac:dyDescent="0.2">
      <c r="B165" s="26">
        <v>5.125</v>
      </c>
      <c r="C165" s="20">
        <f t="shared" si="74"/>
        <v>97.808200000000014</v>
      </c>
      <c r="D165" s="20">
        <v>97.783200000000008</v>
      </c>
      <c r="E165" s="20">
        <v>97.644000000000005</v>
      </c>
      <c r="F165" s="20">
        <v>97.423600000000008</v>
      </c>
      <c r="G165" s="20">
        <v>97.110199999999992</v>
      </c>
      <c r="H165" s="20">
        <v>96.933300000000003</v>
      </c>
      <c r="I165" s="49">
        <f t="shared" si="75"/>
        <v>4.875</v>
      </c>
      <c r="J165" s="20">
        <v>99.331800000000001</v>
      </c>
      <c r="K165" s="20">
        <v>99.2453</v>
      </c>
      <c r="L165" s="20">
        <v>99.230199999999996</v>
      </c>
      <c r="M165" s="20">
        <v>99.165899999999993</v>
      </c>
      <c r="N165" s="20">
        <v>98.572299999999998</v>
      </c>
      <c r="O165" s="27">
        <v>97.983999999999995</v>
      </c>
      <c r="P165" s="736"/>
      <c r="Q165" s="4"/>
      <c r="R165" s="4" t="s">
        <v>60</v>
      </c>
      <c r="S165" s="681">
        <v>0.05</v>
      </c>
      <c r="T165" s="44"/>
      <c r="U165" s="44" t="s">
        <v>438</v>
      </c>
      <c r="V165" s="114">
        <v>0.05</v>
      </c>
      <c r="W165" s="114" t="s">
        <v>486</v>
      </c>
      <c r="X165" s="114">
        <v>-0.05</v>
      </c>
      <c r="Y165" s="4"/>
      <c r="Z165" s="737"/>
    </row>
    <row r="166" spans="2:26" ht="21.95" customHeight="1" x14ac:dyDescent="0.2">
      <c r="B166" s="26">
        <v>5.25</v>
      </c>
      <c r="C166" s="20">
        <f t="shared" si="74"/>
        <v>98.831500000000005</v>
      </c>
      <c r="D166" s="20">
        <v>98.8065</v>
      </c>
      <c r="E166" s="20">
        <v>98.656200000000013</v>
      </c>
      <c r="F166" s="20">
        <v>98.420500000000004</v>
      </c>
      <c r="G166" s="20">
        <v>98.084299999999999</v>
      </c>
      <c r="H166" s="20">
        <v>97.932599999999994</v>
      </c>
      <c r="I166" s="49">
        <f t="shared" si="75"/>
        <v>5</v>
      </c>
      <c r="J166" s="20">
        <v>99.784499999999994</v>
      </c>
      <c r="K166" s="20">
        <v>99.697999999999993</v>
      </c>
      <c r="L166" s="20">
        <v>99.682900000000004</v>
      </c>
      <c r="M166" s="20">
        <v>99.618600000000001</v>
      </c>
      <c r="N166" s="20">
        <v>99.025099999999995</v>
      </c>
      <c r="O166" s="27">
        <v>98.436700000000002</v>
      </c>
      <c r="P166" s="736"/>
      <c r="Q166" s="4"/>
      <c r="R166" s="4" t="s">
        <v>87</v>
      </c>
      <c r="S166" s="681">
        <v>0</v>
      </c>
      <c r="T166" s="44"/>
      <c r="U166" s="44" t="s">
        <v>304</v>
      </c>
      <c r="V166" s="114">
        <v>0.1</v>
      </c>
      <c r="W166" s="114" t="s">
        <v>487</v>
      </c>
      <c r="X166" s="114">
        <v>0</v>
      </c>
      <c r="Y166" s="4"/>
      <c r="Z166" s="737"/>
    </row>
    <row r="167" spans="2:26" ht="21.95" customHeight="1" x14ac:dyDescent="0.2">
      <c r="B167" s="26">
        <v>5.375</v>
      </c>
      <c r="C167" s="20">
        <f t="shared" si="74"/>
        <v>99.485700000000008</v>
      </c>
      <c r="D167" s="20">
        <v>99.460700000000003</v>
      </c>
      <c r="E167" s="20">
        <v>99.310400000000001</v>
      </c>
      <c r="F167" s="20">
        <v>99.074700000000007</v>
      </c>
      <c r="G167" s="20">
        <v>98.738500000000002</v>
      </c>
      <c r="H167" s="20">
        <v>98.586799999999997</v>
      </c>
      <c r="I167" s="49">
        <f t="shared" si="75"/>
        <v>5.125</v>
      </c>
      <c r="J167" s="20">
        <v>100.2075</v>
      </c>
      <c r="K167" s="20">
        <v>100.12090000000001</v>
      </c>
      <c r="L167" s="20">
        <v>100.1058</v>
      </c>
      <c r="M167" s="20">
        <v>100.0415</v>
      </c>
      <c r="N167" s="20">
        <v>99.447999999999993</v>
      </c>
      <c r="O167" s="27">
        <v>98.8596</v>
      </c>
      <c r="P167" s="736"/>
      <c r="Q167" s="4"/>
      <c r="R167" s="4" t="s">
        <v>61</v>
      </c>
      <c r="S167" s="681">
        <v>0</v>
      </c>
      <c r="T167" s="44"/>
      <c r="U167" s="44" t="s">
        <v>360</v>
      </c>
      <c r="V167" s="114">
        <v>-0.1</v>
      </c>
      <c r="W167" s="114" t="s">
        <v>508</v>
      </c>
      <c r="X167" s="114">
        <v>0</v>
      </c>
      <c r="Y167" s="4"/>
      <c r="Z167" s="737"/>
    </row>
    <row r="168" spans="2:26" ht="21.95" customHeight="1" x14ac:dyDescent="0.2">
      <c r="B168" s="26">
        <v>5.5</v>
      </c>
      <c r="C168" s="20">
        <f t="shared" si="74"/>
        <v>100.1242</v>
      </c>
      <c r="D168" s="20">
        <v>100.0992</v>
      </c>
      <c r="E168" s="20">
        <v>99.949000000000012</v>
      </c>
      <c r="F168" s="20">
        <v>99.713300000000004</v>
      </c>
      <c r="G168" s="20">
        <v>99.377099999999999</v>
      </c>
      <c r="H168" s="20">
        <v>99.205399999999997</v>
      </c>
      <c r="I168" s="49">
        <f t="shared" si="75"/>
        <v>5.25</v>
      </c>
      <c r="J168" s="20">
        <v>100.1482</v>
      </c>
      <c r="K168" s="20">
        <v>100.08109999999999</v>
      </c>
      <c r="L168" s="20">
        <v>100.0548</v>
      </c>
      <c r="M168" s="20">
        <v>100.0312</v>
      </c>
      <c r="N168" s="20">
        <v>99.456599999999995</v>
      </c>
      <c r="O168" s="27">
        <v>98.847399999999993</v>
      </c>
      <c r="P168" s="736"/>
      <c r="Q168" s="4"/>
      <c r="R168" s="4" t="s">
        <v>62</v>
      </c>
      <c r="S168" s="681">
        <v>-0.1</v>
      </c>
      <c r="T168" s="44"/>
      <c r="U168" s="44" t="s">
        <v>361</v>
      </c>
      <c r="V168" s="114">
        <v>0.05</v>
      </c>
      <c r="W168" s="114" t="s">
        <v>509</v>
      </c>
      <c r="X168" s="114">
        <v>0</v>
      </c>
      <c r="Y168" s="4"/>
      <c r="Z168" s="737"/>
    </row>
    <row r="169" spans="2:26" ht="21.95" customHeight="1" x14ac:dyDescent="0.2">
      <c r="B169" s="26">
        <v>5.625</v>
      </c>
      <c r="C169" s="20">
        <f t="shared" si="74"/>
        <v>100.6452</v>
      </c>
      <c r="D169" s="20">
        <v>100.6202</v>
      </c>
      <c r="E169" s="20">
        <v>100.47</v>
      </c>
      <c r="F169" s="20">
        <v>100.2343</v>
      </c>
      <c r="G169" s="20">
        <v>99.878</v>
      </c>
      <c r="H169" s="20">
        <v>99.676400000000001</v>
      </c>
      <c r="I169" s="49">
        <f t="shared" si="75"/>
        <v>5.375</v>
      </c>
      <c r="J169" s="20">
        <v>100.56610000000001</v>
      </c>
      <c r="K169" s="20">
        <v>100.499</v>
      </c>
      <c r="L169" s="20">
        <v>100.4727</v>
      </c>
      <c r="M169" s="20">
        <v>100.4491</v>
      </c>
      <c r="N169" s="20">
        <v>99.874499999999998</v>
      </c>
      <c r="O169" s="27">
        <v>99.265299999999996</v>
      </c>
      <c r="P169" s="736"/>
      <c r="Q169" s="4"/>
      <c r="R169" s="4" t="s">
        <v>63</v>
      </c>
      <c r="S169" s="681">
        <v>0.1</v>
      </c>
      <c r="T169" s="44"/>
      <c r="U169" s="44" t="s">
        <v>362</v>
      </c>
      <c r="V169" s="114">
        <v>0</v>
      </c>
      <c r="W169" s="114"/>
      <c r="X169" s="4"/>
      <c r="Y169" s="4"/>
      <c r="Z169" s="737"/>
    </row>
    <row r="170" spans="2:26" ht="21.95" customHeight="1" x14ac:dyDescent="0.2">
      <c r="B170" s="26">
        <v>5.75</v>
      </c>
      <c r="C170" s="20">
        <f t="shared" si="74"/>
        <v>100.9186</v>
      </c>
      <c r="D170" s="20">
        <v>100.89359999999999</v>
      </c>
      <c r="E170" s="20">
        <v>100.73220000000001</v>
      </c>
      <c r="F170" s="20">
        <v>100.4813</v>
      </c>
      <c r="G170" s="20">
        <v>100.1332</v>
      </c>
      <c r="H170" s="20">
        <v>99.980899999999991</v>
      </c>
      <c r="I170" s="49">
        <f t="shared" si="75"/>
        <v>5.5</v>
      </c>
      <c r="J170" s="20">
        <v>100.9513</v>
      </c>
      <c r="K170" s="20">
        <v>100.8843</v>
      </c>
      <c r="L170" s="20">
        <v>100.858</v>
      </c>
      <c r="M170" s="20">
        <v>100.8344</v>
      </c>
      <c r="N170" s="20">
        <v>100.2598</v>
      </c>
      <c r="O170" s="27">
        <v>99.650599999999997</v>
      </c>
      <c r="P170" s="736"/>
      <c r="Q170" s="4"/>
      <c r="R170" s="4" t="s">
        <v>64</v>
      </c>
      <c r="S170" s="681">
        <v>0.05</v>
      </c>
      <c r="T170" s="44"/>
      <c r="U170" s="44" t="s">
        <v>374</v>
      </c>
      <c r="V170" s="114">
        <v>7.4999999999999997E-2</v>
      </c>
      <c r="W170" s="480" t="s">
        <v>510</v>
      </c>
      <c r="X170" s="17"/>
      <c r="Y170" s="13"/>
      <c r="Z170" s="737"/>
    </row>
    <row r="171" spans="2:26" ht="21.95" customHeight="1" x14ac:dyDescent="0.2">
      <c r="B171" s="26">
        <v>5.875</v>
      </c>
      <c r="C171" s="20">
        <f t="shared" si="74"/>
        <v>101.37540000000001</v>
      </c>
      <c r="D171" s="20">
        <v>101.35040000000001</v>
      </c>
      <c r="E171" s="20">
        <v>101.18900000000001</v>
      </c>
      <c r="F171" s="20">
        <v>100.938</v>
      </c>
      <c r="G171" s="20">
        <v>100.59</v>
      </c>
      <c r="H171" s="20">
        <v>100.43769999999999</v>
      </c>
      <c r="I171" s="49">
        <f t="shared" si="75"/>
        <v>5.625</v>
      </c>
      <c r="J171" s="20">
        <v>101.3022</v>
      </c>
      <c r="K171" s="20">
        <v>101.2351</v>
      </c>
      <c r="L171" s="20">
        <v>101.2089</v>
      </c>
      <c r="M171" s="20">
        <v>101.1853</v>
      </c>
      <c r="N171" s="20">
        <v>100.61069999999999</v>
      </c>
      <c r="O171" s="27">
        <v>100.00149999999999</v>
      </c>
      <c r="P171" s="736"/>
      <c r="Q171" s="4"/>
      <c r="R171" s="4" t="s">
        <v>103</v>
      </c>
      <c r="S171" s="681">
        <v>2.5000000000000001E-2</v>
      </c>
      <c r="T171" s="44"/>
      <c r="U171" s="44" t="s">
        <v>378</v>
      </c>
      <c r="V171" s="114">
        <v>0.1</v>
      </c>
      <c r="W171" s="484" t="s">
        <v>511</v>
      </c>
      <c r="X171" s="43"/>
      <c r="Y171" s="485">
        <v>0.15</v>
      </c>
      <c r="Z171" s="737"/>
    </row>
    <row r="172" spans="2:26" ht="21.95" customHeight="1" x14ac:dyDescent="0.2">
      <c r="B172" s="26">
        <v>5.99</v>
      </c>
      <c r="C172" s="20">
        <f t="shared" si="74"/>
        <v>101.9033</v>
      </c>
      <c r="D172" s="20">
        <v>101.8783</v>
      </c>
      <c r="E172" s="20">
        <v>101.71690000000001</v>
      </c>
      <c r="F172" s="20">
        <v>101.4659</v>
      </c>
      <c r="G172" s="20">
        <v>101.11789999999999</v>
      </c>
      <c r="H172" s="20">
        <v>100.9156</v>
      </c>
      <c r="I172" s="49">
        <f t="shared" si="75"/>
        <v>5.75</v>
      </c>
      <c r="J172" s="20">
        <v>100.84479999999999</v>
      </c>
      <c r="K172" s="20">
        <v>100.8128</v>
      </c>
      <c r="L172" s="20">
        <v>100.7754</v>
      </c>
      <c r="M172" s="20">
        <v>100.7924</v>
      </c>
      <c r="N172" s="20">
        <v>100.2368</v>
      </c>
      <c r="O172" s="27">
        <v>99.606700000000004</v>
      </c>
      <c r="P172" s="736"/>
      <c r="Q172" s="4"/>
      <c r="R172" s="4" t="s">
        <v>104</v>
      </c>
      <c r="S172" s="681">
        <v>0.1</v>
      </c>
      <c r="T172" s="44"/>
      <c r="U172" s="44" t="s">
        <v>379</v>
      </c>
      <c r="V172" s="114">
        <v>-2.5000000000000001E-2</v>
      </c>
      <c r="W172" s="114"/>
      <c r="X172" s="4"/>
      <c r="Y172" s="4"/>
      <c r="Z172" s="737"/>
    </row>
    <row r="173" spans="2:26" ht="21.95" customHeight="1" x14ac:dyDescent="0.2">
      <c r="B173" s="26">
        <v>6.125</v>
      </c>
      <c r="C173" s="20">
        <f t="shared" si="74"/>
        <v>102.49180000000001</v>
      </c>
      <c r="D173" s="20">
        <v>102.46680000000001</v>
      </c>
      <c r="E173" s="20">
        <v>102.30550000000001</v>
      </c>
      <c r="F173" s="20">
        <v>102.0545</v>
      </c>
      <c r="G173" s="20">
        <v>101.68639999999999</v>
      </c>
      <c r="H173" s="20">
        <v>101.4841</v>
      </c>
      <c r="I173" s="49">
        <f t="shared" si="75"/>
        <v>5.875</v>
      </c>
      <c r="J173" s="20">
        <v>101.1996</v>
      </c>
      <c r="K173" s="20">
        <v>101.16759999999999</v>
      </c>
      <c r="L173" s="20">
        <v>101.1302</v>
      </c>
      <c r="M173" s="20">
        <v>101.1472</v>
      </c>
      <c r="N173" s="20">
        <v>100.5915</v>
      </c>
      <c r="O173" s="27">
        <v>99.961500000000001</v>
      </c>
      <c r="P173" s="736"/>
      <c r="Q173" s="4"/>
      <c r="R173" s="479" t="s">
        <v>162</v>
      </c>
      <c r="S173" s="682">
        <v>0.15</v>
      </c>
      <c r="T173" s="44"/>
      <c r="U173" s="44" t="s">
        <v>382</v>
      </c>
      <c r="V173" s="114">
        <v>-0.05</v>
      </c>
      <c r="W173" s="114"/>
      <c r="X173" s="4"/>
      <c r="Y173" s="4"/>
      <c r="Z173" s="737"/>
    </row>
    <row r="174" spans="2:26" ht="21.95" customHeight="1" x14ac:dyDescent="0.2">
      <c r="B174" s="26">
        <v>6.25</v>
      </c>
      <c r="C174" s="20">
        <f t="shared" si="74"/>
        <v>102.44220000000001</v>
      </c>
      <c r="D174" s="20">
        <v>102.41720000000001</v>
      </c>
      <c r="E174" s="20">
        <v>102.24480000000001</v>
      </c>
      <c r="F174" s="20">
        <v>101.97850000000001</v>
      </c>
      <c r="G174" s="20">
        <v>101.70180000000001</v>
      </c>
      <c r="H174" s="20">
        <v>101.5853</v>
      </c>
      <c r="I174" s="49">
        <f t="shared" si="75"/>
        <v>6</v>
      </c>
      <c r="J174" s="20">
        <v>101.5377</v>
      </c>
      <c r="K174" s="20">
        <v>101.5057</v>
      </c>
      <c r="L174" s="20">
        <v>101.4683</v>
      </c>
      <c r="M174" s="20">
        <v>101.4853</v>
      </c>
      <c r="N174" s="20">
        <v>100.9297</v>
      </c>
      <c r="O174" s="27">
        <v>100.2996</v>
      </c>
      <c r="P174" s="736"/>
      <c r="Q174" s="84"/>
      <c r="R174" s="44" t="s">
        <v>383</v>
      </c>
      <c r="S174" s="681">
        <v>0</v>
      </c>
      <c r="T174" s="44"/>
      <c r="U174" s="44" t="s">
        <v>385</v>
      </c>
      <c r="V174" s="114">
        <v>0.05</v>
      </c>
      <c r="W174" s="44"/>
      <c r="X174" s="44"/>
      <c r="Y174" s="44"/>
      <c r="Z174" s="45"/>
    </row>
    <row r="175" spans="2:26" ht="21.95" customHeight="1" x14ac:dyDescent="0.2">
      <c r="B175" s="26">
        <v>6.375</v>
      </c>
      <c r="C175" s="20">
        <f t="shared" si="74"/>
        <v>102.8579</v>
      </c>
      <c r="D175" s="20">
        <v>102.8329</v>
      </c>
      <c r="E175" s="20">
        <v>102.66040000000001</v>
      </c>
      <c r="F175" s="20">
        <v>102.3942</v>
      </c>
      <c r="G175" s="20">
        <v>102.1375</v>
      </c>
      <c r="H175" s="20">
        <v>102.071</v>
      </c>
      <c r="I175" s="49">
        <f t="shared" si="75"/>
        <v>6.125</v>
      </c>
      <c r="J175" s="20">
        <v>101.8686</v>
      </c>
      <c r="K175" s="20">
        <v>101.8366</v>
      </c>
      <c r="L175" s="20">
        <v>101.7992</v>
      </c>
      <c r="M175" s="20">
        <v>101.81619999999999</v>
      </c>
      <c r="N175" s="20">
        <v>101.2606</v>
      </c>
      <c r="O175" s="27">
        <v>100.6305</v>
      </c>
      <c r="P175" s="736"/>
      <c r="Q175" s="84"/>
      <c r="R175" s="44"/>
      <c r="S175" s="44"/>
      <c r="T175" s="44"/>
      <c r="U175" s="44"/>
      <c r="V175" s="44"/>
      <c r="W175" s="44"/>
      <c r="X175" s="44"/>
      <c r="Y175" s="44"/>
      <c r="Z175" s="45"/>
    </row>
    <row r="176" spans="2:26" ht="21.95" customHeight="1" x14ac:dyDescent="0.2">
      <c r="B176" s="26">
        <v>6.5</v>
      </c>
      <c r="C176" s="20">
        <f t="shared" si="74"/>
        <v>103.3811</v>
      </c>
      <c r="D176" s="20">
        <v>103.3561</v>
      </c>
      <c r="E176" s="20">
        <v>103.18360000000001</v>
      </c>
      <c r="F176" s="20">
        <v>102.9174</v>
      </c>
      <c r="G176" s="20">
        <v>102.66069999999999</v>
      </c>
      <c r="H176" s="20">
        <v>102.5942</v>
      </c>
      <c r="I176" s="49">
        <f t="shared" si="75"/>
        <v>6.25</v>
      </c>
      <c r="J176" s="20">
        <v>101.35769999999999</v>
      </c>
      <c r="K176" s="20">
        <v>101.2358</v>
      </c>
      <c r="L176" s="20">
        <v>101.18729999999999</v>
      </c>
      <c r="M176" s="20">
        <v>101.29179999999999</v>
      </c>
      <c r="N176" s="20">
        <v>100.78740000000001</v>
      </c>
      <c r="O176" s="27">
        <v>100.1366</v>
      </c>
      <c r="P176" s="736"/>
      <c r="Q176" s="109"/>
      <c r="R176" s="109" t="s">
        <v>82</v>
      </c>
      <c r="S176" s="110"/>
      <c r="T176" s="110"/>
      <c r="U176" s="110"/>
      <c r="V176" s="110"/>
      <c r="W176" s="110"/>
      <c r="X176" s="109"/>
      <c r="Y176" s="109"/>
      <c r="Z176" s="111"/>
    </row>
    <row r="177" spans="2:26" ht="21.95" customHeight="1" x14ac:dyDescent="0.2">
      <c r="B177" s="26">
        <v>6.625</v>
      </c>
      <c r="C177" s="20">
        <f t="shared" si="74"/>
        <v>103.80460000000001</v>
      </c>
      <c r="D177" s="20">
        <v>103.7796</v>
      </c>
      <c r="E177" s="20">
        <v>103.6071</v>
      </c>
      <c r="F177" s="20">
        <v>103.3409</v>
      </c>
      <c r="G177" s="20">
        <v>103.0641</v>
      </c>
      <c r="H177" s="20">
        <v>102.9477</v>
      </c>
      <c r="I177" s="49">
        <f t="shared" si="75"/>
        <v>6.375</v>
      </c>
      <c r="J177" s="20">
        <v>101.69329999999999</v>
      </c>
      <c r="K177" s="20">
        <v>101.5714</v>
      </c>
      <c r="L177" s="20">
        <v>101.523</v>
      </c>
      <c r="M177" s="20">
        <v>101.62739999999999</v>
      </c>
      <c r="N177" s="20">
        <v>101.123</v>
      </c>
      <c r="O177" s="27">
        <v>100.4722</v>
      </c>
      <c r="P177" s="736"/>
      <c r="Q177" s="84"/>
      <c r="R177" s="515"/>
      <c r="S177" s="116"/>
      <c r="T177" s="116"/>
      <c r="U177" s="118"/>
      <c r="V177" s="116" t="s">
        <v>206</v>
      </c>
      <c r="W177" s="44"/>
      <c r="X177" s="44"/>
      <c r="Y177" s="44"/>
      <c r="Z177" s="384"/>
    </row>
    <row r="178" spans="2:26" ht="21.95" customHeight="1" x14ac:dyDescent="0.2">
      <c r="B178" s="26">
        <v>6.75</v>
      </c>
      <c r="C178" s="20">
        <f t="shared" si="74"/>
        <v>104.1782</v>
      </c>
      <c r="D178" s="20">
        <v>104.1532</v>
      </c>
      <c r="E178" s="20">
        <v>103.9696</v>
      </c>
      <c r="F178" s="20">
        <v>103.688</v>
      </c>
      <c r="G178" s="20">
        <v>103.36199999999999</v>
      </c>
      <c r="H178" s="20">
        <v>103.21679999999999</v>
      </c>
      <c r="I178" s="49">
        <f t="shared" si="75"/>
        <v>6.5</v>
      </c>
      <c r="J178" s="20">
        <v>102.015</v>
      </c>
      <c r="K178" s="20">
        <v>101.8931</v>
      </c>
      <c r="L178" s="20">
        <v>101.8446</v>
      </c>
      <c r="M178" s="20">
        <v>101.9491</v>
      </c>
      <c r="N178" s="20">
        <v>101.4447</v>
      </c>
      <c r="O178" s="27">
        <v>100.7938</v>
      </c>
      <c r="P178" s="736"/>
      <c r="Q178" s="84"/>
      <c r="R178" s="213" t="s">
        <v>93</v>
      </c>
      <c r="S178" s="114"/>
      <c r="T178" s="361"/>
      <c r="U178" s="361"/>
      <c r="V178" s="361">
        <v>-0.5</v>
      </c>
      <c r="W178" s="44"/>
      <c r="X178" s="213"/>
      <c r="Y178" s="213"/>
      <c r="Z178" s="385"/>
    </row>
    <row r="179" spans="2:26" ht="21.95" customHeight="1" x14ac:dyDescent="0.2">
      <c r="B179" s="26">
        <v>6.875</v>
      </c>
      <c r="C179" s="20">
        <f t="shared" si="74"/>
        <v>104.61030000000001</v>
      </c>
      <c r="D179" s="20">
        <v>104.5853</v>
      </c>
      <c r="E179" s="20">
        <v>104.40170000000001</v>
      </c>
      <c r="F179" s="20">
        <v>104.1202</v>
      </c>
      <c r="G179" s="20">
        <v>103.7942</v>
      </c>
      <c r="H179" s="20">
        <v>103.649</v>
      </c>
      <c r="I179" s="49"/>
      <c r="J179" s="20"/>
      <c r="K179" s="20"/>
      <c r="L179" s="20"/>
      <c r="M179" s="20"/>
      <c r="N179" s="20"/>
      <c r="O179" s="27"/>
      <c r="P179" s="736"/>
      <c r="Q179" s="84"/>
      <c r="R179" s="213" t="s">
        <v>94</v>
      </c>
      <c r="S179" s="517"/>
      <c r="T179" s="361"/>
      <c r="U179" s="361"/>
      <c r="V179" s="361">
        <v>0</v>
      </c>
      <c r="W179" s="44"/>
      <c r="X179" s="213"/>
      <c r="Y179" s="213"/>
      <c r="Z179" s="385"/>
    </row>
    <row r="180" spans="2:26" ht="21.95" customHeight="1" x14ac:dyDescent="0.2">
      <c r="B180" s="26">
        <v>7</v>
      </c>
      <c r="C180" s="20">
        <f t="shared" si="74"/>
        <v>105.05730000000001</v>
      </c>
      <c r="D180" s="20">
        <v>105.03230000000001</v>
      </c>
      <c r="E180" s="20">
        <v>104.84870000000001</v>
      </c>
      <c r="F180" s="20">
        <v>104.5672</v>
      </c>
      <c r="G180" s="20">
        <v>104.24119999999999</v>
      </c>
      <c r="H180" s="20">
        <v>104.096</v>
      </c>
      <c r="I180" s="49"/>
      <c r="J180" s="20"/>
      <c r="K180" s="20"/>
      <c r="L180" s="20"/>
      <c r="M180" s="20"/>
      <c r="N180" s="20"/>
      <c r="O180" s="27"/>
      <c r="P180" s="736"/>
      <c r="Q180" s="84"/>
      <c r="R180" s="213" t="s">
        <v>79</v>
      </c>
      <c r="S180" s="526"/>
      <c r="T180" s="361"/>
      <c r="U180" s="361"/>
      <c r="V180" s="361">
        <v>2.5000000000000001E-2</v>
      </c>
      <c r="W180" s="44"/>
      <c r="X180" s="213"/>
      <c r="Y180" s="213"/>
      <c r="Z180" s="385"/>
    </row>
    <row r="181" spans="2:26" ht="21.95" customHeight="1" x14ac:dyDescent="0.2">
      <c r="B181" s="26">
        <v>7.125</v>
      </c>
      <c r="C181" s="20">
        <f t="shared" si="74"/>
        <v>105.29570000000001</v>
      </c>
      <c r="D181" s="20">
        <v>105.27070000000001</v>
      </c>
      <c r="E181" s="20">
        <v>105.08710000000001</v>
      </c>
      <c r="F181" s="20">
        <v>104.80550000000001</v>
      </c>
      <c r="G181" s="20">
        <v>104.4795</v>
      </c>
      <c r="H181" s="20">
        <v>104.3343</v>
      </c>
      <c r="I181" s="94"/>
      <c r="J181" s="747"/>
      <c r="K181" s="747"/>
      <c r="L181" s="747"/>
      <c r="M181" s="747"/>
      <c r="N181" s="747"/>
      <c r="O181" s="748"/>
      <c r="P181" s="736"/>
      <c r="Q181" s="4"/>
      <c r="R181" s="213" t="s">
        <v>164</v>
      </c>
      <c r="S181" s="526"/>
      <c r="T181" s="361"/>
      <c r="U181" s="361"/>
      <c r="V181" s="361">
        <v>0.05</v>
      </c>
      <c r="W181" s="44"/>
      <c r="X181" s="213"/>
      <c r="Y181" s="213"/>
      <c r="Z181" s="385"/>
    </row>
    <row r="182" spans="2:26" ht="21.95" customHeight="1" x14ac:dyDescent="0.25">
      <c r="B182" s="997" t="s">
        <v>31</v>
      </c>
      <c r="C182" s="998"/>
      <c r="D182" s="998"/>
      <c r="E182" s="998"/>
      <c r="F182" s="998"/>
      <c r="G182" s="998"/>
      <c r="H182" s="999"/>
      <c r="I182" s="997" t="s">
        <v>513</v>
      </c>
      <c r="J182" s="998"/>
      <c r="K182" s="998"/>
      <c r="L182" s="998"/>
      <c r="M182" s="998"/>
      <c r="N182" s="998"/>
      <c r="O182" s="999"/>
      <c r="P182" s="4"/>
      <c r="Q182" s="4"/>
      <c r="R182" s="213" t="s">
        <v>102</v>
      </c>
      <c r="S182" s="526"/>
      <c r="T182" s="363"/>
      <c r="U182" s="363"/>
      <c r="V182" s="363">
        <v>7.4999999999999997E-2</v>
      </c>
      <c r="W182" s="44"/>
      <c r="X182" s="213"/>
      <c r="Y182" s="213"/>
      <c r="Z182" s="386"/>
    </row>
    <row r="183" spans="2:26" ht="21.95" customHeight="1" x14ac:dyDescent="0.2">
      <c r="B183" s="372" t="s">
        <v>4</v>
      </c>
      <c r="C183" s="353" t="s">
        <v>434</v>
      </c>
      <c r="D183" s="353" t="s">
        <v>5</v>
      </c>
      <c r="E183" s="353" t="s">
        <v>6</v>
      </c>
      <c r="F183" s="353" t="s">
        <v>75</v>
      </c>
      <c r="G183" s="353" t="s">
        <v>302</v>
      </c>
      <c r="H183" s="367" t="s">
        <v>303</v>
      </c>
      <c r="I183" s="372" t="s">
        <v>4</v>
      </c>
      <c r="J183" s="353" t="s">
        <v>434</v>
      </c>
      <c r="K183" s="353" t="s">
        <v>5</v>
      </c>
      <c r="L183" s="353" t="s">
        <v>6</v>
      </c>
      <c r="M183" s="353" t="s">
        <v>75</v>
      </c>
      <c r="N183" s="353" t="s">
        <v>302</v>
      </c>
      <c r="O183" s="367" t="s">
        <v>303</v>
      </c>
      <c r="P183" s="4"/>
      <c r="Q183" s="4"/>
      <c r="R183" s="213" t="s">
        <v>482</v>
      </c>
      <c r="S183" s="517"/>
      <c r="T183" s="363"/>
      <c r="U183" s="363"/>
      <c r="V183" s="363">
        <v>0.1</v>
      </c>
      <c r="W183" s="44"/>
      <c r="X183" s="213"/>
      <c r="Y183" s="213"/>
      <c r="Z183" s="386"/>
    </row>
    <row r="184" spans="2:26" ht="21.95" customHeight="1" x14ac:dyDescent="0.2">
      <c r="B184" s="744">
        <f>B162</f>
        <v>4.75</v>
      </c>
      <c r="C184" s="20">
        <f>D184+0.025</f>
        <v>96.073100000000011</v>
      </c>
      <c r="D184" s="20">
        <v>96.048100000000005</v>
      </c>
      <c r="E184" s="20">
        <v>95.909000000000006</v>
      </c>
      <c r="F184" s="20">
        <v>95.688600000000008</v>
      </c>
      <c r="G184" s="20">
        <v>95.125199999999992</v>
      </c>
      <c r="H184" s="27">
        <v>94.6982</v>
      </c>
      <c r="I184" s="746">
        <v>5.5</v>
      </c>
      <c r="J184" s="20">
        <f>K184+0.025</f>
        <v>99.348000000000013</v>
      </c>
      <c r="K184" s="20">
        <v>99.323000000000008</v>
      </c>
      <c r="L184" s="20">
        <v>99.226000000000013</v>
      </c>
      <c r="M184" s="20">
        <v>99.04</v>
      </c>
      <c r="N184" s="20">
        <v>98.829000000000008</v>
      </c>
      <c r="O184" s="27">
        <v>98.459000000000003</v>
      </c>
      <c r="P184" s="84"/>
      <c r="Q184" s="84"/>
      <c r="R184" s="291" t="s">
        <v>483</v>
      </c>
      <c r="S184" s="529"/>
      <c r="T184" s="378"/>
      <c r="U184" s="378"/>
      <c r="V184" s="378">
        <v>0</v>
      </c>
      <c r="W184" s="44"/>
      <c r="X184" s="213"/>
      <c r="Y184" s="213"/>
      <c r="Z184" s="386"/>
    </row>
    <row r="185" spans="2:26" ht="21.95" customHeight="1" x14ac:dyDescent="0.2">
      <c r="B185" s="745">
        <f t="shared" ref="B185:B199" si="76">B163</f>
        <v>4.875</v>
      </c>
      <c r="C185" s="20">
        <f t="shared" ref="C185:C199" si="77">D185+0.025</f>
        <v>96.717800000000011</v>
      </c>
      <c r="D185" s="20">
        <v>96.692800000000005</v>
      </c>
      <c r="E185" s="20">
        <v>96.553700000000006</v>
      </c>
      <c r="F185" s="20">
        <v>96.333200000000005</v>
      </c>
      <c r="G185" s="20">
        <v>95.769899999999993</v>
      </c>
      <c r="H185" s="27">
        <v>95.3429</v>
      </c>
      <c r="I185" s="49">
        <v>5.625</v>
      </c>
      <c r="J185" s="20">
        <f t="shared" ref="J185:J193" si="78">K185+0.025</f>
        <v>99.77200000000002</v>
      </c>
      <c r="K185" s="20">
        <v>99.747000000000014</v>
      </c>
      <c r="L185" s="20">
        <v>99.65</v>
      </c>
      <c r="M185" s="20">
        <v>99.464000000000013</v>
      </c>
      <c r="N185" s="20">
        <v>99.254000000000005</v>
      </c>
      <c r="O185" s="27">
        <v>98.88300000000001</v>
      </c>
      <c r="P185" s="84"/>
      <c r="Q185" s="84"/>
      <c r="R185" s="291" t="s">
        <v>435</v>
      </c>
      <c r="S185" s="529"/>
      <c r="T185" s="378"/>
      <c r="U185" s="378"/>
      <c r="V185" s="378">
        <v>-0.5</v>
      </c>
      <c r="W185" s="44"/>
      <c r="X185" s="4"/>
      <c r="Y185" s="517"/>
      <c r="Z185" s="388"/>
    </row>
    <row r="186" spans="2:26" ht="21.95" customHeight="1" x14ac:dyDescent="0.2">
      <c r="B186" s="745">
        <f t="shared" si="76"/>
        <v>5</v>
      </c>
      <c r="C186" s="20">
        <f t="shared" si="77"/>
        <v>97.436900000000009</v>
      </c>
      <c r="D186" s="20">
        <v>97.411900000000003</v>
      </c>
      <c r="E186" s="20">
        <v>97.272800000000004</v>
      </c>
      <c r="F186" s="20">
        <v>97.052300000000002</v>
      </c>
      <c r="G186" s="20">
        <v>96.489000000000004</v>
      </c>
      <c r="H186" s="27">
        <v>96.061999999999998</v>
      </c>
      <c r="I186" s="49">
        <v>5.75</v>
      </c>
      <c r="J186" s="20">
        <f t="shared" si="78"/>
        <v>100.00500000000001</v>
      </c>
      <c r="K186" s="20">
        <v>99.98</v>
      </c>
      <c r="L186" s="20">
        <v>99.88300000000001</v>
      </c>
      <c r="M186" s="20">
        <v>99.697000000000003</v>
      </c>
      <c r="N186" s="20">
        <v>99.487000000000009</v>
      </c>
      <c r="O186" s="27">
        <v>99.116000000000014</v>
      </c>
      <c r="P186" s="84"/>
      <c r="Q186" s="84"/>
      <c r="R186" s="291" t="s">
        <v>484</v>
      </c>
      <c r="S186" s="529"/>
      <c r="T186" s="378"/>
      <c r="U186" s="378"/>
      <c r="V186" s="378">
        <v>-1.5</v>
      </c>
      <c r="W186" s="44"/>
      <c r="X186" s="122"/>
      <c r="Y186" s="122"/>
      <c r="Z186" s="124"/>
    </row>
    <row r="187" spans="2:26" ht="21.95" customHeight="1" x14ac:dyDescent="0.2">
      <c r="B187" s="745">
        <f t="shared" si="76"/>
        <v>5.125</v>
      </c>
      <c r="C187" s="20">
        <f t="shared" si="77"/>
        <v>97.908200000000008</v>
      </c>
      <c r="D187" s="20">
        <v>97.883200000000002</v>
      </c>
      <c r="E187" s="20">
        <v>97.744</v>
      </c>
      <c r="F187" s="20">
        <v>97.523600000000002</v>
      </c>
      <c r="G187" s="20">
        <v>96.9602</v>
      </c>
      <c r="H187" s="27">
        <v>96.533299999999997</v>
      </c>
      <c r="I187" s="49">
        <v>5.875</v>
      </c>
      <c r="J187" s="20">
        <f t="shared" si="78"/>
        <v>100.373</v>
      </c>
      <c r="K187" s="20">
        <v>100.348</v>
      </c>
      <c r="L187" s="20">
        <v>100.267</v>
      </c>
      <c r="M187" s="20">
        <v>100.083</v>
      </c>
      <c r="N187" s="20">
        <v>99.872</v>
      </c>
      <c r="O187" s="27">
        <v>99.501000000000005</v>
      </c>
      <c r="P187" s="84"/>
      <c r="Q187" s="109"/>
      <c r="R187" s="109" t="s">
        <v>28</v>
      </c>
      <c r="S187" s="110"/>
      <c r="T187" s="110"/>
      <c r="U187" s="110"/>
      <c r="V187" s="110"/>
      <c r="W187" s="110"/>
      <c r="X187" s="109"/>
      <c r="Y187" s="109"/>
      <c r="Z187" s="111"/>
    </row>
    <row r="188" spans="2:26" ht="21.95" customHeight="1" x14ac:dyDescent="0.2">
      <c r="B188" s="745">
        <f t="shared" si="76"/>
        <v>5.25</v>
      </c>
      <c r="C188" s="20">
        <f t="shared" si="77"/>
        <v>98.881500000000003</v>
      </c>
      <c r="D188" s="20">
        <v>98.856499999999997</v>
      </c>
      <c r="E188" s="20">
        <v>98.70620000000001</v>
      </c>
      <c r="F188" s="20">
        <v>98.470500000000001</v>
      </c>
      <c r="G188" s="20">
        <v>98.044299999999993</v>
      </c>
      <c r="H188" s="27">
        <v>97.592600000000004</v>
      </c>
      <c r="I188" s="49">
        <v>6</v>
      </c>
      <c r="J188" s="20">
        <f t="shared" si="78"/>
        <v>101.01</v>
      </c>
      <c r="K188" s="20">
        <v>100.985</v>
      </c>
      <c r="L188" s="20">
        <v>100.904</v>
      </c>
      <c r="M188" s="20">
        <v>100.71899999999999</v>
      </c>
      <c r="N188" s="20">
        <v>100.509</v>
      </c>
      <c r="O188" s="27">
        <v>100.13800000000001</v>
      </c>
      <c r="P188" s="84"/>
      <c r="Q188" s="84"/>
      <c r="R188" s="114" t="s">
        <v>8</v>
      </c>
      <c r="S188" s="114"/>
      <c r="T188" s="114"/>
      <c r="U188" s="114"/>
      <c r="V188" s="65">
        <v>0</v>
      </c>
      <c r="W188" s="44"/>
      <c r="X188" s="114"/>
      <c r="Y188" s="114"/>
      <c r="Z188" s="389"/>
    </row>
    <row r="189" spans="2:26" ht="21.95" customHeight="1" x14ac:dyDescent="0.2">
      <c r="B189" s="745">
        <f t="shared" si="76"/>
        <v>5.375</v>
      </c>
      <c r="C189" s="20">
        <f t="shared" si="77"/>
        <v>99.535700000000006</v>
      </c>
      <c r="D189" s="20">
        <v>99.5107</v>
      </c>
      <c r="E189" s="20">
        <v>99.360400000000013</v>
      </c>
      <c r="F189" s="20">
        <v>99.124700000000004</v>
      </c>
      <c r="G189" s="20">
        <v>98.698499999999996</v>
      </c>
      <c r="H189" s="27">
        <v>98.246799999999993</v>
      </c>
      <c r="I189" s="49">
        <v>6.125</v>
      </c>
      <c r="J189" s="20">
        <f t="shared" si="78"/>
        <v>101.40400000000001</v>
      </c>
      <c r="K189" s="20">
        <v>101.379</v>
      </c>
      <c r="L189" s="20">
        <v>101.298</v>
      </c>
      <c r="M189" s="20">
        <v>101.113</v>
      </c>
      <c r="N189" s="20">
        <v>100.90300000000001</v>
      </c>
      <c r="O189" s="27">
        <v>100.532</v>
      </c>
      <c r="P189" s="84"/>
      <c r="Q189" s="84"/>
      <c r="R189" s="114" t="s">
        <v>9</v>
      </c>
      <c r="S189" s="114"/>
      <c r="T189" s="114"/>
      <c r="U189" s="114"/>
      <c r="V189" s="65">
        <v>-1</v>
      </c>
      <c r="W189" s="44"/>
      <c r="X189" s="114"/>
      <c r="Y189" s="114"/>
      <c r="Z189" s="389"/>
    </row>
    <row r="190" spans="2:26" ht="21.95" customHeight="1" x14ac:dyDescent="0.2">
      <c r="B190" s="745">
        <f t="shared" si="76"/>
        <v>5.5</v>
      </c>
      <c r="C190" s="20">
        <f t="shared" si="77"/>
        <v>100.17420000000001</v>
      </c>
      <c r="D190" s="20">
        <v>100.14920000000001</v>
      </c>
      <c r="E190" s="20">
        <v>99.999000000000009</v>
      </c>
      <c r="F190" s="20">
        <v>99.763300000000001</v>
      </c>
      <c r="G190" s="20">
        <v>99.257099999999994</v>
      </c>
      <c r="H190" s="27">
        <v>98.805399999999992</v>
      </c>
      <c r="I190" s="49">
        <v>6.25</v>
      </c>
      <c r="J190" s="20">
        <f t="shared" si="78"/>
        <v>101.56200000000001</v>
      </c>
      <c r="K190" s="20">
        <v>101.53700000000001</v>
      </c>
      <c r="L190" s="20">
        <v>101.45700000000001</v>
      </c>
      <c r="M190" s="20">
        <v>101.27200000000001</v>
      </c>
      <c r="N190" s="20">
        <v>101.06100000000001</v>
      </c>
      <c r="O190" s="27">
        <v>100.69000000000001</v>
      </c>
      <c r="P190" s="84"/>
      <c r="Q190" s="84"/>
      <c r="R190" s="114" t="s">
        <v>92</v>
      </c>
      <c r="S190" s="114"/>
      <c r="T190" s="114"/>
      <c r="U190" s="114"/>
      <c r="V190" s="65">
        <v>-0.25</v>
      </c>
      <c r="W190" s="44"/>
      <c r="X190" s="114"/>
      <c r="Y190" s="114"/>
      <c r="Z190" s="389"/>
    </row>
    <row r="191" spans="2:26" ht="21.95" customHeight="1" x14ac:dyDescent="0.2">
      <c r="B191" s="745">
        <f t="shared" si="76"/>
        <v>5.625</v>
      </c>
      <c r="C191" s="20">
        <f t="shared" si="77"/>
        <v>100.74520000000001</v>
      </c>
      <c r="D191" s="20">
        <v>100.72020000000001</v>
      </c>
      <c r="E191" s="20">
        <v>100.57000000000001</v>
      </c>
      <c r="F191" s="20">
        <v>100.3343</v>
      </c>
      <c r="G191" s="20">
        <v>99.727999999999994</v>
      </c>
      <c r="H191" s="27">
        <v>99.276399999999995</v>
      </c>
      <c r="I191" s="49">
        <v>6.375</v>
      </c>
      <c r="J191" s="20">
        <f t="shared" si="78"/>
        <v>101.43300000000002</v>
      </c>
      <c r="K191" s="20">
        <v>101.40800000000002</v>
      </c>
      <c r="L191" s="20">
        <v>101.36000000000001</v>
      </c>
      <c r="M191" s="20">
        <v>101.21700000000001</v>
      </c>
      <c r="N191" s="20">
        <v>101.04900000000001</v>
      </c>
      <c r="O191" s="27">
        <v>100.64000000000001</v>
      </c>
      <c r="P191" s="84"/>
      <c r="Q191" s="84"/>
      <c r="R191" s="530" t="s">
        <v>518</v>
      </c>
      <c r="S191" s="530"/>
      <c r="T191" s="530"/>
      <c r="U191" s="530"/>
      <c r="V191" s="531">
        <v>-0.5</v>
      </c>
      <c r="W191" s="44"/>
      <c r="X191" s="114"/>
      <c r="Y191" s="114"/>
      <c r="Z191" s="389"/>
    </row>
    <row r="192" spans="2:26" ht="21.95" customHeight="1" x14ac:dyDescent="0.2">
      <c r="B192" s="745">
        <f t="shared" si="76"/>
        <v>5.75</v>
      </c>
      <c r="C192" s="20">
        <f t="shared" si="77"/>
        <v>100.96860000000001</v>
      </c>
      <c r="D192" s="20">
        <v>100.9436</v>
      </c>
      <c r="E192" s="20">
        <v>100.7822</v>
      </c>
      <c r="F192" s="20">
        <v>100.5313</v>
      </c>
      <c r="G192" s="20">
        <v>100.0432</v>
      </c>
      <c r="H192" s="27">
        <v>99.590899999999991</v>
      </c>
      <c r="I192" s="49">
        <v>6.5</v>
      </c>
      <c r="J192" s="20">
        <f t="shared" si="78"/>
        <v>102.01900000000002</v>
      </c>
      <c r="K192" s="20">
        <v>101.99400000000001</v>
      </c>
      <c r="L192" s="20">
        <v>101.94500000000001</v>
      </c>
      <c r="M192" s="20">
        <v>101.80200000000001</v>
      </c>
      <c r="N192" s="20">
        <v>101.63500000000001</v>
      </c>
      <c r="O192" s="27">
        <v>101.22600000000001</v>
      </c>
      <c r="P192" s="84"/>
      <c r="Q192" s="84"/>
      <c r="R192" s="114" t="s">
        <v>27</v>
      </c>
      <c r="S192" s="114" t="s">
        <v>29</v>
      </c>
      <c r="T192" s="114" t="s">
        <v>105</v>
      </c>
      <c r="U192" s="114"/>
      <c r="V192" s="65" t="s">
        <v>77</v>
      </c>
      <c r="W192" s="44"/>
      <c r="X192" s="114"/>
      <c r="Y192" s="114"/>
      <c r="Z192" s="389"/>
    </row>
    <row r="193" spans="2:26" ht="21.95" customHeight="1" x14ac:dyDescent="0.2">
      <c r="B193" s="745">
        <f t="shared" si="76"/>
        <v>5.875</v>
      </c>
      <c r="C193" s="20">
        <f t="shared" si="77"/>
        <v>101.42540000000001</v>
      </c>
      <c r="D193" s="20">
        <v>101.4004</v>
      </c>
      <c r="E193" s="20">
        <v>101.239</v>
      </c>
      <c r="F193" s="20">
        <v>100.988</v>
      </c>
      <c r="G193" s="20">
        <v>100.53</v>
      </c>
      <c r="H193" s="27">
        <v>100.07769999999999</v>
      </c>
      <c r="I193" s="49">
        <v>6.625</v>
      </c>
      <c r="J193" s="20">
        <f t="shared" si="78"/>
        <v>102.36200000000001</v>
      </c>
      <c r="K193" s="20">
        <v>102.337</v>
      </c>
      <c r="L193" s="20">
        <v>102.28800000000001</v>
      </c>
      <c r="M193" s="20">
        <v>102.14500000000001</v>
      </c>
      <c r="N193" s="20">
        <v>101.97800000000001</v>
      </c>
      <c r="O193" s="27">
        <v>101.569</v>
      </c>
      <c r="P193" s="84"/>
      <c r="Q193" s="84"/>
      <c r="R193" s="114" t="s">
        <v>514</v>
      </c>
      <c r="S193" s="489"/>
      <c r="T193" s="489"/>
      <c r="U193" s="489"/>
      <c r="V193" s="531">
        <v>-1.25</v>
      </c>
      <c r="W193" s="44"/>
      <c r="X193" s="114"/>
      <c r="Y193" s="114"/>
      <c r="Z193" s="389"/>
    </row>
    <row r="194" spans="2:26" ht="21.95" customHeight="1" x14ac:dyDescent="0.2">
      <c r="B194" s="745">
        <f t="shared" si="76"/>
        <v>5.99</v>
      </c>
      <c r="C194" s="20">
        <f>D194+0.025</f>
        <v>101.95330000000001</v>
      </c>
      <c r="D194" s="20">
        <v>101.92830000000001</v>
      </c>
      <c r="E194" s="20">
        <v>101.76690000000001</v>
      </c>
      <c r="F194" s="20">
        <v>101.5159</v>
      </c>
      <c r="G194" s="20">
        <v>100.9679</v>
      </c>
      <c r="H194" s="27">
        <v>100.51559999999999</v>
      </c>
      <c r="I194" s="49"/>
      <c r="J194" s="20"/>
      <c r="K194" s="20"/>
      <c r="L194" s="20"/>
      <c r="M194" s="20"/>
      <c r="N194" s="20"/>
      <c r="O194" s="27"/>
      <c r="P194" s="84"/>
      <c r="Q194" s="84"/>
      <c r="R194" s="114" t="s">
        <v>436</v>
      </c>
      <c r="S194" s="114"/>
      <c r="T194" s="81"/>
      <c r="U194" s="114"/>
      <c r="V194" s="65">
        <v>-0.125</v>
      </c>
      <c r="W194" s="44"/>
      <c r="X194" s="114"/>
      <c r="Y194" s="114"/>
      <c r="Z194" s="389"/>
    </row>
    <row r="195" spans="2:26" ht="21.95" customHeight="1" x14ac:dyDescent="0.2">
      <c r="B195" s="745">
        <f t="shared" si="76"/>
        <v>6.125</v>
      </c>
      <c r="C195" s="20">
        <f t="shared" si="77"/>
        <v>102.5818</v>
      </c>
      <c r="D195" s="20">
        <v>102.5568</v>
      </c>
      <c r="E195" s="20">
        <v>102.39550000000001</v>
      </c>
      <c r="F195" s="20">
        <v>102.14450000000001</v>
      </c>
      <c r="G195" s="20">
        <v>101.5364</v>
      </c>
      <c r="H195" s="27">
        <v>101.08409999999999</v>
      </c>
      <c r="I195" s="49"/>
      <c r="J195" s="20"/>
      <c r="K195" s="20"/>
      <c r="L195" s="20"/>
      <c r="M195" s="20"/>
      <c r="N195" s="20"/>
      <c r="O195" s="27"/>
      <c r="P195" s="4"/>
      <c r="Q195" s="4"/>
      <c r="R195" s="114" t="s">
        <v>477</v>
      </c>
      <c r="S195" s="114"/>
      <c r="T195" s="114"/>
      <c r="U195" s="114"/>
      <c r="V195" s="65">
        <v>-0.5</v>
      </c>
      <c r="W195" s="44"/>
      <c r="X195" s="122"/>
      <c r="Y195" s="122"/>
      <c r="Z195" s="124"/>
    </row>
    <row r="196" spans="2:26" ht="21.95" customHeight="1" x14ac:dyDescent="0.2">
      <c r="B196" s="745">
        <f t="shared" si="76"/>
        <v>6.25</v>
      </c>
      <c r="C196" s="20">
        <f t="shared" si="77"/>
        <v>102.51220000000001</v>
      </c>
      <c r="D196" s="20">
        <v>102.4872</v>
      </c>
      <c r="E196" s="20">
        <v>102.31480000000001</v>
      </c>
      <c r="F196" s="20">
        <v>102.0485</v>
      </c>
      <c r="G196" s="20">
        <v>101.5518</v>
      </c>
      <c r="H196" s="27">
        <v>101.1853</v>
      </c>
      <c r="I196" s="49"/>
      <c r="J196" s="20"/>
      <c r="K196" s="20"/>
      <c r="L196" s="20"/>
      <c r="M196" s="20"/>
      <c r="N196" s="20"/>
      <c r="O196" s="27"/>
      <c r="P196" s="4"/>
      <c r="Q196" s="109"/>
      <c r="R196" s="109" t="s">
        <v>33</v>
      </c>
      <c r="S196" s="110"/>
      <c r="T196" s="110"/>
      <c r="U196" s="110"/>
      <c r="V196" s="110"/>
      <c r="W196" s="110"/>
      <c r="X196" s="109"/>
      <c r="Y196" s="109"/>
      <c r="Z196" s="111"/>
    </row>
    <row r="197" spans="2:26" ht="21.95" customHeight="1" x14ac:dyDescent="0.2">
      <c r="B197" s="745">
        <f t="shared" si="76"/>
        <v>6.375</v>
      </c>
      <c r="C197" s="20">
        <f t="shared" si="77"/>
        <v>102.90790000000001</v>
      </c>
      <c r="D197" s="20">
        <v>102.88290000000001</v>
      </c>
      <c r="E197" s="20">
        <v>102.71040000000001</v>
      </c>
      <c r="F197" s="20">
        <v>102.44420000000001</v>
      </c>
      <c r="G197" s="20">
        <v>102.0475</v>
      </c>
      <c r="H197" s="27">
        <v>101.681</v>
      </c>
      <c r="I197" s="49"/>
      <c r="J197" s="20"/>
      <c r="K197" s="20"/>
      <c r="L197" s="20"/>
      <c r="M197" s="20"/>
      <c r="N197" s="20"/>
      <c r="O197" s="27"/>
      <c r="P197" s="4"/>
      <c r="Q197" s="4"/>
      <c r="R197" s="23" t="s">
        <v>15</v>
      </c>
      <c r="S197" s="23" t="s">
        <v>45</v>
      </c>
      <c r="T197" s="23"/>
      <c r="U197" s="41"/>
      <c r="V197" s="426">
        <v>0.15</v>
      </c>
      <c r="W197" s="44"/>
      <c r="X197" s="114"/>
      <c r="Y197" s="114"/>
      <c r="Z197" s="389"/>
    </row>
    <row r="198" spans="2:26" ht="21.95" customHeight="1" x14ac:dyDescent="0.2">
      <c r="B198" s="745">
        <f t="shared" si="76"/>
        <v>6.5</v>
      </c>
      <c r="C198" s="20">
        <f t="shared" si="77"/>
        <v>103.4311</v>
      </c>
      <c r="D198" s="20">
        <v>103.4061</v>
      </c>
      <c r="E198" s="20">
        <v>103.23360000000001</v>
      </c>
      <c r="F198" s="20">
        <v>102.9674</v>
      </c>
      <c r="G198" s="20">
        <v>102.5607</v>
      </c>
      <c r="H198" s="27">
        <v>102.1942</v>
      </c>
      <c r="I198" s="49"/>
      <c r="J198" s="20"/>
      <c r="K198" s="20"/>
      <c r="L198" s="20"/>
      <c r="M198" s="20"/>
      <c r="N198" s="20"/>
      <c r="O198" s="27"/>
      <c r="P198" s="4"/>
      <c r="Q198" s="4"/>
      <c r="R198" s="23" t="s">
        <v>15</v>
      </c>
      <c r="S198" s="23" t="s">
        <v>95</v>
      </c>
      <c r="T198" s="23"/>
      <c r="U198" s="41"/>
      <c r="V198" s="41">
        <v>7.4999999999999997E-2</v>
      </c>
      <c r="W198" s="44"/>
      <c r="X198" s="114"/>
      <c r="Y198" s="114"/>
      <c r="Z198" s="389"/>
    </row>
    <row r="199" spans="2:26" ht="21.95" customHeight="1" x14ac:dyDescent="0.2">
      <c r="B199" s="745">
        <f t="shared" si="76"/>
        <v>6.625</v>
      </c>
      <c r="C199" s="20">
        <f t="shared" si="77"/>
        <v>103.9046</v>
      </c>
      <c r="D199" s="20">
        <v>103.8796</v>
      </c>
      <c r="E199" s="20">
        <v>103.70710000000001</v>
      </c>
      <c r="F199" s="20">
        <v>103.4409</v>
      </c>
      <c r="G199" s="20">
        <v>102.9141</v>
      </c>
      <c r="H199" s="27">
        <v>102.5476</v>
      </c>
      <c r="I199" s="49"/>
      <c r="J199" s="20"/>
      <c r="K199" s="20"/>
      <c r="L199" s="20"/>
      <c r="M199" s="20"/>
      <c r="N199" s="20"/>
      <c r="O199" s="27"/>
      <c r="P199" s="4"/>
      <c r="Q199" s="4"/>
      <c r="R199" s="23" t="s">
        <v>15</v>
      </c>
      <c r="S199" s="23" t="s">
        <v>96</v>
      </c>
      <c r="T199" s="23"/>
      <c r="U199" s="41"/>
      <c r="V199" s="41">
        <v>7.4999999999999997E-2</v>
      </c>
      <c r="W199" s="44"/>
      <c r="X199" s="114"/>
      <c r="Y199" s="114"/>
      <c r="Z199" s="389"/>
    </row>
    <row r="200" spans="2:26" ht="21.95" customHeight="1" x14ac:dyDescent="0.2">
      <c r="B200" s="94"/>
      <c r="C200" s="38"/>
      <c r="D200" s="38"/>
      <c r="E200" s="38"/>
      <c r="F200" s="38"/>
      <c r="G200" s="38"/>
      <c r="H200" s="39"/>
      <c r="I200" s="94"/>
      <c r="J200" s="38"/>
      <c r="K200" s="38"/>
      <c r="L200" s="38"/>
      <c r="M200" s="38"/>
      <c r="N200" s="38"/>
      <c r="O200" s="39"/>
      <c r="P200" s="84"/>
      <c r="Q200" s="84"/>
      <c r="R200" s="23" t="s">
        <v>15</v>
      </c>
      <c r="S200" s="23" t="s">
        <v>97</v>
      </c>
      <c r="T200" s="23"/>
      <c r="U200" s="41"/>
      <c r="V200" s="41">
        <v>0</v>
      </c>
      <c r="W200" s="44"/>
      <c r="X200" s="114"/>
      <c r="Y200" s="114"/>
      <c r="Z200" s="389"/>
    </row>
    <row r="201" spans="2:26" ht="21.95" customHeight="1" x14ac:dyDescent="0.2">
      <c r="B201" s="953" t="s">
        <v>25</v>
      </c>
      <c r="C201" s="954"/>
      <c r="D201" s="954"/>
      <c r="E201" s="954"/>
      <c r="F201" s="954"/>
      <c r="G201" s="954"/>
      <c r="H201" s="1026"/>
      <c r="I201" s="1027" t="s">
        <v>32</v>
      </c>
      <c r="J201" s="954"/>
      <c r="K201" s="954"/>
      <c r="L201" s="954"/>
      <c r="M201" s="954"/>
      <c r="N201" s="954"/>
      <c r="O201" s="1026"/>
      <c r="P201" s="740"/>
      <c r="Q201" s="122"/>
      <c r="R201" s="23" t="s">
        <v>15</v>
      </c>
      <c r="S201" s="23" t="s">
        <v>98</v>
      </c>
      <c r="T201" s="23"/>
      <c r="U201" s="41"/>
      <c r="V201" s="41">
        <v>0</v>
      </c>
      <c r="W201" s="44"/>
      <c r="X201" s="114"/>
      <c r="Y201" s="114"/>
      <c r="Z201" s="389"/>
    </row>
    <row r="202" spans="2:26" ht="21.95" customHeight="1" x14ac:dyDescent="0.2">
      <c r="B202" s="359" t="s">
        <v>4</v>
      </c>
      <c r="C202" s="353" t="s">
        <v>434</v>
      </c>
      <c r="D202" s="353" t="s">
        <v>5</v>
      </c>
      <c r="E202" s="353" t="s">
        <v>6</v>
      </c>
      <c r="F202" s="353" t="s">
        <v>75</v>
      </c>
      <c r="G202" s="353" t="s">
        <v>302</v>
      </c>
      <c r="H202" s="367" t="s">
        <v>303</v>
      </c>
      <c r="I202" s="372" t="s">
        <v>4</v>
      </c>
      <c r="J202" s="353" t="s">
        <v>434</v>
      </c>
      <c r="K202" s="353" t="s">
        <v>5</v>
      </c>
      <c r="L202" s="353" t="s">
        <v>6</v>
      </c>
      <c r="M202" s="353" t="s">
        <v>75</v>
      </c>
      <c r="N202" s="353" t="s">
        <v>302</v>
      </c>
      <c r="O202" s="367" t="s">
        <v>303</v>
      </c>
      <c r="P202" s="740"/>
      <c r="Q202" s="122"/>
      <c r="R202" s="23" t="s">
        <v>15</v>
      </c>
      <c r="S202" s="23" t="s">
        <v>99</v>
      </c>
      <c r="T202" s="23"/>
      <c r="U202" s="41"/>
      <c r="V202" s="41">
        <v>-0.15</v>
      </c>
      <c r="W202" s="44"/>
      <c r="X202" s="84"/>
      <c r="Y202" s="114"/>
      <c r="Z202" s="389"/>
    </row>
    <row r="203" spans="2:26" ht="21.95" customHeight="1" x14ac:dyDescent="0.2">
      <c r="B203" s="26">
        <v>5</v>
      </c>
      <c r="C203" s="20">
        <f t="shared" ref="C203:C215" si="79">D203+0.01</f>
        <v>96.551500000000004</v>
      </c>
      <c r="D203" s="20">
        <v>96.541499999999999</v>
      </c>
      <c r="E203" s="20">
        <v>96.442399999999992</v>
      </c>
      <c r="F203" s="20">
        <v>96.206999999999994</v>
      </c>
      <c r="G203" s="20">
        <v>95.701000000000008</v>
      </c>
      <c r="H203" s="20">
        <v>95.496499999999997</v>
      </c>
      <c r="I203" s="49">
        <f t="shared" ref="I203:I208" si="80">B203</f>
        <v>5</v>
      </c>
      <c r="J203" s="20">
        <f>C203-0.125</f>
        <v>96.426500000000004</v>
      </c>
      <c r="K203" s="20">
        <f t="shared" ref="K203:O208" si="81">D203-0.125</f>
        <v>96.416499999999999</v>
      </c>
      <c r="L203" s="20">
        <f t="shared" si="81"/>
        <v>96.317399999999992</v>
      </c>
      <c r="M203" s="20">
        <f t="shared" si="81"/>
        <v>96.081999999999994</v>
      </c>
      <c r="N203" s="20">
        <f t="shared" si="81"/>
        <v>95.576000000000008</v>
      </c>
      <c r="O203" s="20">
        <f t="shared" si="81"/>
        <v>95.371499999999997</v>
      </c>
      <c r="P203" s="741"/>
      <c r="Q203" s="4"/>
      <c r="R203" s="23" t="s">
        <v>15</v>
      </c>
      <c r="S203" s="23" t="s">
        <v>100</v>
      </c>
      <c r="T203" s="23"/>
      <c r="U203" s="41"/>
      <c r="V203" s="41">
        <v>-1.25</v>
      </c>
      <c r="W203" s="44"/>
      <c r="X203" s="114"/>
      <c r="Y203" s="114"/>
      <c r="Z203" s="389"/>
    </row>
    <row r="204" spans="2:26" ht="21.95" customHeight="1" x14ac:dyDescent="0.2">
      <c r="B204" s="26">
        <v>5.125</v>
      </c>
      <c r="C204" s="20">
        <f t="shared" si="79"/>
        <v>97.002800000000008</v>
      </c>
      <c r="D204" s="20">
        <v>96.992800000000003</v>
      </c>
      <c r="E204" s="20">
        <v>96.893699999999995</v>
      </c>
      <c r="F204" s="20">
        <v>96.658299999999997</v>
      </c>
      <c r="G204" s="20">
        <v>96.152299999999997</v>
      </c>
      <c r="H204" s="20">
        <v>95.947800000000001</v>
      </c>
      <c r="I204" s="49">
        <f t="shared" si="80"/>
        <v>5.125</v>
      </c>
      <c r="J204" s="20">
        <f t="shared" ref="J204:J208" si="82">C204-0.125</f>
        <v>96.877800000000008</v>
      </c>
      <c r="K204" s="20">
        <f t="shared" si="81"/>
        <v>96.867800000000003</v>
      </c>
      <c r="L204" s="20">
        <f t="shared" si="81"/>
        <v>96.768699999999995</v>
      </c>
      <c r="M204" s="20">
        <f t="shared" si="81"/>
        <v>96.533299999999997</v>
      </c>
      <c r="N204" s="20">
        <f t="shared" si="81"/>
        <v>96.027299999999997</v>
      </c>
      <c r="O204" s="20">
        <f t="shared" si="81"/>
        <v>95.822800000000001</v>
      </c>
      <c r="P204" s="741"/>
      <c r="Q204" s="4"/>
      <c r="R204" s="23" t="s">
        <v>15</v>
      </c>
      <c r="S204" s="23" t="s">
        <v>21</v>
      </c>
      <c r="T204" s="23"/>
      <c r="U204" s="41"/>
      <c r="V204" s="41">
        <v>-1.75</v>
      </c>
      <c r="W204" s="44"/>
      <c r="X204" s="114"/>
      <c r="Y204" s="114"/>
      <c r="Z204" s="389"/>
    </row>
    <row r="205" spans="2:26" ht="21.95" customHeight="1" x14ac:dyDescent="0.2">
      <c r="B205" s="26">
        <v>5.25</v>
      </c>
      <c r="C205" s="20">
        <f t="shared" si="79"/>
        <v>98.301500000000004</v>
      </c>
      <c r="D205" s="20">
        <v>98.291499999999999</v>
      </c>
      <c r="E205" s="20">
        <v>98.181299999999993</v>
      </c>
      <c r="F205" s="20">
        <v>97.930599999999998</v>
      </c>
      <c r="G205" s="20">
        <v>97.424599999999998</v>
      </c>
      <c r="H205" s="20">
        <v>97.238100000000003</v>
      </c>
      <c r="I205" s="49">
        <f t="shared" si="80"/>
        <v>5.25</v>
      </c>
      <c r="J205" s="20">
        <f t="shared" si="82"/>
        <v>98.176500000000004</v>
      </c>
      <c r="K205" s="20">
        <f t="shared" si="81"/>
        <v>98.166499999999999</v>
      </c>
      <c r="L205" s="20">
        <f t="shared" si="81"/>
        <v>98.056299999999993</v>
      </c>
      <c r="M205" s="20">
        <f t="shared" si="81"/>
        <v>97.805599999999998</v>
      </c>
      <c r="N205" s="20">
        <f t="shared" si="81"/>
        <v>97.299599999999998</v>
      </c>
      <c r="O205" s="20">
        <f t="shared" si="81"/>
        <v>97.113100000000003</v>
      </c>
      <c r="P205" s="741"/>
      <c r="Q205" s="4"/>
      <c r="R205" s="23" t="s">
        <v>15</v>
      </c>
      <c r="S205" s="23" t="s">
        <v>22</v>
      </c>
      <c r="T205" s="23"/>
      <c r="U205" s="41"/>
      <c r="V205" s="41">
        <v>-2</v>
      </c>
      <c r="W205" s="44"/>
      <c r="X205" s="114"/>
      <c r="Y205" s="114"/>
      <c r="Z205" s="389"/>
    </row>
    <row r="206" spans="2:26" ht="21.95" customHeight="1" x14ac:dyDescent="0.2">
      <c r="B206" s="26">
        <v>5.375</v>
      </c>
      <c r="C206" s="20">
        <f t="shared" si="79"/>
        <v>98.9358</v>
      </c>
      <c r="D206" s="20">
        <v>98.925799999999995</v>
      </c>
      <c r="E206" s="20">
        <v>98.8155</v>
      </c>
      <c r="F206" s="20">
        <v>98.564799999999991</v>
      </c>
      <c r="G206" s="20">
        <v>98.058800000000005</v>
      </c>
      <c r="H206" s="20">
        <v>97.872299999999996</v>
      </c>
      <c r="I206" s="49">
        <f t="shared" si="80"/>
        <v>5.375</v>
      </c>
      <c r="J206" s="20">
        <f t="shared" si="82"/>
        <v>98.8108</v>
      </c>
      <c r="K206" s="20">
        <f t="shared" si="81"/>
        <v>98.800799999999995</v>
      </c>
      <c r="L206" s="20">
        <f t="shared" si="81"/>
        <v>98.6905</v>
      </c>
      <c r="M206" s="20">
        <f t="shared" si="81"/>
        <v>98.439799999999991</v>
      </c>
      <c r="N206" s="20">
        <f t="shared" si="81"/>
        <v>97.933800000000005</v>
      </c>
      <c r="O206" s="20">
        <f t="shared" si="81"/>
        <v>97.747299999999996</v>
      </c>
      <c r="P206" s="741"/>
      <c r="Q206" s="4"/>
      <c r="R206" s="4"/>
      <c r="S206" s="147"/>
      <c r="T206" s="147"/>
      <c r="U206" s="147"/>
      <c r="V206" s="379"/>
      <c r="W206" s="44"/>
      <c r="X206" s="114"/>
      <c r="Y206" s="114"/>
      <c r="Z206" s="389"/>
    </row>
    <row r="207" spans="2:26" ht="21.95" customHeight="1" x14ac:dyDescent="0.2">
      <c r="B207" s="26">
        <v>5.5</v>
      </c>
      <c r="C207" s="20">
        <f t="shared" si="79"/>
        <v>99.594300000000004</v>
      </c>
      <c r="D207" s="20">
        <v>99.584299999999999</v>
      </c>
      <c r="E207" s="20">
        <v>99.474099999999993</v>
      </c>
      <c r="F207" s="20">
        <v>99.223399999999998</v>
      </c>
      <c r="G207" s="20">
        <v>98.717299999999994</v>
      </c>
      <c r="H207" s="20">
        <v>98.530900000000003</v>
      </c>
      <c r="I207" s="49">
        <f t="shared" si="80"/>
        <v>5.5</v>
      </c>
      <c r="J207" s="20">
        <f t="shared" si="82"/>
        <v>99.469300000000004</v>
      </c>
      <c r="K207" s="20">
        <f t="shared" si="81"/>
        <v>99.459299999999999</v>
      </c>
      <c r="L207" s="20">
        <f t="shared" si="81"/>
        <v>99.349099999999993</v>
      </c>
      <c r="M207" s="20">
        <f t="shared" si="81"/>
        <v>99.098399999999998</v>
      </c>
      <c r="N207" s="20">
        <f t="shared" si="81"/>
        <v>98.592299999999994</v>
      </c>
      <c r="O207" s="20">
        <f t="shared" si="81"/>
        <v>98.405900000000003</v>
      </c>
      <c r="P207" s="741"/>
      <c r="Q207" s="476"/>
      <c r="R207" s="109"/>
      <c r="S207" s="110"/>
      <c r="T207" s="110"/>
      <c r="U207" s="110"/>
      <c r="V207" s="110"/>
      <c r="W207" s="461"/>
      <c r="X207" s="109"/>
      <c r="Y207" s="109"/>
      <c r="Z207" s="111"/>
    </row>
    <row r="208" spans="2:26" ht="21.95" customHeight="1" x14ac:dyDescent="0.2">
      <c r="B208" s="26">
        <v>5.625</v>
      </c>
      <c r="C208" s="20">
        <f t="shared" si="79"/>
        <v>99.975300000000004</v>
      </c>
      <c r="D208" s="20">
        <v>99.965299999999999</v>
      </c>
      <c r="E208" s="20">
        <v>99.85499999999999</v>
      </c>
      <c r="F208" s="20">
        <v>99.604399999999998</v>
      </c>
      <c r="G208" s="20">
        <v>99.098299999999995</v>
      </c>
      <c r="H208" s="20">
        <v>98.911900000000003</v>
      </c>
      <c r="I208" s="49">
        <f t="shared" si="80"/>
        <v>5.625</v>
      </c>
      <c r="J208" s="20">
        <f t="shared" si="82"/>
        <v>99.850300000000004</v>
      </c>
      <c r="K208" s="20">
        <f t="shared" si="81"/>
        <v>99.840299999999999</v>
      </c>
      <c r="L208" s="20">
        <f t="shared" si="81"/>
        <v>99.72999999999999</v>
      </c>
      <c r="M208" s="20">
        <f t="shared" si="81"/>
        <v>99.479399999999998</v>
      </c>
      <c r="N208" s="20">
        <f t="shared" si="81"/>
        <v>98.973299999999995</v>
      </c>
      <c r="O208" s="20">
        <f t="shared" si="81"/>
        <v>98.786900000000003</v>
      </c>
      <c r="P208" s="741"/>
      <c r="Q208" s="4"/>
      <c r="R208" s="114"/>
      <c r="S208" s="114"/>
      <c r="T208" s="114"/>
      <c r="U208" s="114"/>
      <c r="V208" s="65"/>
      <c r="W208" s="44"/>
      <c r="X208" s="114"/>
      <c r="Y208" s="114"/>
      <c r="Z208" s="389"/>
    </row>
    <row r="209" spans="2:26" ht="21.95" customHeight="1" x14ac:dyDescent="0.2">
      <c r="B209" s="26">
        <v>5.75</v>
      </c>
      <c r="C209" s="20">
        <f t="shared" si="79"/>
        <v>99.994</v>
      </c>
      <c r="D209" s="20">
        <v>99.983999999999995</v>
      </c>
      <c r="E209" s="20">
        <v>99.8626</v>
      </c>
      <c r="F209" s="20">
        <v>99.596599999999995</v>
      </c>
      <c r="G209" s="20">
        <v>99.0732</v>
      </c>
      <c r="H209" s="20">
        <v>98.880399999999995</v>
      </c>
      <c r="I209" s="49">
        <f t="shared" ref="I209:I210" si="83">B209</f>
        <v>5.75</v>
      </c>
      <c r="J209" s="20">
        <f t="shared" ref="J209:J210" si="84">C209-0.125</f>
        <v>99.869</v>
      </c>
      <c r="K209" s="20">
        <f t="shared" ref="K209:K210" si="85">D209-0.125</f>
        <v>99.858999999999995</v>
      </c>
      <c r="L209" s="20">
        <f t="shared" ref="L209:L210" si="86">E209-0.125</f>
        <v>99.7376</v>
      </c>
      <c r="M209" s="20">
        <f t="shared" ref="M209:M210" si="87">F209-0.125</f>
        <v>99.471599999999995</v>
      </c>
      <c r="N209" s="20">
        <f t="shared" ref="N209:N210" si="88">G209-0.125</f>
        <v>98.9482</v>
      </c>
      <c r="O209" s="20">
        <f t="shared" ref="O209:O210" si="89">H209-0.125</f>
        <v>98.755399999999995</v>
      </c>
      <c r="P209" s="741"/>
      <c r="Q209" s="4"/>
      <c r="R209" s="114"/>
      <c r="S209" s="114"/>
      <c r="T209" s="114"/>
      <c r="U209" s="114"/>
      <c r="V209" s="65"/>
      <c r="W209" s="44"/>
      <c r="X209" s="114"/>
      <c r="Y209" s="114"/>
      <c r="Z209" s="389"/>
    </row>
    <row r="210" spans="2:26" ht="21.95" customHeight="1" x14ac:dyDescent="0.2">
      <c r="B210" s="26">
        <v>5.875</v>
      </c>
      <c r="C210" s="20">
        <f t="shared" si="79"/>
        <v>100.7137</v>
      </c>
      <c r="D210" s="20">
        <v>100.7037</v>
      </c>
      <c r="E210" s="20">
        <v>100.58239999999999</v>
      </c>
      <c r="F210" s="20">
        <v>100.31639999999999</v>
      </c>
      <c r="G210" s="20">
        <v>99.793000000000006</v>
      </c>
      <c r="H210" s="20">
        <v>99.600200000000001</v>
      </c>
      <c r="I210" s="49">
        <f t="shared" si="83"/>
        <v>5.875</v>
      </c>
      <c r="J210" s="20">
        <f t="shared" si="84"/>
        <v>100.5887</v>
      </c>
      <c r="K210" s="20">
        <f t="shared" si="85"/>
        <v>100.5787</v>
      </c>
      <c r="L210" s="20">
        <f t="shared" si="86"/>
        <v>100.45739999999999</v>
      </c>
      <c r="M210" s="20">
        <f t="shared" si="87"/>
        <v>100.19139999999999</v>
      </c>
      <c r="N210" s="20">
        <f t="shared" si="88"/>
        <v>99.668000000000006</v>
      </c>
      <c r="O210" s="20">
        <f t="shared" si="89"/>
        <v>99.475200000000001</v>
      </c>
      <c r="P210" s="741"/>
      <c r="Q210" s="4"/>
      <c r="R210" s="114"/>
      <c r="S210" s="114"/>
      <c r="T210" s="114"/>
      <c r="U210" s="114"/>
      <c r="V210" s="65"/>
      <c r="W210" s="44"/>
      <c r="X210" s="114"/>
      <c r="Y210" s="114"/>
      <c r="Z210" s="389"/>
    </row>
    <row r="211" spans="2:26" ht="21.95" customHeight="1" x14ac:dyDescent="0.2">
      <c r="B211" s="26">
        <v>6</v>
      </c>
      <c r="C211" s="20">
        <f t="shared" si="79"/>
        <v>101.31570000000001</v>
      </c>
      <c r="D211" s="20">
        <v>101.3057</v>
      </c>
      <c r="E211" s="20">
        <v>101.18429999999999</v>
      </c>
      <c r="F211" s="20">
        <v>100.91839999999999</v>
      </c>
      <c r="G211" s="20">
        <v>100.39490000000001</v>
      </c>
      <c r="H211" s="20">
        <v>100.2021</v>
      </c>
      <c r="I211" s="49">
        <f t="shared" ref="I211:I214" si="90">B211</f>
        <v>6</v>
      </c>
      <c r="J211" s="20">
        <f t="shared" ref="J211:J214" si="91">C211-0.125</f>
        <v>101.19070000000001</v>
      </c>
      <c r="K211" s="20">
        <f t="shared" ref="K211:K214" si="92">D211-0.125</f>
        <v>101.1807</v>
      </c>
      <c r="L211" s="20">
        <f t="shared" ref="L211:L214" si="93">E211-0.125</f>
        <v>101.05929999999999</v>
      </c>
      <c r="M211" s="20">
        <f t="shared" ref="M211:M214" si="94">F211-0.125</f>
        <v>100.79339999999999</v>
      </c>
      <c r="N211" s="20">
        <f t="shared" ref="N211:N214" si="95">G211-0.125</f>
        <v>100.26990000000001</v>
      </c>
      <c r="O211" s="20">
        <f t="shared" ref="O211:O214" si="96">H211-0.125</f>
        <v>100.0771</v>
      </c>
      <c r="P211" s="741"/>
      <c r="Q211" s="4"/>
      <c r="R211" s="114"/>
      <c r="S211" s="114"/>
      <c r="T211" s="114"/>
      <c r="U211" s="114"/>
      <c r="V211" s="65"/>
      <c r="W211" s="44"/>
      <c r="X211" s="114"/>
      <c r="Y211" s="114"/>
      <c r="Z211" s="389"/>
    </row>
    <row r="212" spans="2:26" ht="21.95" customHeight="1" x14ac:dyDescent="0.2">
      <c r="B212" s="26">
        <v>6.125</v>
      </c>
      <c r="C212" s="20">
        <f t="shared" si="79"/>
        <v>101.52420000000001</v>
      </c>
      <c r="D212" s="20">
        <v>101.5142</v>
      </c>
      <c r="E212" s="20">
        <v>101.39279999999999</v>
      </c>
      <c r="F212" s="20">
        <v>101.12689999999999</v>
      </c>
      <c r="G212" s="20">
        <v>100.60340000000001</v>
      </c>
      <c r="H212" s="20">
        <v>100.41070000000001</v>
      </c>
      <c r="I212" s="49">
        <f t="shared" si="90"/>
        <v>6.125</v>
      </c>
      <c r="J212" s="20">
        <f t="shared" si="91"/>
        <v>101.39920000000001</v>
      </c>
      <c r="K212" s="20">
        <f t="shared" si="92"/>
        <v>101.3892</v>
      </c>
      <c r="L212" s="20">
        <f t="shared" si="93"/>
        <v>101.26779999999999</v>
      </c>
      <c r="M212" s="20">
        <f t="shared" si="94"/>
        <v>101.00189999999999</v>
      </c>
      <c r="N212" s="20">
        <f t="shared" si="95"/>
        <v>100.47840000000001</v>
      </c>
      <c r="O212" s="20">
        <f t="shared" si="96"/>
        <v>100.28570000000001</v>
      </c>
      <c r="P212" s="741"/>
      <c r="Q212" s="4"/>
      <c r="R212" s="114"/>
      <c r="S212" s="114"/>
      <c r="T212" s="114"/>
      <c r="U212" s="114"/>
      <c r="V212" s="65"/>
      <c r="W212" s="44"/>
      <c r="X212" s="114"/>
      <c r="Y212" s="114"/>
      <c r="Z212" s="389"/>
    </row>
    <row r="213" spans="2:26" ht="21.95" customHeight="1" x14ac:dyDescent="0.2">
      <c r="B213" s="26">
        <v>6.25</v>
      </c>
      <c r="C213" s="20">
        <f t="shared" si="79"/>
        <v>100.9877</v>
      </c>
      <c r="D213" s="20">
        <v>100.9777</v>
      </c>
      <c r="E213" s="20">
        <v>100.84529999999999</v>
      </c>
      <c r="F213" s="20">
        <v>100.56399999999999</v>
      </c>
      <c r="G213" s="20">
        <v>100.11280000000001</v>
      </c>
      <c r="H213" s="20">
        <v>99.986800000000002</v>
      </c>
      <c r="I213" s="49">
        <f t="shared" si="90"/>
        <v>6.25</v>
      </c>
      <c r="J213" s="20">
        <f t="shared" si="91"/>
        <v>100.8627</v>
      </c>
      <c r="K213" s="20">
        <f t="shared" si="92"/>
        <v>100.8527</v>
      </c>
      <c r="L213" s="20">
        <f t="shared" si="93"/>
        <v>100.72029999999999</v>
      </c>
      <c r="M213" s="20">
        <f t="shared" si="94"/>
        <v>100.43899999999999</v>
      </c>
      <c r="N213" s="20">
        <f t="shared" si="95"/>
        <v>99.987800000000007</v>
      </c>
      <c r="O213" s="20">
        <f t="shared" si="96"/>
        <v>99.861800000000002</v>
      </c>
      <c r="P213" s="741"/>
      <c r="Q213" s="4"/>
      <c r="R213" s="4"/>
      <c r="S213" s="4"/>
      <c r="T213" s="4"/>
      <c r="U213" s="4"/>
      <c r="V213" s="380"/>
      <c r="W213" s="44"/>
      <c r="X213" s="114"/>
      <c r="Y213" s="114"/>
      <c r="Z213" s="389"/>
    </row>
    <row r="214" spans="2:26" ht="21.95" customHeight="1" x14ac:dyDescent="0.2">
      <c r="B214" s="26">
        <v>6.375</v>
      </c>
      <c r="C214" s="20">
        <f t="shared" si="79"/>
        <v>101.65140000000001</v>
      </c>
      <c r="D214" s="20">
        <v>101.6414</v>
      </c>
      <c r="E214" s="20">
        <v>101.5089</v>
      </c>
      <c r="F214" s="20">
        <v>101.2277</v>
      </c>
      <c r="G214" s="20">
        <v>100.7765</v>
      </c>
      <c r="H214" s="20">
        <v>100.65050000000001</v>
      </c>
      <c r="I214" s="49">
        <f t="shared" si="90"/>
        <v>6.375</v>
      </c>
      <c r="J214" s="20">
        <f t="shared" si="91"/>
        <v>101.52640000000001</v>
      </c>
      <c r="K214" s="20">
        <f t="shared" si="92"/>
        <v>101.5164</v>
      </c>
      <c r="L214" s="20">
        <f t="shared" si="93"/>
        <v>101.3839</v>
      </c>
      <c r="M214" s="20">
        <f t="shared" si="94"/>
        <v>101.1027</v>
      </c>
      <c r="N214" s="20">
        <f t="shared" si="95"/>
        <v>100.6515</v>
      </c>
      <c r="O214" s="20">
        <f t="shared" si="96"/>
        <v>100.52550000000001</v>
      </c>
      <c r="P214" s="741"/>
      <c r="Q214" s="476"/>
      <c r="R214" s="109"/>
      <c r="S214" s="110"/>
      <c r="T214" s="110"/>
      <c r="U214" s="110"/>
      <c r="V214" s="381"/>
      <c r="W214" s="461"/>
      <c r="X214" s="128"/>
      <c r="Y214" s="128"/>
      <c r="Z214" s="390"/>
    </row>
    <row r="215" spans="2:26" ht="21.95" customHeight="1" x14ac:dyDescent="0.2">
      <c r="B215" s="26">
        <v>6.5</v>
      </c>
      <c r="C215" s="20">
        <f t="shared" si="79"/>
        <v>102.1746</v>
      </c>
      <c r="D215" s="20">
        <v>102.16459999999999</v>
      </c>
      <c r="E215" s="20">
        <v>102.0321</v>
      </c>
      <c r="F215" s="20">
        <v>101.75089999999999</v>
      </c>
      <c r="G215" s="20">
        <v>101.2997</v>
      </c>
      <c r="H215" s="20">
        <v>101.1737</v>
      </c>
      <c r="I215" s="49">
        <f t="shared" ref="I215" si="97">B215</f>
        <v>6.5</v>
      </c>
      <c r="J215" s="20">
        <f t="shared" ref="J215" si="98">C215-0.125</f>
        <v>102.0496</v>
      </c>
      <c r="K215" s="20">
        <f t="shared" ref="K215" si="99">D215-0.125</f>
        <v>102.03959999999999</v>
      </c>
      <c r="L215" s="20">
        <f t="shared" ref="L215" si="100">E215-0.125</f>
        <v>101.9071</v>
      </c>
      <c r="M215" s="20">
        <f t="shared" ref="M215" si="101">F215-0.125</f>
        <v>101.62589999999999</v>
      </c>
      <c r="N215" s="20">
        <f t="shared" ref="N215" si="102">G215-0.125</f>
        <v>101.1747</v>
      </c>
      <c r="O215" s="20">
        <f t="shared" ref="O215" si="103">H215-0.125</f>
        <v>101.0487</v>
      </c>
      <c r="P215" s="741"/>
      <c r="Q215" s="4"/>
      <c r="R215" s="114"/>
      <c r="S215" s="114"/>
      <c r="T215" s="114"/>
      <c r="U215" s="114"/>
      <c r="V215" s="65"/>
      <c r="W215" s="44"/>
      <c r="X215" s="114"/>
      <c r="Y215" s="114"/>
      <c r="Z215" s="389"/>
    </row>
    <row r="216" spans="2:26" ht="21.95" customHeight="1" x14ac:dyDescent="0.2">
      <c r="B216" s="26">
        <v>6.625</v>
      </c>
      <c r="C216" s="20">
        <f>D216+0.01</f>
        <v>102.4281</v>
      </c>
      <c r="D216" s="20">
        <v>102.4181</v>
      </c>
      <c r="E216" s="20">
        <v>102.2856</v>
      </c>
      <c r="F216" s="20">
        <v>102.00439999999999</v>
      </c>
      <c r="G216" s="20">
        <v>101.5531</v>
      </c>
      <c r="H216" s="20">
        <v>101.4271</v>
      </c>
      <c r="I216" s="49">
        <f t="shared" ref="I216" si="104">B216</f>
        <v>6.625</v>
      </c>
      <c r="J216" s="20">
        <f t="shared" ref="J216" si="105">C216-0.125</f>
        <v>102.3031</v>
      </c>
      <c r="K216" s="20">
        <f t="shared" ref="K216" si="106">D216-0.125</f>
        <v>102.2931</v>
      </c>
      <c r="L216" s="20">
        <f t="shared" ref="L216" si="107">E216-0.125</f>
        <v>102.1606</v>
      </c>
      <c r="M216" s="20">
        <f t="shared" ref="M216" si="108">F216-0.125</f>
        <v>101.87939999999999</v>
      </c>
      <c r="N216" s="20">
        <f t="shared" ref="N216" si="109">G216-0.125</f>
        <v>101.4281</v>
      </c>
      <c r="O216" s="20">
        <f t="shared" ref="O216" si="110">H216-0.125</f>
        <v>101.3021</v>
      </c>
      <c r="P216" s="741"/>
      <c r="Q216" s="4"/>
      <c r="R216" s="114"/>
      <c r="S216" s="114"/>
      <c r="T216" s="114"/>
      <c r="U216" s="114"/>
      <c r="V216" s="65"/>
      <c r="W216" s="44"/>
      <c r="X216" s="114"/>
      <c r="Y216" s="114"/>
      <c r="Z216" s="389"/>
    </row>
    <row r="217" spans="2:26" ht="21.95" customHeight="1" x14ac:dyDescent="0.2">
      <c r="B217" s="26">
        <v>6.75</v>
      </c>
      <c r="C217" s="20">
        <f>D217+0.01</f>
        <v>101.40900000000001</v>
      </c>
      <c r="D217" s="20">
        <v>101.399</v>
      </c>
      <c r="E217" s="20">
        <v>101.25539999999999</v>
      </c>
      <c r="F217" s="20">
        <v>100.95889999999999</v>
      </c>
      <c r="G217" s="20">
        <v>100.34100000000001</v>
      </c>
      <c r="H217" s="20">
        <v>100.0689</v>
      </c>
      <c r="I217" s="49">
        <f t="shared" ref="I217" si="111">B217</f>
        <v>6.75</v>
      </c>
      <c r="J217" s="20">
        <f t="shared" ref="J217" si="112">C217-0.125</f>
        <v>101.28400000000001</v>
      </c>
      <c r="K217" s="20">
        <f t="shared" ref="K217" si="113">D217-0.125</f>
        <v>101.274</v>
      </c>
      <c r="L217" s="20">
        <f t="shared" ref="L217" si="114">E217-0.125</f>
        <v>101.13039999999999</v>
      </c>
      <c r="M217" s="20">
        <f t="shared" ref="M217" si="115">F217-0.125</f>
        <v>100.83389999999999</v>
      </c>
      <c r="N217" s="20">
        <f t="shared" ref="N217" si="116">G217-0.125</f>
        <v>100.21600000000001</v>
      </c>
      <c r="O217" s="20">
        <f t="shared" ref="O217" si="117">H217-0.125</f>
        <v>99.943899999999999</v>
      </c>
      <c r="P217" s="741"/>
      <c r="Q217" s="4"/>
      <c r="R217" s="4"/>
      <c r="S217" s="4"/>
      <c r="T217" s="4"/>
      <c r="U217" s="4"/>
      <c r="V217" s="65"/>
      <c r="W217" s="44"/>
      <c r="X217" s="114"/>
      <c r="Y217" s="114"/>
      <c r="Z217" s="389"/>
    </row>
    <row r="218" spans="2:26" ht="21.95" customHeight="1" x14ac:dyDescent="0.2">
      <c r="B218" s="26">
        <v>6.875</v>
      </c>
      <c r="C218" s="20">
        <f>D218+0.01</f>
        <v>101.8712</v>
      </c>
      <c r="D218" s="20">
        <v>101.8612</v>
      </c>
      <c r="E218" s="20">
        <v>101.71759999999999</v>
      </c>
      <c r="F218" s="20">
        <v>101.4211</v>
      </c>
      <c r="G218" s="20">
        <v>100.8032</v>
      </c>
      <c r="H218" s="20">
        <v>100.5311</v>
      </c>
      <c r="I218" s="49">
        <f t="shared" ref="I218" si="118">B218</f>
        <v>6.875</v>
      </c>
      <c r="J218" s="20">
        <f t="shared" ref="J218" si="119">C218-0.125</f>
        <v>101.7462</v>
      </c>
      <c r="K218" s="20">
        <f t="shared" ref="K218" si="120">D218-0.125</f>
        <v>101.7362</v>
      </c>
      <c r="L218" s="20">
        <f t="shared" ref="L218" si="121">E218-0.125</f>
        <v>101.59259999999999</v>
      </c>
      <c r="M218" s="20">
        <f t="shared" ref="M218" si="122">F218-0.125</f>
        <v>101.2961</v>
      </c>
      <c r="N218" s="20">
        <f t="shared" ref="N218" si="123">G218-0.125</f>
        <v>100.6782</v>
      </c>
      <c r="O218" s="20">
        <f t="shared" ref="O218" si="124">H218-0.125</f>
        <v>100.4061</v>
      </c>
      <c r="P218" s="738"/>
      <c r="Q218" s="4"/>
      <c r="R218" s="114"/>
      <c r="S218" s="127"/>
      <c r="T218" s="127"/>
      <c r="U218" s="127"/>
      <c r="V218" s="65"/>
      <c r="W218" s="44"/>
      <c r="X218" s="114"/>
      <c r="Y218" s="114"/>
      <c r="Z218" s="389"/>
    </row>
    <row r="219" spans="2:26" ht="21.95" customHeight="1" x14ac:dyDescent="0.2">
      <c r="B219" s="26"/>
      <c r="C219" s="20"/>
      <c r="D219" s="20"/>
      <c r="E219" s="20"/>
      <c r="F219" s="20"/>
      <c r="G219" s="20"/>
      <c r="H219" s="20"/>
      <c r="I219" s="143"/>
      <c r="J219" s="40"/>
      <c r="K219" s="40"/>
      <c r="L219" s="40"/>
      <c r="M219" s="40"/>
      <c r="N219" s="40"/>
      <c r="O219" s="20"/>
      <c r="P219" s="738"/>
      <c r="Q219" s="4"/>
      <c r="R219" s="114"/>
      <c r="S219" s="127"/>
      <c r="T219" s="127"/>
      <c r="U219" s="127"/>
      <c r="V219" s="380"/>
      <c r="W219" s="44"/>
      <c r="X219" s="114"/>
      <c r="Y219" s="114"/>
      <c r="Z219" s="389"/>
    </row>
    <row r="220" spans="2:26" ht="21.95" customHeight="1" x14ac:dyDescent="0.2">
      <c r="B220" s="26"/>
      <c r="C220" s="20"/>
      <c r="D220" s="20"/>
      <c r="E220" s="20"/>
      <c r="F220" s="20"/>
      <c r="G220" s="20"/>
      <c r="H220" s="27"/>
      <c r="I220" s="371"/>
      <c r="J220" s="40"/>
      <c r="K220" s="40"/>
      <c r="L220" s="40"/>
      <c r="M220" s="40"/>
      <c r="N220" s="40"/>
      <c r="O220" s="20"/>
      <c r="P220" s="738"/>
      <c r="Q220" s="4"/>
      <c r="R220" s="114"/>
      <c r="S220" s="127"/>
      <c r="T220" s="127"/>
      <c r="U220" s="127"/>
      <c r="V220" s="81"/>
      <c r="W220" s="44"/>
      <c r="X220" s="114"/>
      <c r="Y220" s="114"/>
      <c r="Z220" s="389"/>
    </row>
    <row r="221" spans="2:26" ht="21.95" customHeight="1" x14ac:dyDescent="0.2">
      <c r="B221" s="26"/>
      <c r="C221" s="20"/>
      <c r="D221" s="20"/>
      <c r="E221" s="20"/>
      <c r="F221" s="20"/>
      <c r="G221" s="20"/>
      <c r="H221" s="27"/>
      <c r="I221" s="371"/>
      <c r="J221" s="40"/>
      <c r="K221" s="40"/>
      <c r="L221" s="40"/>
      <c r="M221" s="40"/>
      <c r="N221" s="40"/>
      <c r="O221" s="142"/>
      <c r="P221" s="476"/>
      <c r="Q221" s="476"/>
      <c r="R221" s="128"/>
      <c r="S221" s="129"/>
      <c r="T221" s="129"/>
      <c r="U221" s="129"/>
      <c r="V221" s="382"/>
      <c r="W221" s="461"/>
      <c r="X221" s="128"/>
      <c r="Y221" s="128"/>
      <c r="Z221" s="390"/>
    </row>
    <row r="222" spans="2:26" ht="21.95" customHeight="1" x14ac:dyDescent="0.2">
      <c r="B222" s="26"/>
      <c r="C222" s="20"/>
      <c r="D222" s="20"/>
      <c r="E222" s="20"/>
      <c r="F222" s="20"/>
      <c r="G222" s="20"/>
      <c r="H222" s="39"/>
      <c r="I222" s="369"/>
      <c r="J222" s="500"/>
      <c r="K222" s="500"/>
      <c r="L222" s="500"/>
      <c r="M222" s="500"/>
      <c r="N222" s="500"/>
      <c r="O222" s="527"/>
      <c r="P222" s="144"/>
      <c r="Q222" s="144"/>
      <c r="R222" s="144"/>
      <c r="S222" s="144"/>
      <c r="T222" s="144"/>
      <c r="U222" s="476"/>
      <c r="V222" s="128"/>
      <c r="W222" s="129"/>
      <c r="X222" s="129"/>
      <c r="Y222" s="129"/>
      <c r="Z222" s="130"/>
    </row>
    <row r="223" spans="2:26" s="44" customFormat="1" ht="21.95" customHeight="1" x14ac:dyDescent="0.2">
      <c r="B223" s="100" t="s">
        <v>295</v>
      </c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1021" t="s">
        <v>90</v>
      </c>
      <c r="W223" s="1021"/>
      <c r="X223" s="74"/>
      <c r="Y223" s="74"/>
      <c r="Z223" s="101"/>
    </row>
    <row r="224" spans="2:26" s="44" customFormat="1" ht="21.95" customHeight="1" x14ac:dyDescent="0.2">
      <c r="B224" s="131" t="s">
        <v>305</v>
      </c>
      <c r="C224" s="80"/>
      <c r="D224" s="80"/>
      <c r="E224" s="81">
        <v>-0.02</v>
      </c>
      <c r="F224" s="9"/>
      <c r="G224" s="9"/>
      <c r="H224" s="1022"/>
      <c r="I224" s="1022"/>
      <c r="J224" s="1022"/>
      <c r="K224" s="1022"/>
      <c r="L224" s="132"/>
      <c r="M224" s="133"/>
      <c r="N224" s="133"/>
      <c r="O224" s="133"/>
      <c r="P224" s="133"/>
      <c r="Q224" s="133"/>
      <c r="R224" s="133"/>
      <c r="S224" s="133"/>
      <c r="T224" s="133"/>
      <c r="U224" s="1019" t="s">
        <v>311</v>
      </c>
      <c r="V224" s="1019"/>
      <c r="W224" s="1019"/>
      <c r="X224" s="210">
        <v>1125</v>
      </c>
      <c r="Z224" s="134"/>
    </row>
    <row r="225" spans="2:26" s="44" customFormat="1" ht="21.95" customHeight="1" x14ac:dyDescent="0.2">
      <c r="B225" s="135" t="s">
        <v>306</v>
      </c>
      <c r="C225" s="80"/>
      <c r="D225" s="80"/>
      <c r="E225" s="81">
        <v>-0.02</v>
      </c>
      <c r="F225" s="85"/>
      <c r="G225" s="85"/>
      <c r="H225" s="85"/>
      <c r="I225" s="136"/>
      <c r="J225" s="114"/>
      <c r="K225" s="114"/>
      <c r="L225" s="84"/>
      <c r="M225" s="84"/>
      <c r="N225" s="84"/>
      <c r="O225" s="84"/>
      <c r="P225" s="84"/>
      <c r="Q225" s="84"/>
      <c r="R225" s="84"/>
      <c r="S225" s="84"/>
      <c r="T225" s="84"/>
      <c r="U225" s="1016" t="s">
        <v>313</v>
      </c>
      <c r="V225" s="1016"/>
      <c r="W225" s="1016"/>
      <c r="X225" s="391">
        <v>695</v>
      </c>
      <c r="Z225" s="115"/>
    </row>
    <row r="226" spans="2:26" s="44" customFormat="1" ht="21.95" customHeight="1" x14ac:dyDescent="0.2">
      <c r="B226" s="135" t="s">
        <v>307</v>
      </c>
      <c r="C226" s="80"/>
      <c r="D226" s="80"/>
      <c r="E226" s="81">
        <v>-0.04</v>
      </c>
      <c r="F226" s="85"/>
      <c r="G226" s="85"/>
      <c r="H226" s="85"/>
      <c r="I226" s="136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1020" t="s">
        <v>516</v>
      </c>
      <c r="V226" s="1020"/>
      <c r="W226" s="1020"/>
      <c r="X226" s="391">
        <v>795</v>
      </c>
      <c r="Z226" s="137"/>
    </row>
    <row r="227" spans="2:26" s="44" customFormat="1" ht="21.95" customHeight="1" x14ac:dyDescent="0.2">
      <c r="B227" s="135" t="s">
        <v>308</v>
      </c>
      <c r="C227" s="80"/>
      <c r="D227" s="80"/>
      <c r="E227" s="81">
        <v>-0.04</v>
      </c>
      <c r="F227" s="85"/>
      <c r="G227" s="85"/>
      <c r="H227" s="85"/>
      <c r="I227" s="136"/>
      <c r="J227" s="138"/>
      <c r="K227" s="138"/>
      <c r="L227" s="133"/>
      <c r="M227" s="133"/>
      <c r="N227" s="133"/>
      <c r="O227" s="133"/>
      <c r="P227" s="133"/>
      <c r="Q227" s="133"/>
      <c r="R227" s="133"/>
      <c r="S227" s="133"/>
      <c r="T227" s="133"/>
      <c r="U227" s="1020"/>
      <c r="V227" s="1020"/>
      <c r="W227" s="1020"/>
      <c r="X227" s="139"/>
      <c r="Y227" s="80"/>
      <c r="Z227" s="115"/>
    </row>
    <row r="228" spans="2:26" s="44" customFormat="1" ht="21.95" customHeight="1" x14ac:dyDescent="0.2">
      <c r="B228" s="135" t="s">
        <v>85</v>
      </c>
      <c r="C228" s="87"/>
      <c r="D228" s="87"/>
      <c r="E228" s="81">
        <v>-0.125</v>
      </c>
      <c r="F228" s="85"/>
      <c r="G228" s="85"/>
      <c r="H228" s="85"/>
      <c r="I228" s="136"/>
      <c r="J228" s="138"/>
      <c r="K228" s="138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80"/>
      <c r="X228" s="80"/>
      <c r="Y228" s="80"/>
      <c r="Z228" s="115"/>
    </row>
    <row r="229" spans="2:26" s="44" customFormat="1" ht="21.95" customHeight="1" x14ac:dyDescent="0.2">
      <c r="B229" s="8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</row>
    <row r="230" spans="2:26" s="44" customFormat="1" ht="21.95" customHeight="1" x14ac:dyDescent="0.2">
      <c r="B230" s="71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742" t="s">
        <v>57</v>
      </c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743"/>
    </row>
    <row r="231" spans="2:26" s="44" customFormat="1" ht="21.95" customHeight="1" x14ac:dyDescent="0.2">
      <c r="B231" s="739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711" t="s">
        <v>58</v>
      </c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412"/>
    </row>
    <row r="232" spans="2:26" s="44" customFormat="1" ht="21.95" customHeight="1" x14ac:dyDescent="0.2">
      <c r="B232" s="739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712" t="s">
        <v>67</v>
      </c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412"/>
    </row>
    <row r="233" spans="2:26" s="44" customFormat="1" ht="21.95" customHeight="1" thickBot="1" x14ac:dyDescent="0.25">
      <c r="B233" s="739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712" t="s">
        <v>59</v>
      </c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412"/>
    </row>
    <row r="234" spans="2:26" s="651" customFormat="1" ht="21.95" hidden="1" customHeight="1" x14ac:dyDescent="0.35">
      <c r="B234" s="655" t="s">
        <v>515</v>
      </c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6"/>
      <c r="P234" s="656"/>
      <c r="Q234" s="656"/>
      <c r="R234" s="656"/>
      <c r="S234" s="656"/>
      <c r="T234" s="656"/>
      <c r="U234" s="656"/>
      <c r="V234" s="656"/>
      <c r="W234" s="656"/>
      <c r="X234" s="962" t="s">
        <v>0</v>
      </c>
      <c r="Y234" s="962"/>
      <c r="Z234" s="963"/>
    </row>
    <row r="235" spans="2:26" s="651" customFormat="1" ht="21.95" hidden="1" customHeight="1" x14ac:dyDescent="0.35">
      <c r="B235" s="657" t="s">
        <v>68</v>
      </c>
      <c r="C235" s="658"/>
      <c r="D235" s="658"/>
      <c r="E235" s="658"/>
      <c r="F235" s="658"/>
      <c r="G235" s="658"/>
      <c r="H235" s="659"/>
      <c r="I235" s="659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934">
        <f ca="1">TODAY()</f>
        <v>46101</v>
      </c>
      <c r="X235" s="934"/>
      <c r="Y235" s="935">
        <v>0.4375</v>
      </c>
      <c r="Z235" s="936"/>
    </row>
    <row r="236" spans="2:26" s="651" customFormat="1" ht="21.95" hidden="1" customHeight="1" x14ac:dyDescent="0.35">
      <c r="B236" s="657" t="s">
        <v>69</v>
      </c>
      <c r="C236" s="658"/>
      <c r="D236" s="658"/>
      <c r="E236" s="658"/>
      <c r="F236" s="658"/>
      <c r="G236" s="658"/>
      <c r="H236" s="658"/>
      <c r="I236" s="658"/>
      <c r="J236" s="658"/>
      <c r="K236" s="658"/>
      <c r="L236" s="658"/>
      <c r="M236" s="658"/>
      <c r="N236" s="658"/>
      <c r="O236" s="658"/>
      <c r="P236" s="658"/>
      <c r="Q236" s="658"/>
      <c r="R236" s="658"/>
      <c r="S236" s="658"/>
      <c r="T236" s="658"/>
      <c r="U236" s="658"/>
      <c r="V236" s="658"/>
      <c r="W236" s="658"/>
      <c r="X236" s="658"/>
      <c r="Y236" s="658"/>
      <c r="Z236" s="660"/>
    </row>
    <row r="237" spans="2:26" s="651" customFormat="1" ht="21.95" hidden="1" customHeight="1" x14ac:dyDescent="0.35">
      <c r="B237" s="661" t="s">
        <v>72</v>
      </c>
      <c r="C237" s="658"/>
      <c r="D237" s="658"/>
      <c r="E237" s="658"/>
      <c r="F237" s="658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58" t="s">
        <v>161</v>
      </c>
      <c r="X237" s="663"/>
      <c r="Y237" s="663"/>
      <c r="Z237" s="660"/>
    </row>
    <row r="238" spans="2:26" s="651" customFormat="1" ht="21.95" hidden="1" customHeight="1" x14ac:dyDescent="0.35">
      <c r="B238" s="657"/>
      <c r="C238" s="664"/>
      <c r="D238" s="664"/>
      <c r="E238" s="664"/>
      <c r="F238" s="664"/>
      <c r="G238" s="664"/>
      <c r="H238" s="664"/>
      <c r="I238" s="664"/>
      <c r="J238" s="664"/>
      <c r="K238" s="664"/>
      <c r="L238" s="664"/>
      <c r="M238" s="664"/>
      <c r="N238" s="664"/>
      <c r="O238" s="664"/>
      <c r="P238" s="664"/>
      <c r="Q238" s="664"/>
      <c r="R238" s="664"/>
      <c r="S238" s="664"/>
      <c r="T238" s="664"/>
      <c r="U238" s="664"/>
      <c r="V238" s="664"/>
      <c r="W238" s="663" t="s">
        <v>65</v>
      </c>
      <c r="X238" s="658"/>
      <c r="Y238" s="658"/>
      <c r="Z238" s="665"/>
    </row>
    <row r="239" spans="2:26" s="666" customFormat="1" ht="21.95" hidden="1" customHeight="1" thickBot="1" x14ac:dyDescent="0.35">
      <c r="B239" s="667" t="s">
        <v>73</v>
      </c>
      <c r="C239" s="668"/>
      <c r="D239" s="668"/>
      <c r="E239" s="668"/>
      <c r="F239" s="668"/>
      <c r="G239" s="668"/>
      <c r="H239" s="668"/>
      <c r="I239" s="668"/>
      <c r="J239" s="668"/>
      <c r="K239" s="668"/>
      <c r="L239" s="668"/>
      <c r="M239" s="668"/>
      <c r="N239" s="668"/>
      <c r="O239" s="668"/>
      <c r="P239" s="668"/>
      <c r="Q239" s="668"/>
      <c r="R239" s="668"/>
      <c r="S239" s="668"/>
      <c r="T239" s="668"/>
      <c r="U239" s="668"/>
      <c r="V239" s="668"/>
      <c r="W239" s="669"/>
      <c r="X239" s="670"/>
      <c r="Y239" s="670"/>
      <c r="Z239" s="671"/>
    </row>
    <row r="240" spans="2:26" ht="21.95" hidden="1" customHeight="1" x14ac:dyDescent="0.25">
      <c r="B240" s="509"/>
      <c r="C240" s="500"/>
      <c r="D240" s="500"/>
      <c r="E240" s="500"/>
      <c r="F240" s="500"/>
      <c r="G240" s="500"/>
      <c r="H240" s="500"/>
      <c r="I240" s="500"/>
      <c r="J240" s="500"/>
      <c r="K240" s="500"/>
      <c r="L240" s="500"/>
      <c r="M240" s="500"/>
      <c r="N240" s="500"/>
      <c r="O240" s="500"/>
      <c r="P240" s="500"/>
      <c r="Q240" s="500"/>
      <c r="R240" s="500"/>
      <c r="S240" s="500"/>
      <c r="T240" s="500"/>
      <c r="U240" s="500"/>
      <c r="V240" s="502"/>
    </row>
    <row r="241" spans="2:22" ht="21.95" hidden="1" customHeight="1" thickBot="1" x14ac:dyDescent="0.25">
      <c r="B241" s="509"/>
      <c r="C241" s="500"/>
      <c r="D241" s="500"/>
      <c r="E241" s="500"/>
      <c r="F241" s="500"/>
      <c r="G241" s="500"/>
      <c r="H241" s="500"/>
      <c r="I241" s="500"/>
      <c r="J241" s="500"/>
      <c r="K241" s="500"/>
      <c r="L241" s="500"/>
      <c r="M241" s="500"/>
      <c r="N241" s="500"/>
      <c r="O241" s="500"/>
      <c r="P241" s="500"/>
      <c r="Q241" s="500"/>
      <c r="R241" s="500"/>
      <c r="S241" s="500"/>
      <c r="T241" s="500"/>
      <c r="U241" s="500"/>
      <c r="V241" s="502"/>
    </row>
    <row r="242" spans="2:22" ht="21.95" hidden="1" customHeight="1" thickBot="1" x14ac:dyDescent="0.25">
      <c r="B242" s="866" t="s">
        <v>106</v>
      </c>
      <c r="C242" s="867"/>
      <c r="D242" s="867"/>
      <c r="E242" s="867"/>
      <c r="F242" s="867"/>
      <c r="G242" s="867"/>
      <c r="H242" s="867"/>
      <c r="I242" s="867"/>
      <c r="J242" s="867"/>
      <c r="K242" s="867"/>
      <c r="L242" s="867"/>
      <c r="M242" s="867"/>
      <c r="N242" s="867"/>
      <c r="O242" s="867"/>
      <c r="P242" s="867"/>
      <c r="Q242" s="867"/>
      <c r="R242" s="867"/>
      <c r="S242" s="867"/>
      <c r="T242" s="867"/>
      <c r="U242" s="867"/>
      <c r="V242" s="868"/>
    </row>
    <row r="243" spans="2:22" ht="21.95" hidden="1" customHeight="1" x14ac:dyDescent="0.25">
      <c r="B243" s="793" t="s">
        <v>107</v>
      </c>
      <c r="C243" s="794"/>
      <c r="D243" s="794"/>
      <c r="E243" s="794"/>
      <c r="F243" s="795"/>
      <c r="G243" s="796" t="s">
        <v>108</v>
      </c>
      <c r="H243" s="794"/>
      <c r="I243" s="794"/>
      <c r="J243" s="794"/>
      <c r="K243" s="794"/>
      <c r="L243" s="796" t="s">
        <v>372</v>
      </c>
      <c r="M243" s="794"/>
      <c r="N243" s="794"/>
      <c r="O243" s="794"/>
      <c r="P243" s="795"/>
      <c r="V243" s="535"/>
    </row>
    <row r="244" spans="2:22" ht="21.95" hidden="1" customHeight="1" x14ac:dyDescent="0.25">
      <c r="B244" s="359" t="s">
        <v>4</v>
      </c>
      <c r="C244" s="353" t="s">
        <v>434</v>
      </c>
      <c r="D244" s="353" t="s">
        <v>5</v>
      </c>
      <c r="E244" s="353" t="s">
        <v>6</v>
      </c>
      <c r="F244" s="353" t="s">
        <v>75</v>
      </c>
      <c r="G244" s="359" t="s">
        <v>4</v>
      </c>
      <c r="H244" s="353" t="s">
        <v>434</v>
      </c>
      <c r="I244" s="353" t="s">
        <v>5</v>
      </c>
      <c r="J244" s="353" t="s">
        <v>6</v>
      </c>
      <c r="K244" s="353" t="s">
        <v>75</v>
      </c>
      <c r="L244" s="372" t="s">
        <v>4</v>
      </c>
      <c r="M244" s="353" t="s">
        <v>434</v>
      </c>
      <c r="N244" s="353" t="s">
        <v>5</v>
      </c>
      <c r="O244" s="353" t="s">
        <v>6</v>
      </c>
      <c r="P244" s="367" t="s">
        <v>75</v>
      </c>
      <c r="V244" s="536"/>
    </row>
    <row r="245" spans="2:22" ht="21.95" hidden="1" customHeight="1" x14ac:dyDescent="0.25">
      <c r="B245" s="49">
        <v>6.25</v>
      </c>
      <c r="C245" s="20">
        <v>85</v>
      </c>
      <c r="D245" s="20">
        <v>85</v>
      </c>
      <c r="E245" s="20">
        <v>85</v>
      </c>
      <c r="F245" s="20">
        <v>85</v>
      </c>
      <c r="G245" s="49">
        <v>6.25</v>
      </c>
      <c r="H245" s="20">
        <v>85</v>
      </c>
      <c r="I245" s="20">
        <v>85</v>
      </c>
      <c r="J245" s="20">
        <v>85</v>
      </c>
      <c r="K245" s="20">
        <v>85</v>
      </c>
      <c r="L245" s="49">
        <v>6.25</v>
      </c>
      <c r="M245" s="20">
        <v>85</v>
      </c>
      <c r="N245" s="20">
        <v>85</v>
      </c>
      <c r="O245" s="20">
        <v>85</v>
      </c>
      <c r="P245" s="27">
        <v>85</v>
      </c>
      <c r="V245" s="536"/>
    </row>
    <row r="246" spans="2:22" ht="21.95" hidden="1" customHeight="1" x14ac:dyDescent="0.25">
      <c r="B246" s="49">
        <f>B245+0.125</f>
        <v>6.375</v>
      </c>
      <c r="C246" s="20">
        <v>85</v>
      </c>
      <c r="D246" s="20">
        <v>85</v>
      </c>
      <c r="E246" s="20">
        <v>85</v>
      </c>
      <c r="F246" s="20">
        <v>85</v>
      </c>
      <c r="G246" s="49">
        <f>G245+0.125</f>
        <v>6.375</v>
      </c>
      <c r="H246" s="20">
        <v>85</v>
      </c>
      <c r="I246" s="20">
        <v>85</v>
      </c>
      <c r="J246" s="20">
        <v>85</v>
      </c>
      <c r="K246" s="20">
        <v>85</v>
      </c>
      <c r="L246" s="49">
        <f>L245+0.125</f>
        <v>6.375</v>
      </c>
      <c r="M246" s="20">
        <v>85</v>
      </c>
      <c r="N246" s="20">
        <v>85</v>
      </c>
      <c r="O246" s="20">
        <v>85</v>
      </c>
      <c r="P246" s="27">
        <v>85</v>
      </c>
      <c r="V246" s="536"/>
    </row>
    <row r="247" spans="2:22" ht="21.95" hidden="1" customHeight="1" x14ac:dyDescent="0.25">
      <c r="B247" s="49">
        <f t="shared" ref="B247:B256" si="125">B246+0.125</f>
        <v>6.5</v>
      </c>
      <c r="C247" s="20">
        <v>85</v>
      </c>
      <c r="D247" s="20">
        <v>85</v>
      </c>
      <c r="E247" s="20">
        <v>85</v>
      </c>
      <c r="F247" s="20">
        <v>85</v>
      </c>
      <c r="G247" s="49">
        <f t="shared" ref="G247:G256" si="126">G246+0.125</f>
        <v>6.5</v>
      </c>
      <c r="H247" s="20">
        <v>85</v>
      </c>
      <c r="I247" s="20">
        <v>85</v>
      </c>
      <c r="J247" s="20">
        <v>85</v>
      </c>
      <c r="K247" s="20">
        <v>85</v>
      </c>
      <c r="L247" s="49">
        <f t="shared" ref="L247:L256" si="127">L246+0.125</f>
        <v>6.5</v>
      </c>
      <c r="M247" s="20">
        <v>85</v>
      </c>
      <c r="N247" s="20">
        <v>85</v>
      </c>
      <c r="O247" s="20">
        <v>85</v>
      </c>
      <c r="P247" s="27">
        <v>85</v>
      </c>
      <c r="V247" s="536"/>
    </row>
    <row r="248" spans="2:22" ht="21.95" hidden="1" customHeight="1" x14ac:dyDescent="0.25">
      <c r="B248" s="49">
        <f t="shared" si="125"/>
        <v>6.625</v>
      </c>
      <c r="C248" s="20">
        <v>85</v>
      </c>
      <c r="D248" s="20">
        <v>85</v>
      </c>
      <c r="E248" s="20">
        <v>85</v>
      </c>
      <c r="F248" s="20">
        <v>85</v>
      </c>
      <c r="G248" s="49">
        <f t="shared" si="126"/>
        <v>6.625</v>
      </c>
      <c r="H248" s="20">
        <v>85</v>
      </c>
      <c r="I248" s="20">
        <v>85</v>
      </c>
      <c r="J248" s="20">
        <v>85</v>
      </c>
      <c r="K248" s="20">
        <v>85</v>
      </c>
      <c r="L248" s="49">
        <f t="shared" si="127"/>
        <v>6.625</v>
      </c>
      <c r="M248" s="20">
        <v>85</v>
      </c>
      <c r="N248" s="20">
        <v>85</v>
      </c>
      <c r="O248" s="20">
        <v>85</v>
      </c>
      <c r="P248" s="27">
        <v>85</v>
      </c>
      <c r="V248" s="536"/>
    </row>
    <row r="249" spans="2:22" ht="21.95" hidden="1" customHeight="1" x14ac:dyDescent="0.25">
      <c r="B249" s="49">
        <f t="shared" si="125"/>
        <v>6.75</v>
      </c>
      <c r="C249" s="20">
        <v>85</v>
      </c>
      <c r="D249" s="20">
        <v>85</v>
      </c>
      <c r="E249" s="20">
        <v>85</v>
      </c>
      <c r="F249" s="20">
        <v>85</v>
      </c>
      <c r="G249" s="49">
        <f t="shared" si="126"/>
        <v>6.75</v>
      </c>
      <c r="H249" s="20">
        <v>85</v>
      </c>
      <c r="I249" s="20">
        <v>85</v>
      </c>
      <c r="J249" s="20">
        <v>85</v>
      </c>
      <c r="K249" s="20">
        <v>85</v>
      </c>
      <c r="L249" s="49">
        <f t="shared" si="127"/>
        <v>6.75</v>
      </c>
      <c r="M249" s="20">
        <v>85</v>
      </c>
      <c r="N249" s="20">
        <v>85</v>
      </c>
      <c r="O249" s="20">
        <v>85</v>
      </c>
      <c r="P249" s="27">
        <v>85</v>
      </c>
      <c r="V249" s="536"/>
    </row>
    <row r="250" spans="2:22" ht="21.95" hidden="1" customHeight="1" x14ac:dyDescent="0.25">
      <c r="B250" s="49">
        <f t="shared" si="125"/>
        <v>6.875</v>
      </c>
      <c r="C250" s="20">
        <v>85</v>
      </c>
      <c r="D250" s="20">
        <v>85</v>
      </c>
      <c r="E250" s="20">
        <v>85</v>
      </c>
      <c r="F250" s="20">
        <v>85</v>
      </c>
      <c r="G250" s="49">
        <f t="shared" si="126"/>
        <v>6.875</v>
      </c>
      <c r="H250" s="20">
        <v>85</v>
      </c>
      <c r="I250" s="20">
        <v>85</v>
      </c>
      <c r="J250" s="20">
        <v>85</v>
      </c>
      <c r="K250" s="20">
        <v>85</v>
      </c>
      <c r="L250" s="49">
        <f t="shared" si="127"/>
        <v>6.875</v>
      </c>
      <c r="M250" s="20">
        <v>85</v>
      </c>
      <c r="N250" s="20">
        <v>85</v>
      </c>
      <c r="O250" s="20">
        <v>85</v>
      </c>
      <c r="P250" s="27">
        <v>85</v>
      </c>
      <c r="V250" s="536"/>
    </row>
    <row r="251" spans="2:22" ht="21.95" hidden="1" customHeight="1" x14ac:dyDescent="0.25">
      <c r="B251" s="49">
        <f t="shared" si="125"/>
        <v>7</v>
      </c>
      <c r="C251" s="20">
        <v>85</v>
      </c>
      <c r="D251" s="20">
        <v>85</v>
      </c>
      <c r="E251" s="20">
        <v>85</v>
      </c>
      <c r="F251" s="20">
        <v>85</v>
      </c>
      <c r="G251" s="49">
        <f t="shared" si="126"/>
        <v>7</v>
      </c>
      <c r="H251" s="20">
        <v>85</v>
      </c>
      <c r="I251" s="20">
        <v>85</v>
      </c>
      <c r="J251" s="20">
        <v>85</v>
      </c>
      <c r="K251" s="20">
        <v>85</v>
      </c>
      <c r="L251" s="49">
        <f t="shared" si="127"/>
        <v>7</v>
      </c>
      <c r="M251" s="20">
        <v>85</v>
      </c>
      <c r="N251" s="20">
        <v>85</v>
      </c>
      <c r="O251" s="20">
        <v>85</v>
      </c>
      <c r="P251" s="27">
        <v>85</v>
      </c>
      <c r="V251" s="536"/>
    </row>
    <row r="252" spans="2:22" ht="21.95" hidden="1" customHeight="1" x14ac:dyDescent="0.25">
      <c r="B252" s="49">
        <f t="shared" si="125"/>
        <v>7.125</v>
      </c>
      <c r="C252" s="20">
        <v>85</v>
      </c>
      <c r="D252" s="20">
        <v>85</v>
      </c>
      <c r="E252" s="20">
        <v>85</v>
      </c>
      <c r="F252" s="20">
        <v>85</v>
      </c>
      <c r="G252" s="49">
        <f t="shared" si="126"/>
        <v>7.125</v>
      </c>
      <c r="H252" s="20">
        <v>85</v>
      </c>
      <c r="I252" s="20">
        <v>85</v>
      </c>
      <c r="J252" s="20">
        <v>85</v>
      </c>
      <c r="K252" s="20">
        <v>85</v>
      </c>
      <c r="L252" s="49">
        <f t="shared" si="127"/>
        <v>7.125</v>
      </c>
      <c r="M252" s="20">
        <v>85</v>
      </c>
      <c r="N252" s="20">
        <v>85</v>
      </c>
      <c r="O252" s="20">
        <v>85</v>
      </c>
      <c r="P252" s="27">
        <v>85</v>
      </c>
      <c r="V252" s="536"/>
    </row>
    <row r="253" spans="2:22" ht="21.95" hidden="1" customHeight="1" x14ac:dyDescent="0.25">
      <c r="B253" s="49">
        <f t="shared" si="125"/>
        <v>7.25</v>
      </c>
      <c r="C253" s="20">
        <v>85</v>
      </c>
      <c r="D253" s="20">
        <v>85</v>
      </c>
      <c r="E253" s="20">
        <v>85</v>
      </c>
      <c r="F253" s="20">
        <v>85</v>
      </c>
      <c r="G253" s="49">
        <f t="shared" si="126"/>
        <v>7.25</v>
      </c>
      <c r="H253" s="20">
        <v>85</v>
      </c>
      <c r="I253" s="20">
        <v>85</v>
      </c>
      <c r="J253" s="20">
        <v>85</v>
      </c>
      <c r="K253" s="20">
        <v>85</v>
      </c>
      <c r="L253" s="49">
        <f t="shared" si="127"/>
        <v>7.25</v>
      </c>
      <c r="M253" s="20">
        <v>85</v>
      </c>
      <c r="N253" s="20">
        <v>85</v>
      </c>
      <c r="O253" s="20">
        <v>85</v>
      </c>
      <c r="P253" s="27">
        <v>85</v>
      </c>
      <c r="V253" s="536"/>
    </row>
    <row r="254" spans="2:22" ht="21.95" hidden="1" customHeight="1" x14ac:dyDescent="0.25">
      <c r="B254" s="49">
        <f t="shared" si="125"/>
        <v>7.375</v>
      </c>
      <c r="C254" s="20">
        <v>85</v>
      </c>
      <c r="D254" s="20">
        <v>85</v>
      </c>
      <c r="E254" s="20">
        <v>85</v>
      </c>
      <c r="F254" s="20">
        <v>85</v>
      </c>
      <c r="G254" s="49">
        <f t="shared" si="126"/>
        <v>7.375</v>
      </c>
      <c r="H254" s="20">
        <v>85</v>
      </c>
      <c r="I254" s="20">
        <v>85</v>
      </c>
      <c r="J254" s="20">
        <v>85</v>
      </c>
      <c r="K254" s="20">
        <v>85</v>
      </c>
      <c r="L254" s="49">
        <f t="shared" si="127"/>
        <v>7.375</v>
      </c>
      <c r="M254" s="20">
        <v>85</v>
      </c>
      <c r="N254" s="20">
        <v>85</v>
      </c>
      <c r="O254" s="20">
        <v>85</v>
      </c>
      <c r="P254" s="27">
        <v>85</v>
      </c>
      <c r="V254" s="536"/>
    </row>
    <row r="255" spans="2:22" ht="21.95" hidden="1" customHeight="1" x14ac:dyDescent="0.25">
      <c r="B255" s="49">
        <f t="shared" si="125"/>
        <v>7.5</v>
      </c>
      <c r="C255" s="20">
        <v>85</v>
      </c>
      <c r="D255" s="20">
        <v>85</v>
      </c>
      <c r="E255" s="20">
        <v>85</v>
      </c>
      <c r="F255" s="20">
        <v>85</v>
      </c>
      <c r="G255" s="49">
        <f t="shared" si="126"/>
        <v>7.5</v>
      </c>
      <c r="H255" s="20">
        <v>85</v>
      </c>
      <c r="I255" s="20">
        <v>85</v>
      </c>
      <c r="J255" s="20">
        <v>85</v>
      </c>
      <c r="K255" s="20">
        <v>85</v>
      </c>
      <c r="L255" s="49">
        <f t="shared" si="127"/>
        <v>7.5</v>
      </c>
      <c r="M255" s="20">
        <v>85</v>
      </c>
      <c r="N255" s="20">
        <v>85</v>
      </c>
      <c r="O255" s="20">
        <v>85</v>
      </c>
      <c r="P255" s="27">
        <v>85</v>
      </c>
      <c r="Q255" s="537"/>
      <c r="R255" s="537"/>
      <c r="S255" s="537"/>
      <c r="T255" s="537"/>
      <c r="U255" s="537"/>
      <c r="V255" s="536"/>
    </row>
    <row r="256" spans="2:22" ht="21.95" hidden="1" customHeight="1" x14ac:dyDescent="0.25">
      <c r="B256" s="49">
        <f t="shared" si="125"/>
        <v>7.625</v>
      </c>
      <c r="C256" s="20">
        <v>85</v>
      </c>
      <c r="D256" s="20">
        <v>85</v>
      </c>
      <c r="E256" s="20">
        <v>85</v>
      </c>
      <c r="F256" s="20">
        <v>85</v>
      </c>
      <c r="G256" s="49">
        <f t="shared" si="126"/>
        <v>7.625</v>
      </c>
      <c r="H256" s="20">
        <v>85</v>
      </c>
      <c r="I256" s="20">
        <v>85</v>
      </c>
      <c r="J256" s="20">
        <v>85</v>
      </c>
      <c r="K256" s="20">
        <v>85</v>
      </c>
      <c r="L256" s="49">
        <f t="shared" si="127"/>
        <v>7.625</v>
      </c>
      <c r="M256" s="20">
        <v>85</v>
      </c>
      <c r="N256" s="20">
        <v>85</v>
      </c>
      <c r="O256" s="20">
        <v>85</v>
      </c>
      <c r="P256" s="27">
        <v>85</v>
      </c>
      <c r="Q256" s="537"/>
      <c r="R256" s="537"/>
      <c r="S256" s="537"/>
      <c r="T256" s="537"/>
      <c r="U256" s="537"/>
      <c r="V256" s="536"/>
    </row>
    <row r="257" spans="2:22" ht="21.95" hidden="1" customHeight="1" x14ac:dyDescent="0.25">
      <c r="B257" s="49"/>
      <c r="C257" s="20"/>
      <c r="D257" s="20"/>
      <c r="E257" s="20"/>
      <c r="F257" s="20"/>
      <c r="G257" s="49"/>
      <c r="H257" s="20"/>
      <c r="I257" s="20"/>
      <c r="J257" s="20"/>
      <c r="K257" s="20"/>
      <c r="L257" s="49"/>
      <c r="M257" s="20"/>
      <c r="N257" s="20"/>
      <c r="O257" s="20"/>
      <c r="P257" s="27"/>
      <c r="Q257" s="537"/>
      <c r="R257" s="537"/>
      <c r="S257" s="537"/>
      <c r="T257" s="537"/>
      <c r="U257" s="537"/>
      <c r="V257" s="536"/>
    </row>
    <row r="258" spans="2:22" ht="21.95" hidden="1" customHeight="1" thickBot="1" x14ac:dyDescent="0.25">
      <c r="B258" s="49"/>
      <c r="C258" s="20"/>
      <c r="D258" s="20"/>
      <c r="E258" s="20"/>
      <c r="F258" s="20"/>
      <c r="G258" s="49"/>
      <c r="H258" s="20"/>
      <c r="I258" s="20"/>
      <c r="J258" s="20"/>
      <c r="K258" s="20"/>
      <c r="L258" s="538"/>
      <c r="M258" s="539"/>
      <c r="N258" s="539"/>
      <c r="O258" s="539"/>
      <c r="P258" s="540"/>
      <c r="Q258" s="537"/>
      <c r="R258" s="537"/>
      <c r="S258" s="537"/>
      <c r="T258" s="537"/>
      <c r="U258" s="537"/>
      <c r="V258" s="541"/>
    </row>
    <row r="259" spans="2:22" ht="21.95" hidden="1" customHeight="1" thickBot="1" x14ac:dyDescent="0.25">
      <c r="B259" s="49"/>
      <c r="C259" s="20"/>
      <c r="D259" s="20"/>
      <c r="E259" s="20"/>
      <c r="F259" s="20"/>
      <c r="G259" s="49"/>
      <c r="H259" s="20"/>
      <c r="I259" s="20"/>
      <c r="J259" s="20"/>
      <c r="K259" s="20"/>
      <c r="L259" s="793" t="s">
        <v>109</v>
      </c>
      <c r="M259" s="794"/>
      <c r="N259" s="794"/>
      <c r="O259" s="794"/>
      <c r="P259" s="794"/>
      <c r="Q259" s="794"/>
      <c r="R259" s="794"/>
      <c r="S259" s="794"/>
      <c r="T259" s="794"/>
      <c r="U259" s="794"/>
      <c r="V259" s="910"/>
    </row>
    <row r="260" spans="2:22" ht="21.95" hidden="1" customHeight="1" x14ac:dyDescent="0.25">
      <c r="B260" s="49"/>
      <c r="C260" s="20"/>
      <c r="D260" s="20"/>
      <c r="E260" s="20"/>
      <c r="F260" s="20"/>
      <c r="G260" s="49"/>
      <c r="H260" s="20"/>
      <c r="I260" s="20"/>
      <c r="J260" s="20"/>
      <c r="K260" s="20"/>
      <c r="L260" s="793" t="s">
        <v>213</v>
      </c>
      <c r="M260" s="794"/>
      <c r="N260" s="794"/>
      <c r="O260" s="794"/>
      <c r="P260" s="794"/>
      <c r="Q260" s="794"/>
      <c r="R260" s="794"/>
      <c r="S260" s="794"/>
      <c r="T260" s="794"/>
      <c r="U260" s="794"/>
      <c r="V260" s="910"/>
    </row>
    <row r="261" spans="2:22" ht="21.95" hidden="1" customHeight="1" x14ac:dyDescent="0.25">
      <c r="B261" s="49"/>
      <c r="C261" s="20"/>
      <c r="D261" s="20"/>
      <c r="E261" s="20"/>
      <c r="F261" s="20"/>
      <c r="G261" s="170"/>
      <c r="H261" s="169"/>
      <c r="I261" s="169"/>
      <c r="J261" s="169"/>
      <c r="K261" s="171"/>
      <c r="L261" s="1002" t="s">
        <v>133</v>
      </c>
      <c r="M261" s="1003"/>
      <c r="N261" s="157" t="s">
        <v>110</v>
      </c>
      <c r="O261" s="157" t="s">
        <v>148</v>
      </c>
      <c r="P261" s="1003" t="s">
        <v>149</v>
      </c>
      <c r="Q261" s="1003"/>
      <c r="R261" s="1003"/>
      <c r="S261" s="158" t="s">
        <v>15</v>
      </c>
      <c r="T261" s="159" t="s">
        <v>134</v>
      </c>
      <c r="U261" s="158" t="s">
        <v>135</v>
      </c>
      <c r="V261" s="160" t="s">
        <v>136</v>
      </c>
    </row>
    <row r="262" spans="2:22" ht="21.95" hidden="1" customHeight="1" x14ac:dyDescent="0.25">
      <c r="B262" s="1028" t="s">
        <v>111</v>
      </c>
      <c r="C262" s="1029"/>
      <c r="D262" s="1029"/>
      <c r="E262" s="1029"/>
      <c r="F262" s="1029"/>
      <c r="G262" s="1029"/>
      <c r="H262" s="1029"/>
      <c r="I262" s="1029"/>
      <c r="J262" s="1029"/>
      <c r="K262" s="1030"/>
      <c r="L262" s="1006" t="s">
        <v>137</v>
      </c>
      <c r="M262" s="976"/>
      <c r="N262" s="161">
        <v>1000000</v>
      </c>
      <c r="O262" s="976" t="s">
        <v>138</v>
      </c>
      <c r="P262" s="976" t="s">
        <v>139</v>
      </c>
      <c r="Q262" s="976"/>
      <c r="R262" s="976"/>
      <c r="S262" s="162">
        <v>720</v>
      </c>
      <c r="T262" s="976" t="s">
        <v>140</v>
      </c>
      <c r="U262" s="163">
        <v>0.43</v>
      </c>
      <c r="V262" s="164">
        <v>12</v>
      </c>
    </row>
    <row r="263" spans="2:22" ht="21.95" hidden="1" customHeight="1" x14ac:dyDescent="0.25">
      <c r="B263" s="1031"/>
      <c r="C263" s="1032"/>
      <c r="D263" s="1032"/>
      <c r="E263" s="1032"/>
      <c r="F263" s="1032"/>
      <c r="G263" s="1032"/>
      <c r="H263" s="1032"/>
      <c r="I263" s="1032"/>
      <c r="J263" s="1032"/>
      <c r="K263" s="1033"/>
      <c r="L263" s="1006"/>
      <c r="M263" s="976"/>
      <c r="N263" s="161">
        <v>2000000</v>
      </c>
      <c r="O263" s="976"/>
      <c r="P263" s="976" t="s">
        <v>141</v>
      </c>
      <c r="Q263" s="976"/>
      <c r="R263" s="976"/>
      <c r="S263" s="162">
        <v>720</v>
      </c>
      <c r="T263" s="976"/>
      <c r="U263" s="163">
        <v>0.41</v>
      </c>
      <c r="V263" s="164">
        <v>18</v>
      </c>
    </row>
    <row r="264" spans="2:22" ht="21.95" hidden="1" customHeight="1" x14ac:dyDescent="0.3">
      <c r="B264" s="1008" t="s">
        <v>112</v>
      </c>
      <c r="C264" s="1009"/>
      <c r="D264" s="1009"/>
      <c r="E264" s="1009"/>
      <c r="F264" s="1009"/>
      <c r="G264" s="1009"/>
      <c r="H264" s="1009"/>
      <c r="I264" s="1009"/>
      <c r="J264" s="1009"/>
      <c r="K264" s="1010"/>
      <c r="L264" s="1006" t="s">
        <v>142</v>
      </c>
      <c r="M264" s="976"/>
      <c r="N264" s="165">
        <v>1000000</v>
      </c>
      <c r="O264" s="976" t="s">
        <v>138</v>
      </c>
      <c r="P264" s="1017" t="s">
        <v>143</v>
      </c>
      <c r="Q264" s="1017"/>
      <c r="R264" s="1017"/>
      <c r="S264" s="975">
        <v>740</v>
      </c>
      <c r="T264" s="1018">
        <v>350000</v>
      </c>
      <c r="U264" s="1011">
        <v>0.43</v>
      </c>
      <c r="V264" s="1012">
        <v>24</v>
      </c>
    </row>
    <row r="265" spans="2:22" ht="21.95" hidden="1" customHeight="1" thickBot="1" x14ac:dyDescent="0.25">
      <c r="B265" s="1000"/>
      <c r="C265" s="844" t="s">
        <v>113</v>
      </c>
      <c r="D265" s="844" t="s">
        <v>114</v>
      </c>
      <c r="E265" s="844" t="s">
        <v>115</v>
      </c>
      <c r="F265" s="844" t="s">
        <v>116</v>
      </c>
      <c r="G265" s="844" t="s">
        <v>117</v>
      </c>
      <c r="H265" s="844" t="s">
        <v>43</v>
      </c>
      <c r="I265" s="844" t="s">
        <v>44</v>
      </c>
      <c r="J265" s="844" t="s">
        <v>118</v>
      </c>
      <c r="K265" s="830" t="s">
        <v>119</v>
      </c>
      <c r="L265" s="1006"/>
      <c r="M265" s="976"/>
      <c r="N265" s="165">
        <v>1500000</v>
      </c>
      <c r="O265" s="976"/>
      <c r="P265" s="1017" t="s">
        <v>144</v>
      </c>
      <c r="Q265" s="1017"/>
      <c r="R265" s="1017"/>
      <c r="S265" s="975"/>
      <c r="T265" s="1018"/>
      <c r="U265" s="1011"/>
      <c r="V265" s="1012"/>
    </row>
    <row r="266" spans="2:22" ht="21.95" hidden="1" customHeight="1" x14ac:dyDescent="0.25">
      <c r="B266" s="1001"/>
      <c r="C266" s="845"/>
      <c r="D266" s="845"/>
      <c r="E266" s="845"/>
      <c r="F266" s="845"/>
      <c r="G266" s="845"/>
      <c r="H266" s="845"/>
      <c r="I266" s="845"/>
      <c r="J266" s="845"/>
      <c r="K266" s="831"/>
      <c r="L266" s="793" t="s">
        <v>214</v>
      </c>
      <c r="M266" s="794"/>
      <c r="N266" s="794"/>
      <c r="O266" s="794"/>
      <c r="P266" s="794"/>
      <c r="Q266" s="794"/>
      <c r="R266" s="794"/>
      <c r="S266" s="794"/>
      <c r="T266" s="794"/>
      <c r="U266" s="794"/>
      <c r="V266" s="910"/>
    </row>
    <row r="267" spans="2:22" ht="21.95" hidden="1" customHeight="1" x14ac:dyDescent="0.25">
      <c r="B267" s="172" t="s">
        <v>120</v>
      </c>
      <c r="C267" s="173">
        <v>0</v>
      </c>
      <c r="D267" s="173">
        <v>0</v>
      </c>
      <c r="E267" s="174">
        <v>-0.25</v>
      </c>
      <c r="F267" s="173">
        <v>-0.25</v>
      </c>
      <c r="G267" s="173">
        <v>-0.5</v>
      </c>
      <c r="H267" s="173">
        <v>-0.5</v>
      </c>
      <c r="I267" s="173">
        <v>-0.75</v>
      </c>
      <c r="J267" s="173" t="s">
        <v>121</v>
      </c>
      <c r="K267" s="175" t="s">
        <v>121</v>
      </c>
      <c r="L267" s="1047" t="s">
        <v>133</v>
      </c>
      <c r="M267" s="979"/>
      <c r="N267" s="157" t="s">
        <v>110</v>
      </c>
      <c r="O267" s="158" t="s">
        <v>148</v>
      </c>
      <c r="P267" s="1038" t="s">
        <v>149</v>
      </c>
      <c r="Q267" s="1039"/>
      <c r="R267" s="1040"/>
      <c r="S267" s="158" t="s">
        <v>15</v>
      </c>
      <c r="T267" s="166" t="s">
        <v>145</v>
      </c>
      <c r="U267" s="158" t="s">
        <v>135</v>
      </c>
      <c r="V267" s="167" t="s">
        <v>136</v>
      </c>
    </row>
    <row r="268" spans="2:22" ht="21.95" hidden="1" customHeight="1" x14ac:dyDescent="0.25">
      <c r="B268" s="172" t="s">
        <v>122</v>
      </c>
      <c r="C268" s="173">
        <v>0</v>
      </c>
      <c r="D268" s="173">
        <v>0</v>
      </c>
      <c r="E268" s="174">
        <v>-0.25</v>
      </c>
      <c r="F268" s="173">
        <v>-0.25</v>
      </c>
      <c r="G268" s="173">
        <v>-0.5</v>
      </c>
      <c r="H268" s="173">
        <v>-0.5</v>
      </c>
      <c r="I268" s="173">
        <v>-0.75</v>
      </c>
      <c r="J268" s="173" t="s">
        <v>121</v>
      </c>
      <c r="K268" s="175" t="s">
        <v>121</v>
      </c>
      <c r="L268" s="807" t="s">
        <v>137</v>
      </c>
      <c r="M268" s="809"/>
      <c r="N268" s="1045">
        <v>2000000</v>
      </c>
      <c r="O268" s="1041" t="s">
        <v>138</v>
      </c>
      <c r="P268" s="1043" t="s">
        <v>143</v>
      </c>
      <c r="Q268" s="808"/>
      <c r="R268" s="809"/>
      <c r="S268" s="1004">
        <v>720</v>
      </c>
      <c r="T268" s="1041" t="s">
        <v>140</v>
      </c>
      <c r="U268" s="1073">
        <v>0.43</v>
      </c>
      <c r="V268" s="1075">
        <v>18</v>
      </c>
    </row>
    <row r="269" spans="2:22" ht="21.95" hidden="1" customHeight="1" x14ac:dyDescent="0.25">
      <c r="B269" s="172" t="s">
        <v>123</v>
      </c>
      <c r="C269" s="173">
        <v>-0.25</v>
      </c>
      <c r="D269" s="173">
        <v>-0.25</v>
      </c>
      <c r="E269" s="174">
        <v>-0.5</v>
      </c>
      <c r="F269" s="173">
        <v>-0.5</v>
      </c>
      <c r="G269" s="173">
        <v>-0.75</v>
      </c>
      <c r="H269" s="173">
        <v>-0.75</v>
      </c>
      <c r="I269" s="173">
        <v>-1</v>
      </c>
      <c r="J269" s="173" t="s">
        <v>121</v>
      </c>
      <c r="K269" s="176" t="s">
        <v>121</v>
      </c>
      <c r="L269" s="810"/>
      <c r="M269" s="812"/>
      <c r="N269" s="1046"/>
      <c r="O269" s="1042"/>
      <c r="P269" s="1044"/>
      <c r="Q269" s="811"/>
      <c r="R269" s="812"/>
      <c r="S269" s="1005"/>
      <c r="T269" s="1042"/>
      <c r="U269" s="1074"/>
      <c r="V269" s="1076"/>
    </row>
    <row r="270" spans="2:22" ht="21.95" hidden="1" customHeight="1" thickBot="1" x14ac:dyDescent="0.25">
      <c r="B270" s="172" t="s">
        <v>124</v>
      </c>
      <c r="C270" s="173">
        <v>-0.25</v>
      </c>
      <c r="D270" s="173">
        <v>-0.25</v>
      </c>
      <c r="E270" s="174">
        <v>-0.5</v>
      </c>
      <c r="F270" s="173">
        <v>-0.5</v>
      </c>
      <c r="G270" s="173">
        <v>-0.75</v>
      </c>
      <c r="H270" s="173">
        <v>-0.75</v>
      </c>
      <c r="I270" s="173">
        <v>-1</v>
      </c>
      <c r="J270" s="173" t="s">
        <v>121</v>
      </c>
      <c r="K270" s="176" t="s">
        <v>121</v>
      </c>
      <c r="L270" s="972" t="s">
        <v>150</v>
      </c>
      <c r="M270" s="973"/>
      <c r="N270" s="973"/>
      <c r="O270" s="973"/>
      <c r="P270" s="973"/>
      <c r="Q270" s="973"/>
      <c r="R270" s="973"/>
      <c r="S270" s="973"/>
      <c r="T270" s="973"/>
      <c r="U270" s="973"/>
      <c r="V270" s="974"/>
    </row>
    <row r="271" spans="2:22" ht="21.95" hidden="1" customHeight="1" x14ac:dyDescent="0.25">
      <c r="B271" s="172" t="s">
        <v>125</v>
      </c>
      <c r="C271" s="173">
        <v>-0.5</v>
      </c>
      <c r="D271" s="173">
        <v>-0.5</v>
      </c>
      <c r="E271" s="174">
        <v>-0.5</v>
      </c>
      <c r="F271" s="173">
        <v>-0.5</v>
      </c>
      <c r="G271" s="173">
        <v>-0.75</v>
      </c>
      <c r="H271" s="173">
        <v>-0.75</v>
      </c>
      <c r="I271" s="173">
        <v>-1</v>
      </c>
      <c r="J271" s="173" t="s">
        <v>121</v>
      </c>
      <c r="K271" s="175" t="s">
        <v>121</v>
      </c>
      <c r="L271" s="793" t="s">
        <v>215</v>
      </c>
      <c r="M271" s="794"/>
      <c r="N271" s="794"/>
      <c r="O271" s="794"/>
      <c r="P271" s="794"/>
      <c r="Q271" s="794"/>
      <c r="R271" s="794"/>
      <c r="S271" s="794"/>
      <c r="T271" s="794"/>
      <c r="U271" s="794"/>
      <c r="V271" s="910"/>
    </row>
    <row r="272" spans="2:22" ht="21.95" hidden="1" customHeight="1" x14ac:dyDescent="0.25">
      <c r="B272" s="177"/>
      <c r="C272" s="168"/>
      <c r="D272" s="168"/>
      <c r="E272" s="156"/>
      <c r="F272" s="542"/>
      <c r="G272" s="55"/>
      <c r="H272" s="543"/>
      <c r="I272" s="178"/>
      <c r="J272" s="178"/>
      <c r="K272" s="544"/>
      <c r="L272" s="1002" t="s">
        <v>133</v>
      </c>
      <c r="M272" s="1003"/>
      <c r="N272" s="157" t="s">
        <v>110</v>
      </c>
      <c r="O272" s="545" t="s">
        <v>151</v>
      </c>
      <c r="P272" s="1003" t="s">
        <v>152</v>
      </c>
      <c r="Q272" s="1003"/>
      <c r="R272" s="1003"/>
      <c r="S272" s="158" t="s">
        <v>15</v>
      </c>
      <c r="T272" s="159" t="s">
        <v>134</v>
      </c>
      <c r="U272" s="158" t="s">
        <v>135</v>
      </c>
      <c r="V272" s="160" t="s">
        <v>136</v>
      </c>
    </row>
    <row r="273" spans="2:22" ht="21.95" hidden="1" customHeight="1" x14ac:dyDescent="0.3">
      <c r="B273" s="1008" t="s">
        <v>126</v>
      </c>
      <c r="C273" s="1009"/>
      <c r="D273" s="1009"/>
      <c r="E273" s="1009"/>
      <c r="F273" s="1009"/>
      <c r="G273" s="1009"/>
      <c r="H273" s="1009"/>
      <c r="I273" s="1009"/>
      <c r="J273" s="1009"/>
      <c r="K273" s="1010"/>
      <c r="L273" s="1006" t="s">
        <v>137</v>
      </c>
      <c r="M273" s="976"/>
      <c r="N273" s="1007">
        <v>1500000</v>
      </c>
      <c r="O273" s="976" t="s">
        <v>138</v>
      </c>
      <c r="P273" s="976" t="s">
        <v>146</v>
      </c>
      <c r="Q273" s="976"/>
      <c r="R273" s="976"/>
      <c r="S273" s="975">
        <v>740</v>
      </c>
      <c r="T273" s="976" t="s">
        <v>140</v>
      </c>
      <c r="U273" s="1011">
        <v>0.43</v>
      </c>
      <c r="V273" s="1012">
        <v>18</v>
      </c>
    </row>
    <row r="274" spans="2:22" ht="21.95" hidden="1" customHeight="1" x14ac:dyDescent="0.25">
      <c r="B274" s="179" t="s">
        <v>127</v>
      </c>
      <c r="C274" s="168"/>
      <c r="D274" s="180">
        <v>-0.75</v>
      </c>
      <c r="F274" s="500"/>
      <c r="G274" s="181" t="s">
        <v>128</v>
      </c>
      <c r="H274" s="168"/>
      <c r="I274" s="180">
        <v>-0.25</v>
      </c>
      <c r="K274" s="45"/>
      <c r="L274" s="823"/>
      <c r="M274" s="976"/>
      <c r="N274" s="1007"/>
      <c r="O274" s="976"/>
      <c r="P274" s="976"/>
      <c r="Q274" s="976"/>
      <c r="R274" s="976"/>
      <c r="S274" s="975"/>
      <c r="T274" s="976"/>
      <c r="U274" s="1011"/>
      <c r="V274" s="1012"/>
    </row>
    <row r="275" spans="2:22" ht="21.95" hidden="1" customHeight="1" thickBot="1" x14ac:dyDescent="0.25">
      <c r="B275" s="179" t="s">
        <v>129</v>
      </c>
      <c r="C275" s="168"/>
      <c r="D275" s="180">
        <v>-1.25</v>
      </c>
      <c r="F275" s="500"/>
      <c r="G275" s="181" t="s">
        <v>130</v>
      </c>
      <c r="H275" s="168"/>
      <c r="I275" s="180">
        <v>0</v>
      </c>
      <c r="K275" s="45"/>
      <c r="L275" s="973" t="s">
        <v>153</v>
      </c>
      <c r="M275" s="973"/>
      <c r="N275" s="973"/>
      <c r="O275" s="973"/>
      <c r="P275" s="973"/>
      <c r="Q275" s="973"/>
      <c r="R275" s="973"/>
      <c r="S275" s="973"/>
      <c r="T275" s="973"/>
      <c r="U275" s="973"/>
      <c r="V275" s="974"/>
    </row>
    <row r="276" spans="2:22" ht="21.95" hidden="1" customHeight="1" x14ac:dyDescent="0.25">
      <c r="B276" s="179" t="s">
        <v>131</v>
      </c>
      <c r="C276" s="168"/>
      <c r="D276" s="180">
        <v>-0.125</v>
      </c>
      <c r="F276" s="500"/>
      <c r="G276" s="181" t="s">
        <v>132</v>
      </c>
      <c r="H276" s="168"/>
      <c r="I276" s="180" t="s">
        <v>77</v>
      </c>
      <c r="K276" s="45"/>
      <c r="L276" s="794" t="s">
        <v>216</v>
      </c>
      <c r="M276" s="794"/>
      <c r="N276" s="794"/>
      <c r="O276" s="794"/>
      <c r="P276" s="794"/>
      <c r="Q276" s="794"/>
      <c r="R276" s="794"/>
      <c r="S276" s="794"/>
      <c r="T276" s="794"/>
      <c r="U276" s="794"/>
      <c r="V276" s="910"/>
    </row>
    <row r="277" spans="2:22" ht="21.95" hidden="1" customHeight="1" x14ac:dyDescent="0.25">
      <c r="B277" s="179" t="s">
        <v>8</v>
      </c>
      <c r="C277" s="168"/>
      <c r="D277" s="180">
        <v>-0.25</v>
      </c>
      <c r="F277" s="500"/>
      <c r="G277" s="181" t="s">
        <v>163</v>
      </c>
      <c r="I277" s="180">
        <v>-0.5</v>
      </c>
      <c r="J277" s="182"/>
      <c r="K277" s="183"/>
      <c r="L277" s="979" t="s">
        <v>133</v>
      </c>
      <c r="M277" s="1003"/>
      <c r="N277" s="157" t="s">
        <v>110</v>
      </c>
      <c r="O277" s="158" t="s">
        <v>148</v>
      </c>
      <c r="P277" s="977" t="s">
        <v>154</v>
      </c>
      <c r="Q277" s="978"/>
      <c r="R277" s="979"/>
      <c r="S277" s="158" t="s">
        <v>15</v>
      </c>
      <c r="T277" s="158" t="s">
        <v>145</v>
      </c>
      <c r="U277" s="158" t="s">
        <v>135</v>
      </c>
      <c r="V277" s="160" t="s">
        <v>136</v>
      </c>
    </row>
    <row r="278" spans="2:22" ht="21.95" hidden="1" customHeight="1" x14ac:dyDescent="0.25">
      <c r="B278" s="179"/>
      <c r="D278" s="180"/>
      <c r="F278" s="500"/>
      <c r="G278" s="44"/>
      <c r="H278" s="184"/>
      <c r="I278" s="184"/>
      <c r="J278" s="185"/>
      <c r="K278" s="183"/>
      <c r="L278" s="976" t="s">
        <v>137</v>
      </c>
      <c r="M278" s="976"/>
      <c r="N278" s="1077">
        <v>1500000</v>
      </c>
      <c r="O278" s="976" t="s">
        <v>138</v>
      </c>
      <c r="P278" s="976" t="s">
        <v>147</v>
      </c>
      <c r="Q278" s="976"/>
      <c r="R278" s="976"/>
      <c r="S278" s="975">
        <v>760</v>
      </c>
      <c r="T278" s="976" t="s">
        <v>140</v>
      </c>
      <c r="U278" s="1011">
        <v>0.4</v>
      </c>
      <c r="V278" s="975">
        <v>36</v>
      </c>
    </row>
    <row r="279" spans="2:22" ht="21.95" hidden="1" customHeight="1" x14ac:dyDescent="0.3">
      <c r="B279" s="1008" t="s">
        <v>83</v>
      </c>
      <c r="C279" s="1009"/>
      <c r="D279" s="1009"/>
      <c r="E279" s="1009"/>
      <c r="F279" s="1009"/>
      <c r="G279" s="1009"/>
      <c r="H279" s="1009"/>
      <c r="I279" s="1009"/>
      <c r="J279" s="1009"/>
      <c r="K279" s="1010"/>
      <c r="L279" s="976"/>
      <c r="M279" s="976"/>
      <c r="N279" s="1077"/>
      <c r="O279" s="976"/>
      <c r="P279" s="976"/>
      <c r="Q279" s="976"/>
      <c r="R279" s="976"/>
      <c r="S279" s="975"/>
      <c r="T279" s="976"/>
      <c r="U279" s="1011"/>
      <c r="V279" s="975"/>
    </row>
    <row r="280" spans="2:22" ht="21.95" hidden="1" customHeight="1" thickBot="1" x14ac:dyDescent="0.25">
      <c r="B280" s="186" t="s">
        <v>386</v>
      </c>
      <c r="C280" s="187"/>
      <c r="D280" s="188"/>
      <c r="E280" s="546"/>
      <c r="F280" s="188">
        <v>0</v>
      </c>
      <c r="G280" s="189" t="s">
        <v>387</v>
      </c>
      <c r="H280" s="187"/>
      <c r="I280" s="188"/>
      <c r="J280" s="546"/>
      <c r="K280" s="188">
        <v>-0.25</v>
      </c>
      <c r="L280" s="1078" t="s">
        <v>155</v>
      </c>
      <c r="M280" s="1079"/>
      <c r="N280" s="1079"/>
      <c r="O280" s="1079"/>
      <c r="P280" s="1079"/>
      <c r="Q280" s="1079"/>
      <c r="R280" s="1079"/>
      <c r="S280" s="1079"/>
      <c r="T280" s="1079"/>
      <c r="U280" s="1079"/>
      <c r="V280" s="1080"/>
    </row>
    <row r="281" spans="2:22" ht="21.95" hidden="1" customHeight="1" thickBot="1" x14ac:dyDescent="0.25">
      <c r="B281" s="866" t="s">
        <v>165</v>
      </c>
      <c r="C281" s="867"/>
      <c r="D281" s="867"/>
      <c r="E281" s="867"/>
      <c r="F281" s="867"/>
      <c r="G281" s="867"/>
      <c r="H281" s="867"/>
      <c r="I281" s="867"/>
      <c r="J281" s="867"/>
      <c r="K281" s="867"/>
      <c r="L281" s="867"/>
      <c r="M281" s="867"/>
      <c r="N281" s="867"/>
      <c r="O281" s="867"/>
      <c r="P281" s="867"/>
      <c r="Q281" s="867"/>
      <c r="R281" s="867"/>
      <c r="S281" s="867"/>
      <c r="T281" s="867"/>
      <c r="U281" s="867"/>
      <c r="V281" s="868"/>
    </row>
    <row r="282" spans="2:22" ht="21.95" hidden="1" customHeight="1" x14ac:dyDescent="0.25">
      <c r="B282" s="793" t="s">
        <v>107</v>
      </c>
      <c r="C282" s="794"/>
      <c r="D282" s="794"/>
      <c r="E282" s="794"/>
      <c r="F282" s="795"/>
      <c r="G282" s="796" t="s">
        <v>108</v>
      </c>
      <c r="H282" s="794"/>
      <c r="I282" s="794"/>
      <c r="J282" s="794"/>
      <c r="K282" s="795"/>
      <c r="L282" s="848" t="s">
        <v>166</v>
      </c>
      <c r="M282" s="848"/>
      <c r="N282" s="848"/>
      <c r="O282" s="848"/>
      <c r="P282" s="848"/>
      <c r="Q282" s="848"/>
      <c r="R282" s="848"/>
      <c r="S282" s="848"/>
      <c r="T282" s="848"/>
      <c r="U282" s="848"/>
      <c r="V282" s="849"/>
    </row>
    <row r="283" spans="2:22" ht="21.95" hidden="1" customHeight="1" x14ac:dyDescent="0.3">
      <c r="B283" s="359" t="s">
        <v>4</v>
      </c>
      <c r="C283" s="353" t="s">
        <v>434</v>
      </c>
      <c r="D283" s="353" t="s">
        <v>5</v>
      </c>
      <c r="E283" s="353" t="s">
        <v>6</v>
      </c>
      <c r="F283" s="353" t="s">
        <v>75</v>
      </c>
      <c r="G283" s="359" t="s">
        <v>4</v>
      </c>
      <c r="H283" s="353" t="s">
        <v>434</v>
      </c>
      <c r="I283" s="353" t="s">
        <v>5</v>
      </c>
      <c r="J283" s="353" t="s">
        <v>6</v>
      </c>
      <c r="K283" s="367" t="s">
        <v>75</v>
      </c>
      <c r="L283" s="850" t="s">
        <v>15</v>
      </c>
      <c r="M283" s="853" t="s">
        <v>49</v>
      </c>
      <c r="N283" s="854"/>
      <c r="O283" s="854"/>
      <c r="P283" s="854"/>
      <c r="Q283" s="854"/>
      <c r="R283" s="854"/>
      <c r="S283" s="854"/>
      <c r="T283" s="854"/>
      <c r="U283" s="854"/>
      <c r="V283" s="855"/>
    </row>
    <row r="284" spans="2:22" ht="21.95" hidden="1" customHeight="1" x14ac:dyDescent="0.25">
      <c r="B284" s="49">
        <v>7.5</v>
      </c>
      <c r="C284" s="20">
        <v>85</v>
      </c>
      <c r="D284" s="20">
        <v>85</v>
      </c>
      <c r="E284" s="20">
        <v>85</v>
      </c>
      <c r="F284" s="20">
        <v>85</v>
      </c>
      <c r="G284" s="49">
        <v>7.5</v>
      </c>
      <c r="H284" s="393">
        <v>85</v>
      </c>
      <c r="I284" s="393">
        <v>85</v>
      </c>
      <c r="J284" s="393">
        <v>85</v>
      </c>
      <c r="K284" s="392">
        <v>85</v>
      </c>
      <c r="L284" s="851"/>
      <c r="M284" s="547" t="s">
        <v>167</v>
      </c>
      <c r="N284" s="547" t="s">
        <v>168</v>
      </c>
      <c r="O284" s="547" t="s">
        <v>169</v>
      </c>
      <c r="P284" s="547" t="s">
        <v>170</v>
      </c>
      <c r="Q284" s="547" t="s">
        <v>171</v>
      </c>
      <c r="R284" s="547" t="s">
        <v>172</v>
      </c>
      <c r="S284" s="547" t="s">
        <v>173</v>
      </c>
      <c r="T284" s="547" t="s">
        <v>174</v>
      </c>
      <c r="U284" s="547" t="s">
        <v>175</v>
      </c>
      <c r="V284" s="548"/>
    </row>
    <row r="285" spans="2:22" ht="21.95" hidden="1" customHeight="1" x14ac:dyDescent="0.25">
      <c r="B285" s="49">
        <v>7.375</v>
      </c>
      <c r="C285" s="20">
        <v>85</v>
      </c>
      <c r="D285" s="20">
        <v>85</v>
      </c>
      <c r="E285" s="20">
        <v>85</v>
      </c>
      <c r="F285" s="20">
        <v>85</v>
      </c>
      <c r="G285" s="49">
        <v>7.375</v>
      </c>
      <c r="H285" s="20">
        <v>85</v>
      </c>
      <c r="I285" s="20">
        <v>85</v>
      </c>
      <c r="J285" s="20">
        <v>85</v>
      </c>
      <c r="K285" s="27">
        <v>85</v>
      </c>
      <c r="L285" s="852"/>
      <c r="M285" s="549">
        <v>50</v>
      </c>
      <c r="N285" s="550">
        <v>55</v>
      </c>
      <c r="O285" s="550">
        <v>60</v>
      </c>
      <c r="P285" s="550">
        <v>65</v>
      </c>
      <c r="Q285" s="550">
        <v>70</v>
      </c>
      <c r="R285" s="550">
        <v>75</v>
      </c>
      <c r="S285" s="550">
        <v>80</v>
      </c>
      <c r="T285" s="550">
        <v>85</v>
      </c>
      <c r="U285" s="550">
        <v>89.99</v>
      </c>
      <c r="V285" s="551" t="s">
        <v>176</v>
      </c>
    </row>
    <row r="286" spans="2:22" ht="21.95" hidden="1" customHeight="1" x14ac:dyDescent="0.25">
      <c r="B286" s="49">
        <v>7.25</v>
      </c>
      <c r="C286" s="20">
        <v>85</v>
      </c>
      <c r="D286" s="20">
        <v>85</v>
      </c>
      <c r="E286" s="20">
        <v>85</v>
      </c>
      <c r="F286" s="20">
        <v>85</v>
      </c>
      <c r="G286" s="49">
        <v>7.25</v>
      </c>
      <c r="H286" s="20">
        <v>85</v>
      </c>
      <c r="I286" s="20">
        <v>85</v>
      </c>
      <c r="J286" s="20">
        <v>85</v>
      </c>
      <c r="K286" s="27">
        <v>85</v>
      </c>
      <c r="L286" s="856" t="s">
        <v>177</v>
      </c>
      <c r="M286" s="857"/>
      <c r="N286" s="857"/>
      <c r="O286" s="857"/>
      <c r="P286" s="857"/>
      <c r="Q286" s="857"/>
      <c r="R286" s="857"/>
      <c r="S286" s="857"/>
      <c r="T286" s="857"/>
      <c r="U286" s="857"/>
      <c r="V286" s="858"/>
    </row>
    <row r="287" spans="2:22" ht="21.95" hidden="1" customHeight="1" x14ac:dyDescent="0.25">
      <c r="B287" s="49">
        <v>7.125</v>
      </c>
      <c r="C287" s="20">
        <v>85</v>
      </c>
      <c r="D287" s="20">
        <v>85</v>
      </c>
      <c r="E287" s="20">
        <v>85</v>
      </c>
      <c r="F287" s="20">
        <v>85</v>
      </c>
      <c r="G287" s="49">
        <v>7.125</v>
      </c>
      <c r="H287" s="20">
        <v>85</v>
      </c>
      <c r="I287" s="20">
        <v>85</v>
      </c>
      <c r="J287" s="20">
        <v>85</v>
      </c>
      <c r="K287" s="27">
        <v>85</v>
      </c>
      <c r="L287" s="552" t="s">
        <v>120</v>
      </c>
      <c r="M287" s="553">
        <v>0</v>
      </c>
      <c r="N287" s="553">
        <v>0</v>
      </c>
      <c r="O287" s="553">
        <v>0</v>
      </c>
      <c r="P287" s="553">
        <v>-0.25</v>
      </c>
      <c r="Q287" s="553">
        <v>-0.5</v>
      </c>
      <c r="R287" s="553">
        <v>-0.625</v>
      </c>
      <c r="S287" s="553">
        <v>-0.75</v>
      </c>
      <c r="T287" s="553">
        <v>-2.125</v>
      </c>
      <c r="U287" s="553">
        <v>-3.875</v>
      </c>
      <c r="V287" s="554" t="s">
        <v>121</v>
      </c>
    </row>
    <row r="288" spans="2:22" ht="21.95" hidden="1" customHeight="1" x14ac:dyDescent="0.25">
      <c r="B288" s="49">
        <v>7</v>
      </c>
      <c r="C288" s="20">
        <v>85</v>
      </c>
      <c r="D288" s="20">
        <v>85</v>
      </c>
      <c r="E288" s="20">
        <v>85</v>
      </c>
      <c r="F288" s="20">
        <v>85</v>
      </c>
      <c r="G288" s="49">
        <v>7</v>
      </c>
      <c r="H288" s="20">
        <v>85</v>
      </c>
      <c r="I288" s="20">
        <v>85</v>
      </c>
      <c r="J288" s="20">
        <v>85</v>
      </c>
      <c r="K288" s="27">
        <v>85</v>
      </c>
      <c r="L288" s="552" t="s">
        <v>122</v>
      </c>
      <c r="M288" s="553">
        <v>0</v>
      </c>
      <c r="N288" s="553">
        <v>0</v>
      </c>
      <c r="O288" s="553">
        <v>0</v>
      </c>
      <c r="P288" s="553">
        <v>-0.25</v>
      </c>
      <c r="Q288" s="553">
        <v>-0.5</v>
      </c>
      <c r="R288" s="553">
        <v>-0.625</v>
      </c>
      <c r="S288" s="553">
        <v>-0.75</v>
      </c>
      <c r="T288" s="553">
        <v>-2.125</v>
      </c>
      <c r="U288" s="553">
        <v>-3.875</v>
      </c>
      <c r="V288" s="554" t="s">
        <v>121</v>
      </c>
    </row>
    <row r="289" spans="2:22" ht="21.95" hidden="1" customHeight="1" x14ac:dyDescent="0.25">
      <c r="B289" s="49">
        <v>6.875</v>
      </c>
      <c r="C289" s="20">
        <v>85</v>
      </c>
      <c r="D289" s="20">
        <v>85</v>
      </c>
      <c r="E289" s="20">
        <v>85</v>
      </c>
      <c r="F289" s="20">
        <v>85</v>
      </c>
      <c r="G289" s="49">
        <v>6.875</v>
      </c>
      <c r="H289" s="20">
        <v>85</v>
      </c>
      <c r="I289" s="20">
        <v>85</v>
      </c>
      <c r="J289" s="20">
        <v>85</v>
      </c>
      <c r="K289" s="27">
        <v>85</v>
      </c>
      <c r="L289" s="552" t="s">
        <v>123</v>
      </c>
      <c r="M289" s="553">
        <v>-0.125</v>
      </c>
      <c r="N289" s="553">
        <v>-0.125</v>
      </c>
      <c r="O289" s="553">
        <v>-0.125</v>
      </c>
      <c r="P289" s="553">
        <v>-0.375</v>
      </c>
      <c r="Q289" s="553">
        <v>-0.625</v>
      </c>
      <c r="R289" s="553">
        <v>-0.75</v>
      </c>
      <c r="S289" s="553">
        <v>-0.875</v>
      </c>
      <c r="T289" s="553">
        <v>-2.75</v>
      </c>
      <c r="U289" s="553">
        <v>-4.25</v>
      </c>
      <c r="V289" s="554" t="s">
        <v>121</v>
      </c>
    </row>
    <row r="290" spans="2:22" ht="21.95" hidden="1" customHeight="1" x14ac:dyDescent="0.25">
      <c r="B290" s="49">
        <v>6.75</v>
      </c>
      <c r="C290" s="20">
        <v>85</v>
      </c>
      <c r="D290" s="20">
        <v>85</v>
      </c>
      <c r="E290" s="20">
        <v>85</v>
      </c>
      <c r="F290" s="20">
        <v>85</v>
      </c>
      <c r="G290" s="49">
        <v>6.75</v>
      </c>
      <c r="H290" s="20">
        <v>85</v>
      </c>
      <c r="I290" s="20">
        <v>85</v>
      </c>
      <c r="J290" s="20">
        <v>85</v>
      </c>
      <c r="K290" s="27">
        <v>85</v>
      </c>
      <c r="L290" s="552" t="s">
        <v>124</v>
      </c>
      <c r="M290" s="553">
        <v>-0.25</v>
      </c>
      <c r="N290" s="553">
        <v>-0.25</v>
      </c>
      <c r="O290" s="553">
        <v>-0.375</v>
      </c>
      <c r="P290" s="553">
        <v>-0.5</v>
      </c>
      <c r="Q290" s="553">
        <v>-0.75</v>
      </c>
      <c r="R290" s="553">
        <v>-0.875</v>
      </c>
      <c r="S290" s="553">
        <v>-1</v>
      </c>
      <c r="T290" s="553">
        <v>-3.25</v>
      </c>
      <c r="U290" s="553">
        <v>-5.25</v>
      </c>
      <c r="V290" s="554" t="s">
        <v>121</v>
      </c>
    </row>
    <row r="291" spans="2:22" ht="21.95" hidden="1" customHeight="1" x14ac:dyDescent="0.25">
      <c r="B291" s="49"/>
      <c r="C291" s="20"/>
      <c r="D291" s="20"/>
      <c r="E291" s="20"/>
      <c r="F291" s="20"/>
      <c r="G291" s="49"/>
      <c r="H291" s="20"/>
      <c r="I291" s="20"/>
      <c r="J291" s="20"/>
      <c r="K291" s="27"/>
      <c r="L291" s="552" t="s">
        <v>46</v>
      </c>
      <c r="M291" s="553">
        <v>-0.5</v>
      </c>
      <c r="N291" s="553">
        <v>-0.5</v>
      </c>
      <c r="O291" s="553">
        <v>-0.5</v>
      </c>
      <c r="P291" s="553">
        <v>-0.625</v>
      </c>
      <c r="Q291" s="553">
        <v>-0.875</v>
      </c>
      <c r="R291" s="553">
        <v>-1</v>
      </c>
      <c r="S291" s="553">
        <v>-1.25</v>
      </c>
      <c r="T291" s="553">
        <v>-3.875</v>
      </c>
      <c r="U291" s="553">
        <v>-10</v>
      </c>
      <c r="V291" s="554" t="s">
        <v>121</v>
      </c>
    </row>
    <row r="292" spans="2:22" ht="21.95" hidden="1" customHeight="1" x14ac:dyDescent="0.25">
      <c r="B292" s="49"/>
      <c r="C292" s="20"/>
      <c r="D292" s="20"/>
      <c r="E292" s="20"/>
      <c r="F292" s="20"/>
      <c r="G292" s="49"/>
      <c r="H292" s="20"/>
      <c r="I292" s="20"/>
      <c r="J292" s="20"/>
      <c r="K292" s="27"/>
      <c r="L292" s="552" t="s">
        <v>16</v>
      </c>
      <c r="M292" s="553">
        <v>-0.625</v>
      </c>
      <c r="N292" s="553">
        <v>-0.625</v>
      </c>
      <c r="O292" s="553">
        <v>-0.75</v>
      </c>
      <c r="P292" s="553">
        <v>-1</v>
      </c>
      <c r="Q292" s="553">
        <v>-1.125</v>
      </c>
      <c r="R292" s="553">
        <v>-1.375</v>
      </c>
      <c r="S292" s="553">
        <v>-1.625</v>
      </c>
      <c r="T292" s="553">
        <v>-10</v>
      </c>
      <c r="U292" s="553">
        <v>-10</v>
      </c>
      <c r="V292" s="554" t="s">
        <v>121</v>
      </c>
    </row>
    <row r="293" spans="2:22" ht="21.95" hidden="1" customHeight="1" x14ac:dyDescent="0.25">
      <c r="B293" s="49"/>
      <c r="C293" s="20"/>
      <c r="D293" s="20"/>
      <c r="E293" s="20"/>
      <c r="F293" s="20"/>
      <c r="G293" s="49"/>
      <c r="H293" s="20"/>
      <c r="I293" s="20"/>
      <c r="J293" s="20"/>
      <c r="K293" s="27"/>
      <c r="L293" s="552" t="s">
        <v>17</v>
      </c>
      <c r="M293" s="553">
        <v>-1.125</v>
      </c>
      <c r="N293" s="553">
        <v>-1.125</v>
      </c>
      <c r="O293" s="553">
        <v>-2.875</v>
      </c>
      <c r="P293" s="553">
        <v>-3</v>
      </c>
      <c r="Q293" s="553">
        <v>-3.25</v>
      </c>
      <c r="R293" s="553">
        <v>-3.5</v>
      </c>
      <c r="S293" s="553">
        <v>-3.75</v>
      </c>
      <c r="T293" s="553">
        <v>-10</v>
      </c>
      <c r="U293" s="553">
        <v>-10</v>
      </c>
      <c r="V293" s="554" t="s">
        <v>121</v>
      </c>
    </row>
    <row r="294" spans="2:22" ht="21.95" hidden="1" customHeight="1" x14ac:dyDescent="0.25">
      <c r="B294" s="49"/>
      <c r="C294" s="20"/>
      <c r="D294" s="20"/>
      <c r="E294" s="20"/>
      <c r="F294" s="20"/>
      <c r="G294" s="49"/>
      <c r="H294" s="20"/>
      <c r="I294" s="20"/>
      <c r="J294" s="20"/>
      <c r="K294" s="27"/>
      <c r="L294" s="552" t="s">
        <v>18</v>
      </c>
      <c r="M294" s="553" t="s">
        <v>121</v>
      </c>
      <c r="N294" s="553" t="s">
        <v>121</v>
      </c>
      <c r="O294" s="553" t="s">
        <v>121</v>
      </c>
      <c r="P294" s="553" t="s">
        <v>121</v>
      </c>
      <c r="Q294" s="553" t="s">
        <v>121</v>
      </c>
      <c r="R294" s="553" t="s">
        <v>121</v>
      </c>
      <c r="S294" s="553" t="s">
        <v>121</v>
      </c>
      <c r="T294" s="553" t="s">
        <v>121</v>
      </c>
      <c r="U294" s="553" t="s">
        <v>121</v>
      </c>
      <c r="V294" s="554" t="s">
        <v>121</v>
      </c>
    </row>
    <row r="295" spans="2:22" ht="21.95" hidden="1" customHeight="1" x14ac:dyDescent="0.25">
      <c r="B295" s="49"/>
      <c r="C295" s="20"/>
      <c r="D295" s="20"/>
      <c r="E295" s="20"/>
      <c r="F295" s="20"/>
      <c r="G295" s="49"/>
      <c r="H295" s="20"/>
      <c r="I295" s="20"/>
      <c r="J295" s="20"/>
      <c r="K295" s="27"/>
      <c r="L295" s="859" t="s">
        <v>178</v>
      </c>
      <c r="M295" s="833"/>
      <c r="N295" s="833"/>
      <c r="O295" s="833"/>
      <c r="P295" s="833"/>
      <c r="Q295" s="833"/>
      <c r="R295" s="833"/>
      <c r="S295" s="833"/>
      <c r="T295" s="833"/>
      <c r="U295" s="833"/>
      <c r="V295" s="834"/>
    </row>
    <row r="296" spans="2:22" ht="21.95" hidden="1" customHeight="1" x14ac:dyDescent="0.25">
      <c r="B296" s="49"/>
      <c r="C296" s="20"/>
      <c r="D296" s="20"/>
      <c r="E296" s="20"/>
      <c r="F296" s="20"/>
      <c r="G296" s="94"/>
      <c r="H296" s="38"/>
      <c r="I296" s="38"/>
      <c r="J296" s="38"/>
      <c r="K296" s="39"/>
      <c r="L296" s="552" t="s">
        <v>120</v>
      </c>
      <c r="M296" s="553">
        <v>0</v>
      </c>
      <c r="N296" s="553">
        <v>0</v>
      </c>
      <c r="O296" s="553">
        <v>0</v>
      </c>
      <c r="P296" s="553">
        <v>-0.25</v>
      </c>
      <c r="Q296" s="553">
        <v>-0.625</v>
      </c>
      <c r="R296" s="553">
        <v>-0.75</v>
      </c>
      <c r="S296" s="553">
        <v>-0.875</v>
      </c>
      <c r="T296" s="553">
        <v>-2.5</v>
      </c>
      <c r="U296" s="553">
        <v>-4.375</v>
      </c>
      <c r="V296" s="554" t="s">
        <v>121</v>
      </c>
    </row>
    <row r="297" spans="2:22" ht="21.95" hidden="1" customHeight="1" x14ac:dyDescent="0.25">
      <c r="B297" s="860" t="s">
        <v>179</v>
      </c>
      <c r="C297" s="861"/>
      <c r="D297" s="861"/>
      <c r="E297" s="861"/>
      <c r="F297" s="861"/>
      <c r="G297" s="861"/>
      <c r="H297" s="861"/>
      <c r="I297" s="861"/>
      <c r="J297" s="861"/>
      <c r="K297" s="862"/>
      <c r="L297" s="555" t="s">
        <v>122</v>
      </c>
      <c r="M297" s="553">
        <v>0</v>
      </c>
      <c r="N297" s="553">
        <v>0</v>
      </c>
      <c r="O297" s="553">
        <v>0</v>
      </c>
      <c r="P297" s="553">
        <v>-0.25</v>
      </c>
      <c r="Q297" s="553">
        <v>-0.625</v>
      </c>
      <c r="R297" s="553">
        <v>-0.75</v>
      </c>
      <c r="S297" s="553">
        <v>-0.875</v>
      </c>
      <c r="T297" s="553">
        <v>-2.5</v>
      </c>
      <c r="U297" s="553">
        <v>-4.375</v>
      </c>
      <c r="V297" s="554" t="s">
        <v>121</v>
      </c>
    </row>
    <row r="298" spans="2:22" ht="21.95" hidden="1" customHeight="1" x14ac:dyDescent="0.25">
      <c r="B298" s="824" t="s">
        <v>180</v>
      </c>
      <c r="C298" s="825"/>
      <c r="D298" s="825"/>
      <c r="E298" s="825"/>
      <c r="F298" s="825"/>
      <c r="G298" s="825"/>
      <c r="H298" s="825"/>
      <c r="I298" s="825"/>
      <c r="J298" s="825"/>
      <c r="K298" s="826"/>
      <c r="L298" s="555" t="s">
        <v>123</v>
      </c>
      <c r="M298" s="553">
        <v>-0.125</v>
      </c>
      <c r="N298" s="553">
        <v>-0.125</v>
      </c>
      <c r="O298" s="553">
        <v>-0.125</v>
      </c>
      <c r="P298" s="553">
        <v>-0.375</v>
      </c>
      <c r="Q298" s="553">
        <v>-0.75</v>
      </c>
      <c r="R298" s="553">
        <v>-0.875</v>
      </c>
      <c r="S298" s="553">
        <v>-1</v>
      </c>
      <c r="T298" s="553">
        <v>-3</v>
      </c>
      <c r="U298" s="553">
        <v>-5</v>
      </c>
      <c r="V298" s="554" t="s">
        <v>121</v>
      </c>
    </row>
    <row r="299" spans="2:22" ht="21.95" hidden="1" customHeight="1" x14ac:dyDescent="0.25">
      <c r="B299" s="838"/>
      <c r="C299" s="839"/>
      <c r="D299" s="840"/>
      <c r="E299" s="844" t="s">
        <v>181</v>
      </c>
      <c r="F299" s="844" t="s">
        <v>182</v>
      </c>
      <c r="G299" s="457" t="s">
        <v>15</v>
      </c>
      <c r="H299" s="844" t="s">
        <v>136</v>
      </c>
      <c r="I299" s="844" t="s">
        <v>135</v>
      </c>
      <c r="J299" s="844"/>
      <c r="K299" s="830" t="s">
        <v>183</v>
      </c>
      <c r="L299" s="555" t="s">
        <v>124</v>
      </c>
      <c r="M299" s="553">
        <v>-0.25</v>
      </c>
      <c r="N299" s="553">
        <v>-0.25</v>
      </c>
      <c r="O299" s="553">
        <v>-0.375</v>
      </c>
      <c r="P299" s="553">
        <v>-0.5</v>
      </c>
      <c r="Q299" s="553">
        <v>-0.875</v>
      </c>
      <c r="R299" s="553">
        <v>-1</v>
      </c>
      <c r="S299" s="553">
        <v>-1.25</v>
      </c>
      <c r="T299" s="553">
        <v>-3.75</v>
      </c>
      <c r="U299" s="553">
        <v>-6.25</v>
      </c>
      <c r="V299" s="554" t="s">
        <v>121</v>
      </c>
    </row>
    <row r="300" spans="2:22" ht="21.95" hidden="1" customHeight="1" x14ac:dyDescent="0.25">
      <c r="B300" s="841"/>
      <c r="C300" s="842"/>
      <c r="D300" s="843"/>
      <c r="E300" s="845"/>
      <c r="F300" s="845"/>
      <c r="G300" s="458"/>
      <c r="H300" s="845"/>
      <c r="I300" s="845"/>
      <c r="J300" s="845"/>
      <c r="K300" s="831"/>
      <c r="L300" s="555" t="s">
        <v>46</v>
      </c>
      <c r="M300" s="553">
        <v>-0.49999999999999994</v>
      </c>
      <c r="N300" s="553">
        <v>-0.5</v>
      </c>
      <c r="O300" s="553">
        <v>-0.5</v>
      </c>
      <c r="P300" s="553">
        <v>-0.625</v>
      </c>
      <c r="Q300" s="553">
        <v>-1</v>
      </c>
      <c r="R300" s="553">
        <v>-1.25</v>
      </c>
      <c r="S300" s="553">
        <v>-1.5</v>
      </c>
      <c r="T300" s="553">
        <v>-4.625</v>
      </c>
      <c r="U300" s="553">
        <v>-10</v>
      </c>
      <c r="V300" s="554" t="s">
        <v>121</v>
      </c>
    </row>
    <row r="301" spans="2:22" ht="21.95" hidden="1" customHeight="1" x14ac:dyDescent="0.25">
      <c r="B301" s="807" t="s">
        <v>184</v>
      </c>
      <c r="C301" s="808"/>
      <c r="D301" s="809"/>
      <c r="E301" s="813">
        <v>2000000</v>
      </c>
      <c r="F301" s="214">
        <v>89.99</v>
      </c>
      <c r="G301" s="215">
        <v>680</v>
      </c>
      <c r="H301" s="215">
        <v>6</v>
      </c>
      <c r="I301" s="816">
        <v>45</v>
      </c>
      <c r="J301" s="173"/>
      <c r="K301" s="175" t="s">
        <v>121</v>
      </c>
      <c r="L301" s="555" t="s">
        <v>16</v>
      </c>
      <c r="M301" s="553">
        <v>-0.625</v>
      </c>
      <c r="N301" s="553">
        <v>-0.625</v>
      </c>
      <c r="O301" s="553">
        <v>-0.75</v>
      </c>
      <c r="P301" s="553">
        <v>-1</v>
      </c>
      <c r="Q301" s="553">
        <v>-1.375</v>
      </c>
      <c r="R301" s="553">
        <v>-1.625</v>
      </c>
      <c r="S301" s="553">
        <v>-2</v>
      </c>
      <c r="T301" s="553">
        <v>-10</v>
      </c>
      <c r="U301" s="553">
        <v>-10</v>
      </c>
      <c r="V301" s="554" t="s">
        <v>121</v>
      </c>
    </row>
    <row r="302" spans="2:22" ht="21.95" hidden="1" customHeight="1" x14ac:dyDescent="0.25">
      <c r="B302" s="810"/>
      <c r="C302" s="811"/>
      <c r="D302" s="812"/>
      <c r="E302" s="814"/>
      <c r="F302" s="214">
        <v>80</v>
      </c>
      <c r="G302" s="215">
        <v>680</v>
      </c>
      <c r="H302" s="215">
        <v>3</v>
      </c>
      <c r="I302" s="817"/>
      <c r="J302" s="173"/>
      <c r="K302" s="175" t="s">
        <v>121</v>
      </c>
      <c r="L302" s="555" t="s">
        <v>17</v>
      </c>
      <c r="M302" s="553">
        <v>-0.875</v>
      </c>
      <c r="N302" s="553">
        <v>-0.875</v>
      </c>
      <c r="O302" s="553">
        <v>-1.125</v>
      </c>
      <c r="P302" s="553">
        <v>-6</v>
      </c>
      <c r="Q302" s="553">
        <v>-6</v>
      </c>
      <c r="R302" s="553">
        <v>-6</v>
      </c>
      <c r="S302" s="553">
        <v>-6</v>
      </c>
      <c r="T302" s="553">
        <v>-10</v>
      </c>
      <c r="U302" s="553">
        <v>-10</v>
      </c>
      <c r="V302" s="554" t="s">
        <v>121</v>
      </c>
    </row>
    <row r="303" spans="2:22" ht="21.95" hidden="1" customHeight="1" x14ac:dyDescent="0.25">
      <c r="B303" s="807" t="s">
        <v>50</v>
      </c>
      <c r="C303" s="808"/>
      <c r="D303" s="809"/>
      <c r="E303" s="814"/>
      <c r="F303" s="214">
        <v>89.99</v>
      </c>
      <c r="G303" s="215">
        <v>740</v>
      </c>
      <c r="H303" s="215">
        <v>6</v>
      </c>
      <c r="I303" s="817"/>
      <c r="J303" s="173"/>
      <c r="K303" s="835">
        <v>500000</v>
      </c>
      <c r="L303" s="555" t="s">
        <v>18</v>
      </c>
      <c r="M303" s="553" t="s">
        <v>121</v>
      </c>
      <c r="N303" s="553" t="s">
        <v>121</v>
      </c>
      <c r="O303" s="553" t="s">
        <v>121</v>
      </c>
      <c r="P303" s="553" t="s">
        <v>121</v>
      </c>
      <c r="Q303" s="553" t="s">
        <v>121</v>
      </c>
      <c r="R303" s="553" t="s">
        <v>121</v>
      </c>
      <c r="S303" s="553" t="s">
        <v>121</v>
      </c>
      <c r="T303" s="553" t="s">
        <v>121</v>
      </c>
      <c r="U303" s="553" t="s">
        <v>121</v>
      </c>
      <c r="V303" s="554" t="s">
        <v>121</v>
      </c>
    </row>
    <row r="304" spans="2:22" ht="21.95" hidden="1" customHeight="1" x14ac:dyDescent="0.25">
      <c r="B304" s="810"/>
      <c r="C304" s="811"/>
      <c r="D304" s="812"/>
      <c r="E304" s="815"/>
      <c r="F304" s="214">
        <v>80</v>
      </c>
      <c r="G304" s="215">
        <v>680</v>
      </c>
      <c r="H304" s="215">
        <v>3</v>
      </c>
      <c r="I304" s="818"/>
      <c r="J304" s="173"/>
      <c r="K304" s="836"/>
      <c r="L304" s="832" t="s">
        <v>185</v>
      </c>
      <c r="M304" s="833"/>
      <c r="N304" s="833"/>
      <c r="O304" s="833"/>
      <c r="P304" s="833"/>
      <c r="Q304" s="833"/>
      <c r="R304" s="833"/>
      <c r="S304" s="833"/>
      <c r="T304" s="833"/>
      <c r="U304" s="833"/>
      <c r="V304" s="834"/>
    </row>
    <row r="305" spans="2:22" ht="21.95" hidden="1" customHeight="1" x14ac:dyDescent="0.25">
      <c r="B305" s="784" t="s">
        <v>186</v>
      </c>
      <c r="C305" s="785"/>
      <c r="D305" s="785"/>
      <c r="E305" s="785"/>
      <c r="F305" s="785"/>
      <c r="G305" s="785"/>
      <c r="H305" s="785"/>
      <c r="I305" s="785"/>
      <c r="J305" s="785"/>
      <c r="K305" s="786"/>
      <c r="L305" s="555" t="s">
        <v>120</v>
      </c>
      <c r="M305" s="553">
        <v>-0.625</v>
      </c>
      <c r="N305" s="553">
        <v>-0.625</v>
      </c>
      <c r="O305" s="553">
        <v>-0.75</v>
      </c>
      <c r="P305" s="553">
        <v>-0.875</v>
      </c>
      <c r="Q305" s="553">
        <v>-1.125</v>
      </c>
      <c r="R305" s="553">
        <v>-1.625</v>
      </c>
      <c r="S305" s="553">
        <v>-6</v>
      </c>
      <c r="T305" s="556">
        <v>-10</v>
      </c>
      <c r="U305" s="556">
        <v>-10</v>
      </c>
      <c r="V305" s="554" t="s">
        <v>121</v>
      </c>
    </row>
    <row r="306" spans="2:22" ht="21.95" hidden="1" customHeight="1" x14ac:dyDescent="0.25">
      <c r="B306" s="821" t="s">
        <v>184</v>
      </c>
      <c r="C306" s="822"/>
      <c r="D306" s="823"/>
      <c r="E306" s="813">
        <v>2000000</v>
      </c>
      <c r="F306" s="214">
        <v>80</v>
      </c>
      <c r="G306" s="215">
        <v>700</v>
      </c>
      <c r="H306" s="816">
        <v>3</v>
      </c>
      <c r="I306" s="816">
        <v>45</v>
      </c>
      <c r="J306" s="173"/>
      <c r="K306" s="175" t="s">
        <v>121</v>
      </c>
      <c r="L306" s="555" t="s">
        <v>122</v>
      </c>
      <c r="M306" s="553">
        <v>-0.625</v>
      </c>
      <c r="N306" s="553">
        <v>-0.625</v>
      </c>
      <c r="O306" s="553">
        <v>-0.75</v>
      </c>
      <c r="P306" s="553">
        <v>-0.875</v>
      </c>
      <c r="Q306" s="553">
        <v>-1.125</v>
      </c>
      <c r="R306" s="553">
        <v>-1.625</v>
      </c>
      <c r="S306" s="553">
        <v>-6</v>
      </c>
      <c r="T306" s="556">
        <v>-10</v>
      </c>
      <c r="U306" s="556">
        <v>-10</v>
      </c>
      <c r="V306" s="554" t="s">
        <v>121</v>
      </c>
    </row>
    <row r="307" spans="2:22" ht="21.95" hidden="1" customHeight="1" x14ac:dyDescent="0.25">
      <c r="B307" s="821" t="s">
        <v>50</v>
      </c>
      <c r="C307" s="822"/>
      <c r="D307" s="823"/>
      <c r="E307" s="815"/>
      <c r="F307" s="214">
        <v>75</v>
      </c>
      <c r="G307" s="215">
        <v>700</v>
      </c>
      <c r="H307" s="818"/>
      <c r="I307" s="818"/>
      <c r="J307" s="173"/>
      <c r="K307" s="456">
        <v>500000</v>
      </c>
      <c r="L307" s="555" t="s">
        <v>123</v>
      </c>
      <c r="M307" s="553">
        <v>-0.75</v>
      </c>
      <c r="N307" s="553">
        <v>-0.75</v>
      </c>
      <c r="O307" s="553">
        <v>-0.875</v>
      </c>
      <c r="P307" s="553">
        <v>-1</v>
      </c>
      <c r="Q307" s="553">
        <v>-1.25</v>
      </c>
      <c r="R307" s="553">
        <v>-1.875</v>
      </c>
      <c r="S307" s="553">
        <v>-6</v>
      </c>
      <c r="T307" s="556">
        <v>-10</v>
      </c>
      <c r="U307" s="556">
        <v>-10</v>
      </c>
      <c r="V307" s="554" t="s">
        <v>121</v>
      </c>
    </row>
    <row r="308" spans="2:22" ht="21.95" hidden="1" customHeight="1" x14ac:dyDescent="0.25">
      <c r="B308" s="824" t="s">
        <v>187</v>
      </c>
      <c r="C308" s="825"/>
      <c r="D308" s="825"/>
      <c r="E308" s="825"/>
      <c r="F308" s="825"/>
      <c r="G308" s="825"/>
      <c r="H308" s="825"/>
      <c r="I308" s="825"/>
      <c r="J308" s="825"/>
      <c r="K308" s="826"/>
      <c r="L308" s="555" t="s">
        <v>124</v>
      </c>
      <c r="M308" s="553">
        <v>-0.875</v>
      </c>
      <c r="N308" s="553">
        <v>-0.875</v>
      </c>
      <c r="O308" s="553">
        <v>-1</v>
      </c>
      <c r="P308" s="553">
        <v>-1.25</v>
      </c>
      <c r="Q308" s="553">
        <v>-1.5</v>
      </c>
      <c r="R308" s="553">
        <v>-2.25</v>
      </c>
      <c r="S308" s="553">
        <v>-6</v>
      </c>
      <c r="T308" s="556">
        <v>-10</v>
      </c>
      <c r="U308" s="556">
        <v>-10</v>
      </c>
      <c r="V308" s="554" t="s">
        <v>121</v>
      </c>
    </row>
    <row r="309" spans="2:22" ht="21.95" hidden="1" customHeight="1" x14ac:dyDescent="0.25">
      <c r="B309" s="807" t="s">
        <v>184</v>
      </c>
      <c r="C309" s="808"/>
      <c r="D309" s="809"/>
      <c r="E309" s="813">
        <v>2000000</v>
      </c>
      <c r="F309" s="214">
        <v>89.99</v>
      </c>
      <c r="G309" s="215">
        <v>680</v>
      </c>
      <c r="H309" s="215">
        <v>6</v>
      </c>
      <c r="I309" s="816">
        <v>45</v>
      </c>
      <c r="J309" s="173"/>
      <c r="K309" s="175" t="s">
        <v>121</v>
      </c>
      <c r="L309" s="555" t="s">
        <v>46</v>
      </c>
      <c r="M309" s="553">
        <v>-1</v>
      </c>
      <c r="N309" s="553">
        <v>-1</v>
      </c>
      <c r="O309" s="553">
        <v>-1.125</v>
      </c>
      <c r="P309" s="553">
        <v>-1.375</v>
      </c>
      <c r="Q309" s="553">
        <v>-1.75</v>
      </c>
      <c r="R309" s="553">
        <v>-2.5</v>
      </c>
      <c r="S309" s="553">
        <v>-6</v>
      </c>
      <c r="T309" s="556">
        <v>-10</v>
      </c>
      <c r="U309" s="556">
        <v>-10</v>
      </c>
      <c r="V309" s="554" t="s">
        <v>121</v>
      </c>
    </row>
    <row r="310" spans="2:22" ht="21.95" hidden="1" customHeight="1" x14ac:dyDescent="0.25">
      <c r="B310" s="810"/>
      <c r="C310" s="811"/>
      <c r="D310" s="812"/>
      <c r="E310" s="814"/>
      <c r="F310" s="214">
        <v>80</v>
      </c>
      <c r="G310" s="215">
        <v>680</v>
      </c>
      <c r="H310" s="215">
        <v>3</v>
      </c>
      <c r="I310" s="817"/>
      <c r="J310" s="173"/>
      <c r="K310" s="175" t="s">
        <v>121</v>
      </c>
      <c r="L310" s="555" t="s">
        <v>16</v>
      </c>
      <c r="M310" s="553">
        <v>-1.25</v>
      </c>
      <c r="N310" s="553">
        <v>-1.25</v>
      </c>
      <c r="O310" s="553">
        <v>-1.375</v>
      </c>
      <c r="P310" s="553">
        <v>-1.625</v>
      </c>
      <c r="Q310" s="553">
        <v>-2.125</v>
      </c>
      <c r="R310" s="553">
        <v>-2.75</v>
      </c>
      <c r="S310" s="553">
        <v>-6</v>
      </c>
      <c r="T310" s="556">
        <v>-10</v>
      </c>
      <c r="U310" s="556">
        <v>-10</v>
      </c>
      <c r="V310" s="554" t="s">
        <v>121</v>
      </c>
    </row>
    <row r="311" spans="2:22" ht="21.95" hidden="1" customHeight="1" x14ac:dyDescent="0.25">
      <c r="B311" s="807" t="s">
        <v>50</v>
      </c>
      <c r="C311" s="808"/>
      <c r="D311" s="809"/>
      <c r="E311" s="814"/>
      <c r="F311" s="214">
        <v>75</v>
      </c>
      <c r="G311" s="215">
        <v>700</v>
      </c>
      <c r="H311" s="215">
        <v>6</v>
      </c>
      <c r="I311" s="817"/>
      <c r="J311" s="173"/>
      <c r="K311" s="835">
        <v>500000</v>
      </c>
      <c r="L311" s="555" t="s">
        <v>17</v>
      </c>
      <c r="M311" s="556">
        <v>-10</v>
      </c>
      <c r="N311" s="556">
        <v>-10</v>
      </c>
      <c r="O311" s="556">
        <v>-10</v>
      </c>
      <c r="P311" s="556">
        <v>-10</v>
      </c>
      <c r="Q311" s="556">
        <v>-10</v>
      </c>
      <c r="R311" s="556">
        <v>-10</v>
      </c>
      <c r="S311" s="556">
        <v>-10</v>
      </c>
      <c r="T311" s="556">
        <v>-10</v>
      </c>
      <c r="U311" s="556">
        <v>-10</v>
      </c>
      <c r="V311" s="554" t="s">
        <v>121</v>
      </c>
    </row>
    <row r="312" spans="2:22" ht="21.95" hidden="1" customHeight="1" x14ac:dyDescent="0.25">
      <c r="B312" s="810"/>
      <c r="C312" s="811"/>
      <c r="D312" s="812"/>
      <c r="E312" s="815"/>
      <c r="F312" s="214"/>
      <c r="G312" s="215"/>
      <c r="H312" s="215"/>
      <c r="I312" s="818"/>
      <c r="J312" s="173"/>
      <c r="K312" s="836"/>
      <c r="L312" s="837"/>
      <c r="M312" s="557" t="s">
        <v>167</v>
      </c>
      <c r="N312" s="557" t="s">
        <v>168</v>
      </c>
      <c r="O312" s="557" t="s">
        <v>169</v>
      </c>
      <c r="P312" s="557" t="s">
        <v>170</v>
      </c>
      <c r="Q312" s="557" t="s">
        <v>171</v>
      </c>
      <c r="R312" s="557" t="s">
        <v>172</v>
      </c>
      <c r="S312" s="557" t="s">
        <v>173</v>
      </c>
      <c r="T312" s="557" t="s">
        <v>174</v>
      </c>
      <c r="U312" s="557" t="s">
        <v>175</v>
      </c>
      <c r="V312" s="558"/>
    </row>
    <row r="313" spans="2:22" ht="21.95" hidden="1" customHeight="1" x14ac:dyDescent="0.25">
      <c r="B313" s="784" t="s">
        <v>47</v>
      </c>
      <c r="C313" s="785"/>
      <c r="D313" s="785"/>
      <c r="E313" s="785"/>
      <c r="F313" s="785"/>
      <c r="G313" s="785"/>
      <c r="H313" s="785"/>
      <c r="I313" s="785"/>
      <c r="J313" s="785"/>
      <c r="K313" s="786"/>
      <c r="L313" s="837"/>
      <c r="M313" s="559">
        <v>50</v>
      </c>
      <c r="N313" s="559">
        <v>55</v>
      </c>
      <c r="O313" s="559">
        <v>60</v>
      </c>
      <c r="P313" s="559">
        <v>65</v>
      </c>
      <c r="Q313" s="559">
        <v>70</v>
      </c>
      <c r="R313" s="559">
        <v>75</v>
      </c>
      <c r="S313" s="559">
        <v>80</v>
      </c>
      <c r="T313" s="559">
        <v>85</v>
      </c>
      <c r="U313" s="559">
        <v>89.99</v>
      </c>
      <c r="V313" s="551" t="s">
        <v>176</v>
      </c>
    </row>
    <row r="314" spans="2:22" ht="21.95" hidden="1" customHeight="1" x14ac:dyDescent="0.25">
      <c r="B314" s="838"/>
      <c r="C314" s="839"/>
      <c r="D314" s="840"/>
      <c r="E314" s="844" t="s">
        <v>181</v>
      </c>
      <c r="F314" s="844" t="s">
        <v>182</v>
      </c>
      <c r="G314" s="457" t="s">
        <v>15</v>
      </c>
      <c r="H314" s="844" t="s">
        <v>136</v>
      </c>
      <c r="I314" s="844" t="s">
        <v>135</v>
      </c>
      <c r="J314" s="844"/>
      <c r="K314" s="830" t="s">
        <v>183</v>
      </c>
      <c r="L314" s="555" t="s">
        <v>192</v>
      </c>
      <c r="M314" s="553">
        <v>-0.125</v>
      </c>
      <c r="N314" s="553">
        <v>-0.125</v>
      </c>
      <c r="O314" s="553">
        <v>-0.125</v>
      </c>
      <c r="P314" s="553">
        <v>-0.125</v>
      </c>
      <c r="Q314" s="553">
        <v>-0.25</v>
      </c>
      <c r="R314" s="553">
        <v>-3</v>
      </c>
      <c r="S314" s="553">
        <v>-3.5</v>
      </c>
      <c r="T314" s="556">
        <v>-10</v>
      </c>
      <c r="U314" s="556">
        <v>-10</v>
      </c>
      <c r="V314" s="554" t="s">
        <v>121</v>
      </c>
    </row>
    <row r="315" spans="2:22" ht="21.95" hidden="1" customHeight="1" x14ac:dyDescent="0.25">
      <c r="B315" s="841"/>
      <c r="C315" s="842"/>
      <c r="D315" s="843"/>
      <c r="E315" s="845"/>
      <c r="F315" s="845"/>
      <c r="G315" s="458"/>
      <c r="H315" s="845"/>
      <c r="I315" s="845"/>
      <c r="J315" s="845"/>
      <c r="K315" s="831"/>
      <c r="L315" s="555" t="s">
        <v>220</v>
      </c>
      <c r="M315" s="553">
        <v>-6</v>
      </c>
      <c r="N315" s="553">
        <v>-6</v>
      </c>
      <c r="O315" s="553">
        <v>-6</v>
      </c>
      <c r="P315" s="553">
        <v>-6</v>
      </c>
      <c r="Q315" s="553">
        <v>-6</v>
      </c>
      <c r="R315" s="553">
        <v>-6</v>
      </c>
      <c r="S315" s="553">
        <v>-6</v>
      </c>
      <c r="T315" s="553" t="s">
        <v>121</v>
      </c>
      <c r="U315" s="553" t="s">
        <v>121</v>
      </c>
      <c r="V315" s="554" t="s">
        <v>121</v>
      </c>
    </row>
    <row r="316" spans="2:22" ht="21.95" hidden="1" customHeight="1" x14ac:dyDescent="0.25">
      <c r="B316" s="807" t="s">
        <v>184</v>
      </c>
      <c r="C316" s="808"/>
      <c r="D316" s="809"/>
      <c r="E316" s="813">
        <v>2000000</v>
      </c>
      <c r="F316" s="214">
        <v>80</v>
      </c>
      <c r="G316" s="215">
        <v>680</v>
      </c>
      <c r="H316" s="816">
        <v>3</v>
      </c>
      <c r="I316" s="816">
        <v>45</v>
      </c>
      <c r="J316" s="173"/>
      <c r="K316" s="175" t="s">
        <v>121</v>
      </c>
      <c r="L316" s="555" t="s">
        <v>189</v>
      </c>
      <c r="M316" s="553">
        <v>0</v>
      </c>
      <c r="N316" s="553">
        <v>0</v>
      </c>
      <c r="O316" s="553">
        <v>-0.125</v>
      </c>
      <c r="P316" s="553">
        <v>-0.125</v>
      </c>
      <c r="Q316" s="553">
        <v>-0.125</v>
      </c>
      <c r="R316" s="553">
        <v>-0.125</v>
      </c>
      <c r="S316" s="553">
        <v>-0.125</v>
      </c>
      <c r="T316" s="553" t="s">
        <v>121</v>
      </c>
      <c r="U316" s="553" t="s">
        <v>121</v>
      </c>
      <c r="V316" s="554" t="s">
        <v>121</v>
      </c>
    </row>
    <row r="317" spans="2:22" ht="21.95" hidden="1" customHeight="1" x14ac:dyDescent="0.25">
      <c r="B317" s="810"/>
      <c r="C317" s="811"/>
      <c r="D317" s="812"/>
      <c r="E317" s="814"/>
      <c r="F317" s="214">
        <v>80</v>
      </c>
      <c r="G317" s="215">
        <v>680</v>
      </c>
      <c r="H317" s="817"/>
      <c r="I317" s="817"/>
      <c r="J317" s="173"/>
      <c r="K317" s="175" t="s">
        <v>121</v>
      </c>
      <c r="L317" s="555" t="s">
        <v>221</v>
      </c>
      <c r="M317" s="553">
        <v>-0.125</v>
      </c>
      <c r="N317" s="553">
        <v>-0.125</v>
      </c>
      <c r="O317" s="553">
        <v>-0.125</v>
      </c>
      <c r="P317" s="553">
        <v>-0.125</v>
      </c>
      <c r="Q317" s="553">
        <v>-0.125</v>
      </c>
      <c r="R317" s="553">
        <v>-0.125</v>
      </c>
      <c r="S317" s="553">
        <v>-0.125</v>
      </c>
      <c r="T317" s="553" t="s">
        <v>121</v>
      </c>
      <c r="U317" s="553" t="s">
        <v>121</v>
      </c>
      <c r="V317" s="554" t="s">
        <v>121</v>
      </c>
    </row>
    <row r="318" spans="2:22" ht="21.95" hidden="1" customHeight="1" x14ac:dyDescent="0.25">
      <c r="B318" s="807" t="s">
        <v>50</v>
      </c>
      <c r="C318" s="808"/>
      <c r="D318" s="809"/>
      <c r="E318" s="814"/>
      <c r="F318" s="214">
        <v>75</v>
      </c>
      <c r="G318" s="215">
        <v>720</v>
      </c>
      <c r="H318" s="817"/>
      <c r="I318" s="817"/>
      <c r="J318" s="173"/>
      <c r="K318" s="835">
        <v>350000</v>
      </c>
      <c r="L318" s="555" t="s">
        <v>226</v>
      </c>
      <c r="M318" s="553">
        <v>0</v>
      </c>
      <c r="N318" s="553">
        <v>0</v>
      </c>
      <c r="O318" s="553">
        <v>0</v>
      </c>
      <c r="P318" s="553">
        <v>0</v>
      </c>
      <c r="Q318" s="553">
        <v>0</v>
      </c>
      <c r="R318" s="553">
        <v>0</v>
      </c>
      <c r="S318" s="553">
        <v>0</v>
      </c>
      <c r="T318" s="553">
        <v>0</v>
      </c>
      <c r="U318" s="553">
        <v>0</v>
      </c>
      <c r="V318" s="554" t="s">
        <v>121</v>
      </c>
    </row>
    <row r="319" spans="2:22" ht="21.95" hidden="1" customHeight="1" x14ac:dyDescent="0.25">
      <c r="B319" s="810"/>
      <c r="C319" s="811"/>
      <c r="D319" s="812"/>
      <c r="E319" s="815"/>
      <c r="F319" s="214">
        <v>70</v>
      </c>
      <c r="G319" s="215">
        <v>680</v>
      </c>
      <c r="H319" s="818"/>
      <c r="I319" s="818"/>
      <c r="J319" s="173"/>
      <c r="K319" s="836"/>
      <c r="L319" s="555" t="s">
        <v>224</v>
      </c>
      <c r="M319" s="553">
        <v>-0.125</v>
      </c>
      <c r="N319" s="553">
        <v>-0.12520000000000001</v>
      </c>
      <c r="O319" s="553">
        <v>-0.125</v>
      </c>
      <c r="P319" s="553">
        <v>-0.125</v>
      </c>
      <c r="Q319" s="553">
        <v>-0.125</v>
      </c>
      <c r="R319" s="553">
        <v>-0.25</v>
      </c>
      <c r="S319" s="553">
        <v>-0.375</v>
      </c>
      <c r="T319" s="553">
        <v>-0.5</v>
      </c>
      <c r="U319" s="553">
        <v>-0.625</v>
      </c>
      <c r="V319" s="554" t="s">
        <v>121</v>
      </c>
    </row>
    <row r="320" spans="2:22" ht="21.95" hidden="1" customHeight="1" x14ac:dyDescent="0.25">
      <c r="B320" s="784" t="s">
        <v>190</v>
      </c>
      <c r="C320" s="785"/>
      <c r="D320" s="785"/>
      <c r="E320" s="785"/>
      <c r="F320" s="785"/>
      <c r="G320" s="785"/>
      <c r="H320" s="785"/>
      <c r="I320" s="785"/>
      <c r="J320" s="785"/>
      <c r="K320" s="786"/>
      <c r="L320" s="555" t="s">
        <v>225</v>
      </c>
      <c r="M320" s="553">
        <v>-0.125</v>
      </c>
      <c r="N320" s="553">
        <v>-0.125</v>
      </c>
      <c r="O320" s="553">
        <v>-0.125</v>
      </c>
      <c r="P320" s="553">
        <v>-0.125</v>
      </c>
      <c r="Q320" s="553">
        <v>-0.375</v>
      </c>
      <c r="R320" s="553">
        <v>-0.625</v>
      </c>
      <c r="S320" s="553">
        <v>-3</v>
      </c>
      <c r="T320" s="553">
        <v>-3.25</v>
      </c>
      <c r="U320" s="553">
        <v>-3.5</v>
      </c>
      <c r="V320" s="554" t="s">
        <v>121</v>
      </c>
    </row>
    <row r="321" spans="2:22" ht="21.95" hidden="1" customHeight="1" x14ac:dyDescent="0.25">
      <c r="B321" s="807" t="s">
        <v>184</v>
      </c>
      <c r="C321" s="808"/>
      <c r="D321" s="809"/>
      <c r="E321" s="813">
        <v>2000000</v>
      </c>
      <c r="F321" s="214">
        <v>75</v>
      </c>
      <c r="G321" s="215">
        <v>680</v>
      </c>
      <c r="H321" s="816">
        <v>3</v>
      </c>
      <c r="I321" s="816">
        <v>45</v>
      </c>
      <c r="J321" s="173"/>
      <c r="K321" s="175" t="s">
        <v>121</v>
      </c>
      <c r="L321" s="555" t="s">
        <v>388</v>
      </c>
      <c r="M321" s="553">
        <v>0</v>
      </c>
      <c r="N321" s="553">
        <v>0</v>
      </c>
      <c r="O321" s="553">
        <v>0</v>
      </c>
      <c r="P321" s="553">
        <v>0</v>
      </c>
      <c r="Q321" s="553">
        <v>0</v>
      </c>
      <c r="R321" s="553">
        <v>0</v>
      </c>
      <c r="S321" s="553">
        <v>0</v>
      </c>
      <c r="T321" s="553">
        <v>-10</v>
      </c>
      <c r="U321" s="553">
        <v>-10</v>
      </c>
      <c r="V321" s="554" t="s">
        <v>121</v>
      </c>
    </row>
    <row r="322" spans="2:22" ht="21.95" hidden="1" customHeight="1" x14ac:dyDescent="0.25">
      <c r="B322" s="810"/>
      <c r="C322" s="811"/>
      <c r="D322" s="812"/>
      <c r="E322" s="814"/>
      <c r="F322" s="214">
        <v>65</v>
      </c>
      <c r="G322" s="215">
        <v>680</v>
      </c>
      <c r="H322" s="817"/>
      <c r="I322" s="817"/>
      <c r="J322" s="173"/>
      <c r="K322" s="175" t="s">
        <v>121</v>
      </c>
      <c r="L322" s="555" t="s">
        <v>222</v>
      </c>
      <c r="M322" s="553">
        <v>0</v>
      </c>
      <c r="N322" s="553">
        <v>0</v>
      </c>
      <c r="O322" s="553">
        <v>-0.125</v>
      </c>
      <c r="P322" s="553">
        <v>-0.25</v>
      </c>
      <c r="Q322" s="553">
        <v>-0.25</v>
      </c>
      <c r="R322" s="553">
        <v>-0.25</v>
      </c>
      <c r="S322" s="553">
        <v>-0.375</v>
      </c>
      <c r="T322" s="553">
        <v>-10</v>
      </c>
      <c r="U322" s="553">
        <v>-10</v>
      </c>
      <c r="V322" s="554" t="s">
        <v>121</v>
      </c>
    </row>
    <row r="323" spans="2:22" ht="21.95" hidden="1" customHeight="1" x14ac:dyDescent="0.25">
      <c r="B323" s="807" t="s">
        <v>50</v>
      </c>
      <c r="C323" s="808"/>
      <c r="D323" s="809"/>
      <c r="E323" s="814"/>
      <c r="F323" s="214">
        <v>70</v>
      </c>
      <c r="G323" s="215">
        <v>720</v>
      </c>
      <c r="H323" s="817"/>
      <c r="I323" s="817"/>
      <c r="J323" s="173"/>
      <c r="K323" s="819">
        <v>350000</v>
      </c>
      <c r="L323" s="555" t="s">
        <v>130</v>
      </c>
      <c r="M323" s="553">
        <v>0</v>
      </c>
      <c r="N323" s="553">
        <v>0</v>
      </c>
      <c r="O323" s="553">
        <v>0</v>
      </c>
      <c r="P323" s="553">
        <v>0</v>
      </c>
      <c r="Q323" s="553">
        <v>0</v>
      </c>
      <c r="R323" s="553">
        <v>0</v>
      </c>
      <c r="S323" s="553">
        <v>0</v>
      </c>
      <c r="T323" s="553">
        <v>0</v>
      </c>
      <c r="U323" s="553">
        <v>0</v>
      </c>
      <c r="V323" s="554" t="s">
        <v>121</v>
      </c>
    </row>
    <row r="324" spans="2:22" ht="21.95" hidden="1" customHeight="1" x14ac:dyDescent="0.25">
      <c r="B324" s="810"/>
      <c r="C324" s="811"/>
      <c r="D324" s="812"/>
      <c r="E324" s="815"/>
      <c r="F324" s="214">
        <v>65</v>
      </c>
      <c r="G324" s="215">
        <v>680</v>
      </c>
      <c r="H324" s="818"/>
      <c r="I324" s="818"/>
      <c r="J324" s="173"/>
      <c r="K324" s="820"/>
      <c r="L324" s="555" t="s">
        <v>223</v>
      </c>
      <c r="M324" s="553">
        <v>0</v>
      </c>
      <c r="N324" s="553">
        <v>0</v>
      </c>
      <c r="O324" s="553">
        <v>0</v>
      </c>
      <c r="P324" s="553">
        <v>0</v>
      </c>
      <c r="Q324" s="553">
        <v>0</v>
      </c>
      <c r="R324" s="553">
        <v>0</v>
      </c>
      <c r="S324" s="553">
        <v>0</v>
      </c>
      <c r="T324" s="553">
        <v>0</v>
      </c>
      <c r="U324" s="553">
        <v>0</v>
      </c>
      <c r="V324" s="554" t="s">
        <v>121</v>
      </c>
    </row>
    <row r="325" spans="2:22" ht="21.95" hidden="1" customHeight="1" x14ac:dyDescent="0.25">
      <c r="B325" s="784" t="s">
        <v>191</v>
      </c>
      <c r="C325" s="785"/>
      <c r="D325" s="785"/>
      <c r="E325" s="785"/>
      <c r="F325" s="785"/>
      <c r="G325" s="785"/>
      <c r="H325" s="785"/>
      <c r="I325" s="785"/>
      <c r="J325" s="785"/>
      <c r="K325" s="786"/>
      <c r="L325" s="560" t="s">
        <v>380</v>
      </c>
      <c r="M325" s="553">
        <v>-2.5</v>
      </c>
      <c r="N325" s="553">
        <v>-2.5</v>
      </c>
      <c r="O325" s="553">
        <v>-2.5</v>
      </c>
      <c r="P325" s="553">
        <v>-2.5</v>
      </c>
      <c r="Q325" s="553">
        <v>-2.5</v>
      </c>
      <c r="R325" s="553">
        <v>-2.5</v>
      </c>
      <c r="S325" s="553">
        <v>-2.5</v>
      </c>
      <c r="T325" s="553">
        <v>-6</v>
      </c>
      <c r="U325" s="553">
        <v>-6</v>
      </c>
      <c r="V325" s="561" t="s">
        <v>121</v>
      </c>
    </row>
    <row r="326" spans="2:22" ht="21.95" hidden="1" customHeight="1" thickBot="1" x14ac:dyDescent="0.25">
      <c r="B326" s="787" t="s">
        <v>177</v>
      </c>
      <c r="C326" s="788"/>
      <c r="D326" s="789"/>
      <c r="E326" s="216">
        <v>2000000</v>
      </c>
      <c r="F326" s="217">
        <v>80</v>
      </c>
      <c r="G326" s="218">
        <v>680</v>
      </c>
      <c r="H326" s="218">
        <v>3</v>
      </c>
      <c r="I326" s="218">
        <v>45</v>
      </c>
      <c r="J326" s="219"/>
      <c r="K326" s="220" t="s">
        <v>121</v>
      </c>
      <c r="L326" s="560" t="s">
        <v>389</v>
      </c>
      <c r="M326" s="553">
        <v>-0.25</v>
      </c>
      <c r="N326" s="553">
        <v>-0.375</v>
      </c>
      <c r="O326" s="553">
        <v>-0.75</v>
      </c>
      <c r="P326" s="553">
        <v>-1</v>
      </c>
      <c r="Q326" s="553">
        <v>-1.5</v>
      </c>
      <c r="R326" s="553">
        <v>-2</v>
      </c>
      <c r="S326" s="553">
        <v>-3</v>
      </c>
      <c r="T326" s="553">
        <v>-10</v>
      </c>
      <c r="U326" s="553">
        <v>-10</v>
      </c>
      <c r="V326" s="562" t="s">
        <v>121</v>
      </c>
    </row>
    <row r="327" spans="2:22" ht="21.95" hidden="1" customHeight="1" x14ac:dyDescent="0.25">
      <c r="B327" s="100" t="s">
        <v>295</v>
      </c>
      <c r="C327" s="74"/>
      <c r="D327" s="74"/>
      <c r="E327" s="74"/>
      <c r="F327" s="190"/>
      <c r="G327" s="190"/>
      <c r="H327" s="190"/>
      <c r="I327" s="190"/>
      <c r="J327" s="190"/>
      <c r="K327" s="190"/>
      <c r="L327" s="190"/>
      <c r="M327" s="190"/>
      <c r="N327" s="190"/>
      <c r="O327" s="190"/>
      <c r="P327" s="190"/>
      <c r="Q327" s="190"/>
      <c r="R327" s="1037" t="s">
        <v>90</v>
      </c>
      <c r="S327" s="1037"/>
      <c r="T327" s="190"/>
      <c r="U327" s="190"/>
      <c r="V327" s="191"/>
    </row>
    <row r="328" spans="2:22" ht="21.95" hidden="1" customHeight="1" x14ac:dyDescent="0.25">
      <c r="B328" s="131" t="s">
        <v>305</v>
      </c>
      <c r="C328" s="80"/>
      <c r="D328" s="80"/>
      <c r="E328" s="81">
        <v>-0.02</v>
      </c>
      <c r="F328" s="193"/>
      <c r="G328" s="193"/>
      <c r="H328" s="1083" t="s">
        <v>23</v>
      </c>
      <c r="I328" s="1083"/>
      <c r="J328" s="1083"/>
      <c r="K328" s="1083"/>
      <c r="L328" s="194">
        <v>102.5</v>
      </c>
      <c r="M328" s="195"/>
      <c r="N328" s="195"/>
      <c r="O328" s="195"/>
      <c r="P328" s="195"/>
      <c r="Q328" s="195"/>
      <c r="R328" s="1036" t="s">
        <v>91</v>
      </c>
      <c r="S328" s="1036"/>
      <c r="T328" s="210">
        <v>1595</v>
      </c>
      <c r="U328" s="500"/>
      <c r="V328" s="196"/>
    </row>
    <row r="329" spans="2:22" ht="21.95" hidden="1" customHeight="1" x14ac:dyDescent="0.25">
      <c r="B329" s="135" t="s">
        <v>306</v>
      </c>
      <c r="C329" s="80"/>
      <c r="D329" s="80"/>
      <c r="E329" s="81">
        <v>-0.02</v>
      </c>
      <c r="F329" s="523"/>
      <c r="G329" s="523"/>
      <c r="H329" s="523"/>
      <c r="I329" s="197"/>
      <c r="J329" s="198"/>
      <c r="K329" s="198"/>
      <c r="L329" s="500"/>
      <c r="M329" s="500"/>
      <c r="N329" s="500"/>
      <c r="O329" s="500"/>
      <c r="P329" s="500"/>
      <c r="Q329" s="84"/>
      <c r="R329" s="1020" t="s">
        <v>156</v>
      </c>
      <c r="S329" s="1020"/>
      <c r="T329" s="201">
        <v>700</v>
      </c>
      <c r="U329" s="192"/>
      <c r="V329" s="199"/>
    </row>
    <row r="330" spans="2:22" ht="21.95" hidden="1" customHeight="1" x14ac:dyDescent="0.25">
      <c r="B330" s="135" t="s">
        <v>307</v>
      </c>
      <c r="C330" s="80"/>
      <c r="D330" s="80"/>
      <c r="E330" s="81">
        <v>-0.04</v>
      </c>
      <c r="F330" s="523"/>
      <c r="G330" s="523"/>
      <c r="H330" s="523"/>
      <c r="I330" s="197"/>
      <c r="J330" s="500"/>
      <c r="K330" s="500"/>
      <c r="L330" s="500"/>
      <c r="M330" s="500"/>
      <c r="N330" s="500"/>
      <c r="O330" s="500"/>
      <c r="P330" s="500"/>
      <c r="Q330" s="84"/>
      <c r="R330" s="209"/>
      <c r="S330" s="200" t="s">
        <v>157</v>
      </c>
      <c r="T330" s="201">
        <v>295</v>
      </c>
      <c r="U330" s="192"/>
      <c r="V330" s="202"/>
    </row>
    <row r="331" spans="2:22" ht="21.95" hidden="1" customHeight="1" x14ac:dyDescent="0.25">
      <c r="B331" s="135" t="s">
        <v>308</v>
      </c>
      <c r="C331" s="80"/>
      <c r="D331" s="80"/>
      <c r="E331" s="81">
        <v>-0.04</v>
      </c>
      <c r="F331" s="523"/>
      <c r="G331" s="523"/>
      <c r="H331" s="523"/>
      <c r="I331" s="197"/>
      <c r="J331" s="203"/>
      <c r="K331" s="203"/>
      <c r="L331" s="195"/>
      <c r="M331" s="195"/>
      <c r="N331" s="195"/>
      <c r="O331" s="195"/>
      <c r="P331" s="195"/>
      <c r="Q331" s="1020" t="s">
        <v>158</v>
      </c>
      <c r="R331" s="1020"/>
      <c r="S331" s="1020"/>
      <c r="T331" s="201">
        <v>0</v>
      </c>
      <c r="U331" s="192"/>
      <c r="V331" s="199"/>
    </row>
    <row r="332" spans="2:22" ht="21.95" hidden="1" customHeight="1" x14ac:dyDescent="0.25">
      <c r="B332" s="135" t="s">
        <v>85</v>
      </c>
      <c r="C332" s="524"/>
      <c r="D332" s="524"/>
      <c r="E332" s="81">
        <v>-0.125</v>
      </c>
      <c r="F332" s="523"/>
      <c r="G332" s="523"/>
      <c r="H332" s="523"/>
      <c r="I332" s="197"/>
      <c r="J332" s="203"/>
      <c r="K332" s="203"/>
      <c r="L332" s="195"/>
      <c r="M332" s="195"/>
      <c r="N332" s="195"/>
      <c r="O332" s="195"/>
      <c r="P332" s="195"/>
      <c r="Q332" s="195"/>
      <c r="R332" s="195"/>
      <c r="S332" s="192"/>
      <c r="T332" s="192"/>
      <c r="U332" s="192"/>
      <c r="V332" s="199"/>
    </row>
    <row r="333" spans="2:22" ht="21.95" hidden="1" customHeight="1" thickBot="1" x14ac:dyDescent="0.25">
      <c r="B333" s="204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6"/>
    </row>
    <row r="334" spans="2:22" ht="21.95" hidden="1" customHeight="1" x14ac:dyDescent="0.25">
      <c r="B334" s="509"/>
      <c r="C334" s="500"/>
      <c r="D334" s="500"/>
      <c r="E334" s="500"/>
      <c r="F334" s="500"/>
      <c r="G334" s="500"/>
      <c r="H334" s="500"/>
      <c r="I334" s="500"/>
      <c r="J334" s="500"/>
      <c r="K334" s="500"/>
      <c r="L334" s="500"/>
      <c r="M334" s="207" t="s">
        <v>57</v>
      </c>
      <c r="N334" s="500"/>
      <c r="O334" s="500"/>
      <c r="P334" s="500"/>
      <c r="Q334" s="500"/>
      <c r="R334" s="500"/>
      <c r="S334" s="500"/>
      <c r="T334" s="500"/>
      <c r="U334" s="500"/>
      <c r="V334" s="502"/>
    </row>
    <row r="335" spans="2:22" ht="21.95" hidden="1" customHeight="1" x14ac:dyDescent="0.25">
      <c r="B335" s="509"/>
      <c r="C335" s="500"/>
      <c r="D335" s="500"/>
      <c r="E335" s="500"/>
      <c r="F335" s="500"/>
      <c r="G335" s="500"/>
      <c r="H335" s="500"/>
      <c r="I335" s="500"/>
      <c r="J335" s="500"/>
      <c r="K335" s="500"/>
      <c r="L335" s="500"/>
      <c r="M335" s="207" t="s">
        <v>58</v>
      </c>
      <c r="N335" s="500"/>
      <c r="O335" s="500"/>
      <c r="P335" s="500"/>
      <c r="Q335" s="500"/>
      <c r="R335" s="500"/>
      <c r="S335" s="500"/>
      <c r="T335" s="500"/>
      <c r="U335" s="500"/>
      <c r="V335" s="502"/>
    </row>
    <row r="336" spans="2:22" ht="21.95" hidden="1" customHeight="1" x14ac:dyDescent="0.25">
      <c r="B336" s="509"/>
      <c r="C336" s="500"/>
      <c r="D336" s="500"/>
      <c r="E336" s="500"/>
      <c r="F336" s="500"/>
      <c r="G336" s="500"/>
      <c r="H336" s="500"/>
      <c r="I336" s="500"/>
      <c r="J336" s="500"/>
      <c r="K336" s="500"/>
      <c r="L336" s="500"/>
      <c r="M336" s="208" t="s">
        <v>67</v>
      </c>
      <c r="N336" s="500"/>
      <c r="O336" s="500"/>
      <c r="P336" s="500"/>
      <c r="Q336" s="500"/>
      <c r="R336" s="500"/>
      <c r="S336" s="500"/>
      <c r="T336" s="500"/>
      <c r="U336" s="500"/>
      <c r="V336" s="502"/>
    </row>
    <row r="337" spans="2:22" ht="21.95" hidden="1" customHeight="1" x14ac:dyDescent="0.25">
      <c r="B337" s="509"/>
      <c r="C337" s="500"/>
      <c r="D337" s="500"/>
      <c r="E337" s="500"/>
      <c r="F337" s="500"/>
      <c r="G337" s="500"/>
      <c r="H337" s="500"/>
      <c r="I337" s="500"/>
      <c r="J337" s="500"/>
      <c r="K337" s="500"/>
      <c r="L337" s="500"/>
      <c r="M337" s="208" t="s">
        <v>59</v>
      </c>
      <c r="N337" s="500"/>
      <c r="O337" s="500"/>
      <c r="P337" s="500"/>
      <c r="Q337" s="500"/>
      <c r="R337" s="500"/>
      <c r="S337" s="500"/>
      <c r="T337" s="500"/>
      <c r="U337" s="500"/>
      <c r="V337" s="502"/>
    </row>
    <row r="338" spans="2:22" ht="21.95" hidden="1" customHeight="1" x14ac:dyDescent="0.25">
      <c r="B338" s="102"/>
      <c r="C338" s="103"/>
      <c r="D338" s="103"/>
      <c r="E338" s="103"/>
      <c r="F338" s="103"/>
      <c r="G338" s="103"/>
      <c r="H338" s="103"/>
      <c r="I338" s="103"/>
      <c r="J338" s="44"/>
      <c r="K338" s="44"/>
      <c r="N338" s="103"/>
      <c r="O338" s="103"/>
      <c r="P338" s="103"/>
      <c r="Q338" s="103"/>
      <c r="R338" s="103"/>
      <c r="S338" s="103"/>
      <c r="T338" s="103"/>
      <c r="U338" s="103"/>
      <c r="V338" s="511"/>
    </row>
    <row r="339" spans="2:22" ht="21.95" hidden="1" customHeight="1" thickBot="1" x14ac:dyDescent="0.25">
      <c r="B339" s="104"/>
      <c r="C339" s="105"/>
      <c r="D339" s="105"/>
      <c r="E339" s="105"/>
      <c r="F339" s="105"/>
      <c r="G339" s="105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7"/>
      <c r="T339" s="107"/>
      <c r="U339" s="107"/>
      <c r="V339" s="108"/>
    </row>
    <row r="340" spans="2:22" ht="21.95" hidden="1" customHeight="1" thickBot="1" x14ac:dyDescent="0.25">
      <c r="B340" s="230"/>
      <c r="C340" s="231"/>
      <c r="D340" s="231"/>
      <c r="E340" s="231"/>
      <c r="F340" s="231"/>
      <c r="G340" s="231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93"/>
      <c r="T340" s="93"/>
      <c r="U340" s="93"/>
      <c r="V340" s="233"/>
    </row>
    <row r="341" spans="2:22" ht="21.95" hidden="1" customHeight="1" x14ac:dyDescent="0.25">
      <c r="B341" s="1" t="s">
        <v>66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986" t="s">
        <v>0</v>
      </c>
      <c r="U341" s="986"/>
      <c r="V341" s="987"/>
    </row>
    <row r="342" spans="2:22" ht="21.95" hidden="1" customHeight="1" x14ac:dyDescent="0.25">
      <c r="B342" s="3" t="s">
        <v>68</v>
      </c>
      <c r="C342" s="4"/>
      <c r="D342" s="4"/>
      <c r="E342" s="4"/>
      <c r="F342" s="4"/>
      <c r="G342" s="4"/>
      <c r="H342" s="500"/>
      <c r="I342" s="500"/>
      <c r="J342" s="4"/>
      <c r="K342" s="4"/>
      <c r="L342" s="4"/>
      <c r="M342" s="4"/>
      <c r="N342" s="4"/>
      <c r="O342" s="4"/>
      <c r="P342" s="4"/>
      <c r="Q342" s="4"/>
      <c r="R342" s="4"/>
      <c r="S342" s="988">
        <f ca="1">TODAY()</f>
        <v>46101</v>
      </c>
      <c r="T342" s="988"/>
      <c r="U342" s="989">
        <f>Y2</f>
        <v>0.48958333333333331</v>
      </c>
      <c r="V342" s="990"/>
    </row>
    <row r="343" spans="2:22" ht="21.95" hidden="1" customHeight="1" x14ac:dyDescent="0.25">
      <c r="B343" s="3" t="s">
        <v>69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</row>
    <row r="344" spans="2:22" ht="21.95" hidden="1" customHeight="1" x14ac:dyDescent="0.3">
      <c r="B344" s="6" t="s">
        <v>72</v>
      </c>
      <c r="C344" s="4"/>
      <c r="D344" s="4"/>
      <c r="E344" s="4"/>
      <c r="F344" s="4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4" t="s">
        <v>161</v>
      </c>
      <c r="T344" s="501"/>
      <c r="U344" s="501"/>
      <c r="V344" s="5"/>
    </row>
    <row r="345" spans="2:22" ht="21.95" hidden="1" customHeight="1" x14ac:dyDescent="0.25">
      <c r="B345" s="8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501" t="s">
        <v>65</v>
      </c>
      <c r="T345" s="4"/>
      <c r="U345" s="4"/>
      <c r="V345" s="502"/>
    </row>
    <row r="346" spans="2:22" ht="21.95" hidden="1" customHeight="1" thickBot="1" x14ac:dyDescent="0.25">
      <c r="B346" s="10" t="s">
        <v>73</v>
      </c>
      <c r="C346" s="503"/>
      <c r="D346" s="503"/>
      <c r="E346" s="503"/>
      <c r="F346" s="503"/>
      <c r="G346" s="503"/>
      <c r="H346" s="503"/>
      <c r="I346" s="503"/>
      <c r="J346" s="503"/>
      <c r="K346" s="503"/>
      <c r="L346" s="503"/>
      <c r="M346" s="503"/>
      <c r="N346" s="503"/>
      <c r="O346" s="503"/>
      <c r="P346" s="503"/>
      <c r="Q346" s="503"/>
      <c r="R346" s="503"/>
      <c r="S346" s="504"/>
      <c r="T346" s="11"/>
      <c r="U346" s="11"/>
      <c r="V346" s="505"/>
    </row>
    <row r="347" spans="2:22" ht="21.95" hidden="1" customHeight="1" x14ac:dyDescent="0.25">
      <c r="B347" s="509"/>
      <c r="C347" s="500"/>
      <c r="D347" s="500"/>
      <c r="E347" s="500"/>
      <c r="F347" s="500"/>
      <c r="G347" s="500"/>
      <c r="H347" s="500"/>
      <c r="I347" s="500"/>
      <c r="J347" s="500"/>
      <c r="K347" s="500"/>
      <c r="L347" s="500"/>
      <c r="M347" s="500"/>
      <c r="N347" s="500"/>
      <c r="O347" s="500"/>
      <c r="P347" s="500"/>
      <c r="Q347" s="500"/>
      <c r="R347" s="500"/>
      <c r="S347" s="500"/>
      <c r="T347" s="500"/>
      <c r="U347" s="500"/>
      <c r="V347" s="502"/>
    </row>
    <row r="348" spans="2:22" ht="21.95" hidden="1" customHeight="1" thickBot="1" x14ac:dyDescent="0.25">
      <c r="B348" s="509"/>
      <c r="C348" s="500"/>
      <c r="D348" s="500"/>
      <c r="E348" s="500"/>
      <c r="F348" s="500"/>
      <c r="G348" s="500"/>
      <c r="H348" s="500"/>
      <c r="I348" s="500"/>
      <c r="J348" s="500"/>
      <c r="K348" s="500"/>
      <c r="L348" s="500"/>
      <c r="M348" s="500"/>
      <c r="N348" s="500"/>
      <c r="O348" s="500"/>
      <c r="P348" s="500"/>
      <c r="Q348" s="500"/>
      <c r="R348" s="500"/>
      <c r="S348" s="500"/>
      <c r="T348" s="500"/>
      <c r="U348" s="500"/>
      <c r="V348" s="502"/>
    </row>
    <row r="349" spans="2:22" ht="21.95" hidden="1" customHeight="1" thickBot="1" x14ac:dyDescent="0.25">
      <c r="B349" s="223"/>
      <c r="C349" s="224"/>
      <c r="D349" s="224"/>
      <c r="E349" s="224"/>
      <c r="F349" s="224"/>
      <c r="G349" s="225"/>
      <c r="H349" s="225"/>
      <c r="I349" s="226"/>
      <c r="J349" s="225"/>
      <c r="K349" s="225"/>
      <c r="L349" s="226" t="s">
        <v>217</v>
      </c>
      <c r="M349" s="225"/>
      <c r="N349" s="225"/>
      <c r="O349" s="225"/>
      <c r="P349" s="225"/>
      <c r="Q349" s="225"/>
      <c r="R349" s="227"/>
      <c r="S349" s="228"/>
      <c r="T349" s="228"/>
      <c r="U349" s="228"/>
      <c r="V349" s="229"/>
    </row>
    <row r="350" spans="2:22" ht="21.95" hidden="1" customHeight="1" thickBot="1" x14ac:dyDescent="0.25">
      <c r="B350" s="1091" t="s">
        <v>193</v>
      </c>
      <c r="C350" s="1092"/>
      <c r="D350" s="1092"/>
      <c r="E350" s="1092"/>
      <c r="F350" s="1092"/>
      <c r="G350" s="1092"/>
      <c r="H350" s="1092"/>
      <c r="I350" s="1092"/>
      <c r="J350" s="1092"/>
      <c r="K350" s="1092"/>
      <c r="L350" s="1092"/>
      <c r="M350" s="1093"/>
    </row>
    <row r="351" spans="2:22" ht="21.95" hidden="1" customHeight="1" thickBot="1" x14ac:dyDescent="0.25">
      <c r="B351" s="1084" t="s">
        <v>194</v>
      </c>
      <c r="C351" s="1086"/>
      <c r="D351" s="1084" t="s">
        <v>195</v>
      </c>
      <c r="E351" s="1085"/>
      <c r="F351" s="1085"/>
      <c r="G351" s="1085"/>
      <c r="H351" s="1085"/>
      <c r="I351" s="1085"/>
      <c r="J351" s="1085"/>
      <c r="K351" s="1085"/>
      <c r="L351" s="1085"/>
      <c r="M351" s="1086"/>
    </row>
    <row r="352" spans="2:22" ht="21.95" hidden="1" customHeight="1" thickBot="1" x14ac:dyDescent="0.25">
      <c r="B352" s="1084" t="s">
        <v>196</v>
      </c>
      <c r="C352" s="1086"/>
      <c r="D352" s="235" t="s">
        <v>197</v>
      </c>
      <c r="E352" s="236" t="s">
        <v>122</v>
      </c>
      <c r="F352" s="237" t="s">
        <v>123</v>
      </c>
      <c r="G352" s="238" t="s">
        <v>124</v>
      </c>
      <c r="H352" s="239" t="s">
        <v>46</v>
      </c>
      <c r="I352" s="239" t="s">
        <v>16</v>
      </c>
      <c r="J352" s="238" t="s">
        <v>17</v>
      </c>
      <c r="K352" s="238" t="s">
        <v>18</v>
      </c>
      <c r="L352" s="240" t="s">
        <v>19</v>
      </c>
      <c r="M352" s="238" t="s">
        <v>20</v>
      </c>
      <c r="N352" s="454" t="s">
        <v>370</v>
      </c>
      <c r="O352" s="455"/>
      <c r="P352" s="298" t="s">
        <v>301</v>
      </c>
      <c r="Q352" s="298" t="s">
        <v>299</v>
      </c>
      <c r="R352" s="298" t="s">
        <v>64</v>
      </c>
      <c r="S352" s="298" t="s">
        <v>10</v>
      </c>
      <c r="T352" s="298" t="s">
        <v>300</v>
      </c>
      <c r="U352" s="298"/>
      <c r="V352" s="298" t="s">
        <v>371</v>
      </c>
    </row>
    <row r="353" spans="2:22" ht="21.95" hidden="1" customHeight="1" thickBot="1" x14ac:dyDescent="0.25">
      <c r="B353" s="1087" t="s">
        <v>198</v>
      </c>
      <c r="C353" s="1088"/>
      <c r="D353" s="241">
        <v>-1.75</v>
      </c>
      <c r="E353" s="242">
        <v>-1.78</v>
      </c>
      <c r="F353" s="243">
        <v>-2.0099999999999998</v>
      </c>
      <c r="G353" s="243">
        <v>-2.91</v>
      </c>
      <c r="H353" s="244">
        <v>-3.71</v>
      </c>
      <c r="I353" s="244">
        <v>-4.42</v>
      </c>
      <c r="J353" s="244">
        <v>-5.49</v>
      </c>
      <c r="K353" s="243">
        <v>-7.38</v>
      </c>
      <c r="L353" s="245">
        <v>-8</v>
      </c>
      <c r="M353" s="246">
        <v>-8.76</v>
      </c>
      <c r="N353" s="454" t="s">
        <v>177</v>
      </c>
      <c r="O353" s="455"/>
      <c r="P353" s="563">
        <v>0.375</v>
      </c>
      <c r="Q353" s="563">
        <v>0.375</v>
      </c>
      <c r="R353" s="563">
        <v>0.375</v>
      </c>
      <c r="S353" s="563">
        <v>0.375</v>
      </c>
      <c r="T353" s="563">
        <v>0.5</v>
      </c>
      <c r="U353" s="563"/>
      <c r="V353" s="563">
        <v>0.5</v>
      </c>
    </row>
    <row r="354" spans="2:22" ht="21.95" hidden="1" customHeight="1" x14ac:dyDescent="0.25">
      <c r="B354" s="1081" t="s">
        <v>199</v>
      </c>
      <c r="C354" s="1082"/>
      <c r="D354" s="243">
        <v>-1.29</v>
      </c>
      <c r="E354" s="243">
        <v>-1.38</v>
      </c>
      <c r="F354" s="243">
        <v>-1.66</v>
      </c>
      <c r="G354" s="243">
        <v>-2.3199999999999998</v>
      </c>
      <c r="H354" s="244">
        <v>-2.91</v>
      </c>
      <c r="I354" s="244">
        <v>-3.44</v>
      </c>
      <c r="J354" s="244">
        <v>-4.25</v>
      </c>
      <c r="K354" s="243">
        <v>-5.63</v>
      </c>
      <c r="L354" s="245">
        <v>-6.12</v>
      </c>
      <c r="M354" s="247">
        <v>-6.79</v>
      </c>
    </row>
    <row r="355" spans="2:22" ht="21.95" hidden="1" customHeight="1" x14ac:dyDescent="0.25">
      <c r="B355" s="1081" t="s">
        <v>200</v>
      </c>
      <c r="C355" s="1082"/>
      <c r="D355" s="243">
        <v>-1.06</v>
      </c>
      <c r="E355" s="245">
        <v>-1.1100000000000001</v>
      </c>
      <c r="F355" s="245">
        <v>-1.25</v>
      </c>
      <c r="G355" s="245">
        <v>-1.79</v>
      </c>
      <c r="H355" s="248">
        <v>-2.19</v>
      </c>
      <c r="I355" s="248">
        <v>-2.64</v>
      </c>
      <c r="J355" s="244">
        <v>-3.21</v>
      </c>
      <c r="K355" s="245">
        <v>-4.42</v>
      </c>
      <c r="L355" s="245">
        <v>-4.7</v>
      </c>
      <c r="M355" s="249">
        <v>-5.14</v>
      </c>
    </row>
    <row r="356" spans="2:22" ht="21.95" hidden="1" customHeight="1" thickBot="1" x14ac:dyDescent="0.25">
      <c r="B356" s="1089" t="s">
        <v>201</v>
      </c>
      <c r="C356" s="1090"/>
      <c r="D356" s="250">
        <v>-0.62</v>
      </c>
      <c r="E356" s="250">
        <v>-0.62</v>
      </c>
      <c r="F356" s="250">
        <v>-0.62</v>
      </c>
      <c r="G356" s="250">
        <v>-0.76</v>
      </c>
      <c r="H356" s="251">
        <v>-0.89</v>
      </c>
      <c r="I356" s="252">
        <v>-1.02</v>
      </c>
      <c r="J356" s="252">
        <v>-1.21</v>
      </c>
      <c r="K356" s="250">
        <v>-1.61</v>
      </c>
      <c r="L356" s="250">
        <v>-1.79</v>
      </c>
      <c r="M356" s="253">
        <v>-1.92</v>
      </c>
    </row>
    <row r="357" spans="2:22" ht="21.95" hidden="1" customHeight="1" thickBot="1" x14ac:dyDescent="0.25">
      <c r="B357" s="1084" t="s">
        <v>202</v>
      </c>
      <c r="C357" s="1086"/>
      <c r="D357" s="1084" t="s">
        <v>195</v>
      </c>
      <c r="E357" s="1085"/>
      <c r="F357" s="1085"/>
      <c r="G357" s="1085"/>
      <c r="H357" s="1085"/>
      <c r="I357" s="1085"/>
      <c r="J357" s="1085"/>
      <c r="K357" s="1085"/>
      <c r="L357" s="1085"/>
      <c r="M357" s="1086"/>
    </row>
    <row r="358" spans="2:22" ht="21.95" hidden="1" customHeight="1" thickBot="1" x14ac:dyDescent="0.25">
      <c r="B358" s="1084" t="s">
        <v>196</v>
      </c>
      <c r="C358" s="1086"/>
      <c r="D358" s="235" t="s">
        <v>197</v>
      </c>
      <c r="E358" s="236" t="s">
        <v>122</v>
      </c>
      <c r="F358" s="237" t="s">
        <v>123</v>
      </c>
      <c r="G358" s="238" t="s">
        <v>124</v>
      </c>
      <c r="H358" s="239" t="s">
        <v>46</v>
      </c>
      <c r="I358" s="239" t="s">
        <v>16</v>
      </c>
      <c r="J358" s="238" t="s">
        <v>17</v>
      </c>
      <c r="K358" s="238" t="s">
        <v>18</v>
      </c>
      <c r="L358" s="240" t="s">
        <v>19</v>
      </c>
      <c r="M358" s="238" t="s">
        <v>20</v>
      </c>
    </row>
    <row r="359" spans="2:22" ht="21.95" hidden="1" customHeight="1" x14ac:dyDescent="0.25">
      <c r="B359" s="1087" t="s">
        <v>198</v>
      </c>
      <c r="C359" s="1088"/>
      <c r="D359" s="241">
        <v>-1.74</v>
      </c>
      <c r="E359" s="242">
        <v>-1.75</v>
      </c>
      <c r="F359" s="243">
        <v>-1.86</v>
      </c>
      <c r="G359" s="243">
        <v>-2.75</v>
      </c>
      <c r="H359" s="244">
        <v>-3.55</v>
      </c>
      <c r="I359" s="244">
        <v>-4.18</v>
      </c>
      <c r="J359" s="244">
        <v>-5.25</v>
      </c>
      <c r="K359" s="243">
        <v>-7.03</v>
      </c>
      <c r="L359" s="245">
        <v>-7.66</v>
      </c>
      <c r="M359" s="254">
        <v>-8.42</v>
      </c>
    </row>
    <row r="360" spans="2:22" ht="21.95" hidden="1" customHeight="1" x14ac:dyDescent="0.25">
      <c r="B360" s="1081" t="s">
        <v>199</v>
      </c>
      <c r="C360" s="1082"/>
      <c r="D360" s="243">
        <v>-1.08</v>
      </c>
      <c r="E360" s="243">
        <v>-1.1200000000000001</v>
      </c>
      <c r="F360" s="243">
        <v>-1.27</v>
      </c>
      <c r="G360" s="243">
        <v>-1.86</v>
      </c>
      <c r="H360" s="244">
        <v>-2.35</v>
      </c>
      <c r="I360" s="244">
        <v>-2.71</v>
      </c>
      <c r="J360" s="244">
        <v>-3.42</v>
      </c>
      <c r="K360" s="243">
        <v>-4.49</v>
      </c>
      <c r="L360" s="245">
        <v>-4.93</v>
      </c>
      <c r="M360" s="255">
        <v>-5.47</v>
      </c>
    </row>
    <row r="361" spans="2:22" ht="21.95" hidden="1" customHeight="1" x14ac:dyDescent="0.25">
      <c r="B361" s="1081" t="s">
        <v>200</v>
      </c>
      <c r="C361" s="1082"/>
      <c r="D361" s="243">
        <v>-0.62</v>
      </c>
      <c r="E361" s="242">
        <v>-0.62</v>
      </c>
      <c r="F361" s="242">
        <v>-0.69</v>
      </c>
      <c r="G361" s="242">
        <v>-0.91</v>
      </c>
      <c r="H361" s="256">
        <v>-1.1399999999999999</v>
      </c>
      <c r="I361" s="256">
        <v>-1.27</v>
      </c>
      <c r="J361" s="256">
        <v>-1.54</v>
      </c>
      <c r="K361" s="242">
        <v>-2.02</v>
      </c>
      <c r="L361" s="242">
        <v>-2.21</v>
      </c>
      <c r="M361" s="257">
        <v>-2.4300000000000002</v>
      </c>
    </row>
    <row r="362" spans="2:22" ht="21.95" hidden="1" customHeight="1" thickBot="1" x14ac:dyDescent="0.25">
      <c r="B362" s="1089" t="s">
        <v>201</v>
      </c>
      <c r="C362" s="1090"/>
      <c r="D362" s="250">
        <v>-0.48</v>
      </c>
      <c r="E362" s="258">
        <v>-0.48</v>
      </c>
      <c r="F362" s="258">
        <v>-0.48</v>
      </c>
      <c r="G362" s="251">
        <v>-0.48</v>
      </c>
      <c r="H362" s="251">
        <v>-0.48</v>
      </c>
      <c r="I362" s="252">
        <v>-0.48</v>
      </c>
      <c r="J362" s="252">
        <v>-0.52</v>
      </c>
      <c r="K362" s="258">
        <v>-0.64</v>
      </c>
      <c r="L362" s="258">
        <v>-0.68</v>
      </c>
      <c r="M362" s="259">
        <v>-0.78</v>
      </c>
    </row>
    <row r="363" spans="2:22" ht="21.95" hidden="1" customHeight="1" thickBot="1" x14ac:dyDescent="0.25"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</row>
    <row r="364" spans="2:22" ht="21.95" hidden="1" customHeight="1" thickBot="1" x14ac:dyDescent="0.25">
      <c r="B364" s="1091" t="s">
        <v>203</v>
      </c>
      <c r="C364" s="1092"/>
      <c r="D364" s="1092"/>
      <c r="E364" s="1092"/>
      <c r="F364" s="1092"/>
      <c r="G364" s="1092"/>
      <c r="H364" s="1092"/>
      <c r="I364" s="1092"/>
      <c r="J364" s="1092"/>
      <c r="K364" s="1092"/>
      <c r="L364" s="1092"/>
      <c r="M364" s="1093"/>
    </row>
    <row r="365" spans="2:22" ht="21.95" hidden="1" customHeight="1" thickBot="1" x14ac:dyDescent="0.25">
      <c r="B365" s="1084" t="s">
        <v>194</v>
      </c>
      <c r="C365" s="1086"/>
      <c r="D365" s="1084" t="s">
        <v>204</v>
      </c>
      <c r="E365" s="1085"/>
      <c r="F365" s="1085"/>
      <c r="G365" s="1085"/>
      <c r="H365" s="1085"/>
      <c r="I365" s="1085"/>
      <c r="J365" s="1085"/>
      <c r="K365" s="1085"/>
      <c r="L365" s="1085"/>
      <c r="M365" s="1086"/>
    </row>
    <row r="366" spans="2:22" ht="21.95" hidden="1" customHeight="1" thickBot="1" x14ac:dyDescent="0.25">
      <c r="B366" s="1084" t="s">
        <v>196</v>
      </c>
      <c r="C366" s="1086"/>
      <c r="D366" s="260" t="s">
        <v>197</v>
      </c>
      <c r="E366" s="236" t="s">
        <v>122</v>
      </c>
      <c r="F366" s="237" t="s">
        <v>123</v>
      </c>
      <c r="G366" s="238" t="s">
        <v>124</v>
      </c>
      <c r="H366" s="239" t="s">
        <v>46</v>
      </c>
      <c r="I366" s="239" t="s">
        <v>16</v>
      </c>
      <c r="J366" s="238" t="s">
        <v>17</v>
      </c>
      <c r="K366" s="238" t="s">
        <v>18</v>
      </c>
      <c r="L366" s="240" t="s">
        <v>19</v>
      </c>
      <c r="M366" s="238" t="s">
        <v>20</v>
      </c>
    </row>
    <row r="367" spans="2:22" ht="21.95" hidden="1" customHeight="1" x14ac:dyDescent="0.25">
      <c r="B367" s="1087" t="s">
        <v>198</v>
      </c>
      <c r="C367" s="1088"/>
      <c r="D367" s="261">
        <v>-1.45</v>
      </c>
      <c r="E367" s="261">
        <v>-1.49</v>
      </c>
      <c r="F367" s="261">
        <v>-1.57</v>
      </c>
      <c r="G367" s="262">
        <v>-2.23</v>
      </c>
      <c r="H367" s="262">
        <v>-2.81</v>
      </c>
      <c r="I367" s="262">
        <v>-3.3</v>
      </c>
      <c r="J367" s="262">
        <v>-4.1100000000000003</v>
      </c>
      <c r="K367" s="262">
        <v>-5.49</v>
      </c>
      <c r="L367" s="262">
        <v>-6.04</v>
      </c>
      <c r="M367" s="254">
        <v>-6.66</v>
      </c>
    </row>
    <row r="368" spans="2:22" ht="21.95" hidden="1" customHeight="1" x14ac:dyDescent="0.25">
      <c r="B368" s="1081" t="s">
        <v>199</v>
      </c>
      <c r="C368" s="1082"/>
      <c r="D368" s="245">
        <v>-1.1200000000000001</v>
      </c>
      <c r="E368" s="245">
        <v>-1.21</v>
      </c>
      <c r="F368" s="243">
        <v>-1.43</v>
      </c>
      <c r="G368" s="244">
        <v>-2.0099999999999998</v>
      </c>
      <c r="H368" s="244">
        <v>-2.5099999999999998</v>
      </c>
      <c r="I368" s="244">
        <v>-2.95</v>
      </c>
      <c r="J368" s="244">
        <v>-3.66</v>
      </c>
      <c r="K368" s="244">
        <v>-4.83</v>
      </c>
      <c r="L368" s="244">
        <v>-5.27</v>
      </c>
      <c r="M368" s="263">
        <v>-5.81</v>
      </c>
    </row>
    <row r="369" spans="2:13" ht="21.95" hidden="1" customHeight="1" x14ac:dyDescent="0.25">
      <c r="B369" s="1081" t="s">
        <v>200</v>
      </c>
      <c r="C369" s="1082"/>
      <c r="D369" s="243">
        <v>-1.06</v>
      </c>
      <c r="E369" s="245">
        <v>-1.1100000000000001</v>
      </c>
      <c r="F369" s="245">
        <v>-1.25</v>
      </c>
      <c r="G369" s="245">
        <v>-1.79</v>
      </c>
      <c r="H369" s="248">
        <v>-2.19</v>
      </c>
      <c r="I369" s="248">
        <v>-2.64</v>
      </c>
      <c r="J369" s="244">
        <v>-3.21</v>
      </c>
      <c r="K369" s="245">
        <v>-4.42</v>
      </c>
      <c r="L369" s="245">
        <v>-4.7</v>
      </c>
      <c r="M369" s="249">
        <v>-5.14</v>
      </c>
    </row>
    <row r="370" spans="2:13" ht="21.95" hidden="1" customHeight="1" thickBot="1" x14ac:dyDescent="0.25">
      <c r="B370" s="1089" t="s">
        <v>201</v>
      </c>
      <c r="C370" s="1090"/>
      <c r="D370" s="250">
        <v>-0.62</v>
      </c>
      <c r="E370" s="250">
        <v>-0.62</v>
      </c>
      <c r="F370" s="250">
        <v>-0.62</v>
      </c>
      <c r="G370" s="250">
        <v>-0.76</v>
      </c>
      <c r="H370" s="251">
        <v>-0.89</v>
      </c>
      <c r="I370" s="252">
        <v>-1.02</v>
      </c>
      <c r="J370" s="252">
        <v>-1.21</v>
      </c>
      <c r="K370" s="250">
        <v>-1.61</v>
      </c>
      <c r="L370" s="250">
        <v>-1.79</v>
      </c>
      <c r="M370" s="253">
        <v>-1.92</v>
      </c>
    </row>
    <row r="371" spans="2:13" ht="21.95" hidden="1" customHeight="1" thickBot="1" x14ac:dyDescent="0.25">
      <c r="B371" s="1084" t="s">
        <v>202</v>
      </c>
      <c r="C371" s="1086"/>
      <c r="D371" s="1084" t="s">
        <v>204</v>
      </c>
      <c r="E371" s="1085"/>
      <c r="F371" s="1085"/>
      <c r="G371" s="1085"/>
      <c r="H371" s="1085"/>
      <c r="I371" s="1085"/>
      <c r="J371" s="1085"/>
      <c r="K371" s="1085"/>
      <c r="L371" s="1085"/>
      <c r="M371" s="1086"/>
    </row>
    <row r="372" spans="2:13" ht="21.95" hidden="1" customHeight="1" thickBot="1" x14ac:dyDescent="0.25">
      <c r="B372" s="1084" t="s">
        <v>196</v>
      </c>
      <c r="C372" s="1086"/>
      <c r="D372" s="235" t="s">
        <v>197</v>
      </c>
      <c r="E372" s="236" t="s">
        <v>122</v>
      </c>
      <c r="F372" s="237" t="s">
        <v>123</v>
      </c>
      <c r="G372" s="238" t="s">
        <v>124</v>
      </c>
      <c r="H372" s="239" t="s">
        <v>46</v>
      </c>
      <c r="I372" s="239" t="s">
        <v>16</v>
      </c>
      <c r="J372" s="238" t="s">
        <v>17</v>
      </c>
      <c r="K372" s="238" t="s">
        <v>18</v>
      </c>
      <c r="L372" s="240" t="s">
        <v>19</v>
      </c>
      <c r="M372" s="238" t="s">
        <v>20</v>
      </c>
    </row>
    <row r="373" spans="2:13" ht="21.95" hidden="1" customHeight="1" x14ac:dyDescent="0.25">
      <c r="B373" s="1087" t="s">
        <v>198</v>
      </c>
      <c r="C373" s="1088"/>
      <c r="D373" s="264">
        <v>-1.41</v>
      </c>
      <c r="E373" s="261">
        <v>-1.41</v>
      </c>
      <c r="F373" s="261">
        <v>-1.41</v>
      </c>
      <c r="G373" s="262">
        <v>-2.08</v>
      </c>
      <c r="H373" s="262">
        <v>-2.65</v>
      </c>
      <c r="I373" s="262">
        <v>-3.06</v>
      </c>
      <c r="J373" s="262">
        <v>-3.86</v>
      </c>
      <c r="K373" s="262">
        <v>-5.15</v>
      </c>
      <c r="L373" s="262">
        <v>-5.69</v>
      </c>
      <c r="M373" s="254">
        <v>-6.32</v>
      </c>
    </row>
    <row r="374" spans="2:13" ht="21.95" hidden="1" customHeight="1" x14ac:dyDescent="0.25">
      <c r="B374" s="1081" t="s">
        <v>199</v>
      </c>
      <c r="C374" s="1082"/>
      <c r="D374" s="245">
        <v>-1.08</v>
      </c>
      <c r="E374" s="245">
        <v>-1.1200000000000001</v>
      </c>
      <c r="F374" s="243">
        <v>-1.27</v>
      </c>
      <c r="G374" s="243">
        <v>-1.86</v>
      </c>
      <c r="H374" s="244">
        <v>-2.35</v>
      </c>
      <c r="I374" s="244">
        <v>-2.71</v>
      </c>
      <c r="J374" s="244">
        <v>-3.42</v>
      </c>
      <c r="K374" s="243">
        <v>-4.49</v>
      </c>
      <c r="L374" s="245">
        <v>-4.93</v>
      </c>
      <c r="M374" s="263">
        <v>-5.47</v>
      </c>
    </row>
    <row r="375" spans="2:13" ht="21.95" hidden="1" customHeight="1" x14ac:dyDescent="0.25">
      <c r="B375" s="1081" t="s">
        <v>200</v>
      </c>
      <c r="C375" s="1082"/>
      <c r="D375" s="243">
        <v>-0.62</v>
      </c>
      <c r="E375" s="242">
        <v>-0.62</v>
      </c>
      <c r="F375" s="242">
        <v>-0.69</v>
      </c>
      <c r="G375" s="242">
        <v>-0.91</v>
      </c>
      <c r="H375" s="256">
        <v>-1.1399999999999999</v>
      </c>
      <c r="I375" s="256">
        <v>-1.27</v>
      </c>
      <c r="J375" s="256">
        <v>-1.54</v>
      </c>
      <c r="K375" s="242">
        <v>-2.02</v>
      </c>
      <c r="L375" s="242">
        <v>-2.21</v>
      </c>
      <c r="M375" s="257">
        <v>-2.4300000000000002</v>
      </c>
    </row>
    <row r="376" spans="2:13" ht="21.95" hidden="1" customHeight="1" thickBot="1" x14ac:dyDescent="0.25">
      <c r="B376" s="1089" t="s">
        <v>201</v>
      </c>
      <c r="C376" s="1090"/>
      <c r="D376" s="250">
        <v>-0.48</v>
      </c>
      <c r="E376" s="258">
        <v>-0.48</v>
      </c>
      <c r="F376" s="258">
        <v>-0.48</v>
      </c>
      <c r="G376" s="251">
        <v>-0.48</v>
      </c>
      <c r="H376" s="251">
        <v>-0.48</v>
      </c>
      <c r="I376" s="252">
        <v>-0.48</v>
      </c>
      <c r="J376" s="252">
        <v>-0.52</v>
      </c>
      <c r="K376" s="258">
        <v>-0.64</v>
      </c>
      <c r="L376" s="258">
        <v>-0.68</v>
      </c>
      <c r="M376" s="259">
        <v>-0.78</v>
      </c>
    </row>
    <row r="377" spans="2:13" ht="21.95" hidden="1" customHeight="1" thickBot="1" x14ac:dyDescent="0.25"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</row>
    <row r="378" spans="2:13" ht="21.95" hidden="1" customHeight="1" thickBot="1" x14ac:dyDescent="0.25">
      <c r="B378" s="1091" t="s">
        <v>205</v>
      </c>
      <c r="C378" s="1092"/>
      <c r="D378" s="1092"/>
      <c r="E378" s="1092"/>
      <c r="F378" s="1092"/>
      <c r="G378" s="1092"/>
      <c r="H378" s="1092"/>
      <c r="I378" s="1092"/>
      <c r="J378" s="1092"/>
      <c r="K378" s="1092"/>
      <c r="L378" s="1092"/>
      <c r="M378" s="1093"/>
    </row>
    <row r="379" spans="2:13" ht="21.95" hidden="1" customHeight="1" thickBot="1" x14ac:dyDescent="0.25">
      <c r="B379" s="1094" t="s">
        <v>206</v>
      </c>
      <c r="C379" s="1095"/>
      <c r="D379" s="1084" t="s">
        <v>204</v>
      </c>
      <c r="E379" s="1085"/>
      <c r="F379" s="1085"/>
      <c r="G379" s="1085"/>
      <c r="H379" s="1085"/>
      <c r="I379" s="1085"/>
      <c r="J379" s="1085"/>
      <c r="K379" s="1085"/>
      <c r="L379" s="1085"/>
      <c r="M379" s="1086"/>
    </row>
    <row r="380" spans="2:13" ht="21.95" hidden="1" customHeight="1" thickBot="1" x14ac:dyDescent="0.25">
      <c r="B380" s="234"/>
      <c r="C380" s="265"/>
      <c r="D380" s="260" t="s">
        <v>197</v>
      </c>
      <c r="E380" s="236" t="s">
        <v>122</v>
      </c>
      <c r="F380" s="237" t="s">
        <v>123</v>
      </c>
      <c r="G380" s="238" t="s">
        <v>124</v>
      </c>
      <c r="H380" s="239" t="s">
        <v>46</v>
      </c>
      <c r="I380" s="239" t="s">
        <v>16</v>
      </c>
      <c r="J380" s="239" t="s">
        <v>17</v>
      </c>
      <c r="K380" s="238" t="s">
        <v>18</v>
      </c>
      <c r="L380" s="240" t="s">
        <v>19</v>
      </c>
      <c r="M380" s="238" t="s">
        <v>20</v>
      </c>
    </row>
    <row r="381" spans="2:13" ht="21.95" hidden="1" customHeight="1" x14ac:dyDescent="0.25">
      <c r="B381" s="1087" t="s">
        <v>128</v>
      </c>
      <c r="C381" s="1088"/>
      <c r="D381" s="266">
        <v>-0.25</v>
      </c>
      <c r="E381" s="267">
        <v>-0.25</v>
      </c>
      <c r="F381" s="268">
        <v>-0.25</v>
      </c>
      <c r="G381" s="269">
        <v>-0.25</v>
      </c>
      <c r="H381" s="270">
        <v>-0.49</v>
      </c>
      <c r="I381" s="270">
        <v>-0.70000000000000007</v>
      </c>
      <c r="J381" s="270">
        <v>-0.70000000000000007</v>
      </c>
      <c r="K381" s="267">
        <v>-1.23</v>
      </c>
      <c r="L381" s="267">
        <v>-1.23</v>
      </c>
      <c r="M381" s="271">
        <v>-1.23</v>
      </c>
    </row>
    <row r="382" spans="2:13" ht="21.95" hidden="1" customHeight="1" x14ac:dyDescent="0.25">
      <c r="B382" s="1081" t="s">
        <v>47</v>
      </c>
      <c r="C382" s="1082"/>
      <c r="D382" s="272">
        <v>-1.1900000000000002</v>
      </c>
      <c r="E382" s="273">
        <v>-1.1900000000000002</v>
      </c>
      <c r="F382" s="268">
        <v>-1.1900000000000002</v>
      </c>
      <c r="G382" s="268">
        <v>-1.1900000000000002</v>
      </c>
      <c r="H382" s="273">
        <v>-1.3299999999999998</v>
      </c>
      <c r="I382" s="273">
        <v>-1.7500000000000002</v>
      </c>
      <c r="J382" s="273">
        <v>-1.7500000000000002</v>
      </c>
      <c r="K382" s="273">
        <v>-2.63</v>
      </c>
      <c r="L382" s="273">
        <v>-2.63</v>
      </c>
      <c r="M382" s="274">
        <v>-2.63</v>
      </c>
    </row>
    <row r="383" spans="2:13" ht="21.95" hidden="1" customHeight="1" x14ac:dyDescent="0.25">
      <c r="B383" s="1081" t="s">
        <v>9</v>
      </c>
      <c r="C383" s="1082"/>
      <c r="D383" s="272">
        <v>-0.5</v>
      </c>
      <c r="E383" s="273">
        <v>-0.5</v>
      </c>
      <c r="F383" s="268">
        <v>-0.5</v>
      </c>
      <c r="G383" s="273">
        <v>-0.5</v>
      </c>
      <c r="H383" s="273">
        <v>-0.70000000000000007</v>
      </c>
      <c r="I383" s="273">
        <v>-1</v>
      </c>
      <c r="J383" s="273">
        <v>-1</v>
      </c>
      <c r="K383" s="273">
        <v>-1.3</v>
      </c>
      <c r="L383" s="273">
        <v>-1.3</v>
      </c>
      <c r="M383" s="274">
        <v>-1.3</v>
      </c>
    </row>
    <row r="384" spans="2:13" ht="21.95" hidden="1" customHeight="1" x14ac:dyDescent="0.25">
      <c r="B384" s="1096" t="s">
        <v>207</v>
      </c>
      <c r="C384" s="1097"/>
      <c r="D384" s="275">
        <v>-0.12</v>
      </c>
      <c r="E384" s="276">
        <v>-0.12</v>
      </c>
      <c r="F384" s="273">
        <v>-0.12</v>
      </c>
      <c r="G384" s="273">
        <v>-0.2</v>
      </c>
      <c r="H384" s="277">
        <v>-0.3</v>
      </c>
      <c r="I384" s="276">
        <v>-0.4</v>
      </c>
      <c r="J384" s="278">
        <v>-0.65</v>
      </c>
      <c r="K384" s="277">
        <v>-0.95</v>
      </c>
      <c r="L384" s="276">
        <v>-0.95</v>
      </c>
      <c r="M384" s="279">
        <v>-1</v>
      </c>
    </row>
    <row r="385" spans="2:22" ht="21.95" hidden="1" customHeight="1" thickBot="1" x14ac:dyDescent="0.25">
      <c r="B385" s="1089" t="s">
        <v>208</v>
      </c>
      <c r="C385" s="1090"/>
      <c r="D385" s="280">
        <v>-1.19</v>
      </c>
      <c r="E385" s="281">
        <v>-1.19</v>
      </c>
      <c r="F385" s="281">
        <v>-1.19</v>
      </c>
      <c r="G385" s="282">
        <v>-1.19</v>
      </c>
      <c r="H385" s="277">
        <v>-1.33</v>
      </c>
      <c r="I385" s="276">
        <v>-1.75</v>
      </c>
      <c r="J385" s="278">
        <v>-1.75</v>
      </c>
      <c r="K385" s="277">
        <v>-2.63</v>
      </c>
      <c r="L385" s="276">
        <v>-2.63</v>
      </c>
      <c r="M385" s="279">
        <v>-2.63</v>
      </c>
    </row>
    <row r="386" spans="2:22" ht="21.95" hidden="1" customHeight="1" x14ac:dyDescent="0.25">
      <c r="B386" s="283" t="s">
        <v>209</v>
      </c>
      <c r="C386" s="284"/>
      <c r="D386" s="261">
        <v>-0.38</v>
      </c>
      <c r="E386" s="262">
        <v>-0.38</v>
      </c>
      <c r="F386" s="262">
        <v>-0.38</v>
      </c>
      <c r="G386" s="262">
        <v>-0.62</v>
      </c>
      <c r="H386" s="262">
        <v>-0.76</v>
      </c>
      <c r="I386" s="262">
        <v>-1.06</v>
      </c>
      <c r="J386" s="262">
        <v>-1.24</v>
      </c>
      <c r="K386" s="262">
        <v>-1.4200000000000002</v>
      </c>
      <c r="L386" s="262">
        <v>-1.6</v>
      </c>
      <c r="M386" s="246">
        <v>-1.82</v>
      </c>
    </row>
    <row r="387" spans="2:22" ht="21.95" hidden="1" customHeight="1" x14ac:dyDescent="0.25">
      <c r="B387" s="285" t="s">
        <v>210</v>
      </c>
      <c r="C387" s="286"/>
      <c r="D387" s="243">
        <v>-0.35000000000000003</v>
      </c>
      <c r="E387" s="244">
        <v>-0.35000000000000003</v>
      </c>
      <c r="F387" s="244">
        <v>-0.35000000000000003</v>
      </c>
      <c r="G387" s="244">
        <v>-0.44</v>
      </c>
      <c r="H387" s="244">
        <v>-0.57000000000000006</v>
      </c>
      <c r="I387" s="244">
        <v>-0.72</v>
      </c>
      <c r="J387" s="244">
        <v>-1</v>
      </c>
      <c r="K387" s="244">
        <v>-1.1199999999999999</v>
      </c>
      <c r="L387" s="244">
        <v>-1.27</v>
      </c>
      <c r="M387" s="287">
        <v>-1.53</v>
      </c>
    </row>
    <row r="388" spans="2:22" ht="21.95" hidden="1" customHeight="1" x14ac:dyDescent="0.25">
      <c r="B388" s="285" t="s">
        <v>211</v>
      </c>
      <c r="C388" s="286"/>
      <c r="D388" s="243">
        <v>-0.27999999999999997</v>
      </c>
      <c r="E388" s="244">
        <v>-0.27999999999999997</v>
      </c>
      <c r="F388" s="244">
        <v>-0.27999999999999997</v>
      </c>
      <c r="G388" s="244">
        <v>-0.38999999999999996</v>
      </c>
      <c r="H388" s="244">
        <v>-0.5</v>
      </c>
      <c r="I388" s="244">
        <v>-0.62</v>
      </c>
      <c r="J388" s="244">
        <v>-0.75</v>
      </c>
      <c r="K388" s="244">
        <v>-0.89</v>
      </c>
      <c r="L388" s="244">
        <v>-1.01</v>
      </c>
      <c r="M388" s="287">
        <v>-1.25</v>
      </c>
    </row>
    <row r="389" spans="2:22" ht="21.95" hidden="1" customHeight="1" thickBot="1" x14ac:dyDescent="0.25">
      <c r="B389" s="234" t="s">
        <v>212</v>
      </c>
      <c r="C389" s="288"/>
      <c r="D389" s="250">
        <v>-0.11</v>
      </c>
      <c r="E389" s="289">
        <v>-0.11</v>
      </c>
      <c r="F389" s="289">
        <v>-0.11</v>
      </c>
      <c r="G389" s="289">
        <v>-0.16999999999999998</v>
      </c>
      <c r="H389" s="289">
        <v>-0.22</v>
      </c>
      <c r="I389" s="289">
        <v>-0.3</v>
      </c>
      <c r="J389" s="289">
        <v>-0.38</v>
      </c>
      <c r="K389" s="289">
        <v>-0.42</v>
      </c>
      <c r="L389" s="289">
        <v>-0.44</v>
      </c>
      <c r="M389" s="290">
        <v>-0.49</v>
      </c>
    </row>
    <row r="390" spans="2:22" ht="21.95" hidden="1" customHeight="1" x14ac:dyDescent="0.25"/>
    <row r="391" spans="2:22" ht="21.95" hidden="1" customHeight="1" thickBot="1" x14ac:dyDescent="0.25"/>
    <row r="392" spans="2:22" ht="21.95" hidden="1" customHeight="1" x14ac:dyDescent="0.25">
      <c r="B392" s="1" t="s">
        <v>66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986" t="s">
        <v>0</v>
      </c>
      <c r="U392" s="986"/>
      <c r="V392" s="987"/>
    </row>
    <row r="393" spans="2:22" ht="21.95" hidden="1" customHeight="1" x14ac:dyDescent="0.25">
      <c r="B393" s="3" t="s">
        <v>68</v>
      </c>
      <c r="C393" s="4"/>
      <c r="D393" s="4"/>
      <c r="E393" s="4"/>
      <c r="F393" s="4"/>
      <c r="G393" s="4"/>
      <c r="H393" s="500"/>
      <c r="I393" s="500"/>
      <c r="J393" s="4"/>
      <c r="K393" s="4"/>
      <c r="L393" s="4"/>
      <c r="M393" s="4"/>
      <c r="N393" s="4"/>
      <c r="O393" s="4"/>
      <c r="P393" s="4"/>
      <c r="Q393" s="4"/>
      <c r="R393" s="4"/>
      <c r="S393" s="988">
        <f ca="1">TODAY()</f>
        <v>46101</v>
      </c>
      <c r="T393" s="988"/>
      <c r="U393" s="989">
        <f>Y2</f>
        <v>0.48958333333333331</v>
      </c>
      <c r="V393" s="990"/>
    </row>
    <row r="394" spans="2:22" ht="21.95" hidden="1" customHeight="1" x14ac:dyDescent="0.25">
      <c r="B394" s="3" t="s">
        <v>69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5"/>
    </row>
    <row r="395" spans="2:22" ht="21.95" hidden="1" customHeight="1" x14ac:dyDescent="0.3">
      <c r="B395" s="6" t="s">
        <v>72</v>
      </c>
      <c r="C395" s="4"/>
      <c r="D395" s="4"/>
      <c r="E395" s="4"/>
      <c r="F395" s="4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4" t="s">
        <v>161</v>
      </c>
      <c r="T395" s="501"/>
      <c r="U395" s="501"/>
      <c r="V395" s="5"/>
    </row>
    <row r="396" spans="2:22" ht="21.95" hidden="1" customHeight="1" x14ac:dyDescent="0.25">
      <c r="B396" s="8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501" t="s">
        <v>65</v>
      </c>
      <c r="T396" s="4"/>
      <c r="U396" s="4"/>
      <c r="V396" s="502"/>
    </row>
    <row r="397" spans="2:22" ht="21.95" hidden="1" customHeight="1" thickBot="1" x14ac:dyDescent="0.25">
      <c r="B397" s="10" t="s">
        <v>73</v>
      </c>
      <c r="C397" s="503"/>
      <c r="D397" s="503"/>
      <c r="E397" s="503"/>
      <c r="F397" s="503"/>
      <c r="G397" s="503"/>
      <c r="H397" s="503"/>
      <c r="I397" s="503"/>
      <c r="J397" s="503"/>
      <c r="K397" s="503"/>
      <c r="L397" s="503"/>
      <c r="M397" s="503"/>
      <c r="N397" s="503"/>
      <c r="O397" s="503"/>
      <c r="P397" s="503"/>
      <c r="Q397" s="503"/>
      <c r="R397" s="503"/>
      <c r="S397" s="504"/>
      <c r="T397" s="11"/>
      <c r="U397" s="11"/>
      <c r="V397" s="505"/>
    </row>
    <row r="398" spans="2:22" ht="21.95" hidden="1" customHeight="1" x14ac:dyDescent="0.25">
      <c r="B398" s="991" t="s">
        <v>368</v>
      </c>
      <c r="C398" s="992"/>
      <c r="D398" s="992"/>
      <c r="E398" s="992"/>
      <c r="F398" s="992"/>
      <c r="G398" s="992"/>
      <c r="H398" s="992"/>
      <c r="I398" s="992"/>
      <c r="J398" s="992"/>
      <c r="K398" s="992"/>
      <c r="L398" s="992"/>
      <c r="M398" s="992"/>
      <c r="N398" s="992"/>
      <c r="O398" s="992"/>
      <c r="P398" s="992"/>
      <c r="Q398" s="992"/>
      <c r="R398" s="992"/>
      <c r="S398" s="992"/>
      <c r="T398" s="992"/>
      <c r="U398" s="292"/>
      <c r="V398" s="293"/>
    </row>
    <row r="399" spans="2:22" ht="21.95" hidden="1" customHeight="1" x14ac:dyDescent="0.3">
      <c r="B399" s="1100" t="s">
        <v>107</v>
      </c>
      <c r="C399" s="1101"/>
      <c r="D399" s="1101"/>
      <c r="E399" s="1101"/>
      <c r="F399" s="960" t="s">
        <v>227</v>
      </c>
      <c r="G399" s="960"/>
      <c r="H399" s="960"/>
      <c r="I399" s="960"/>
      <c r="J399" s="960"/>
      <c r="K399" s="960"/>
      <c r="L399" s="960"/>
      <c r="M399" s="960"/>
      <c r="N399" s="960"/>
      <c r="O399" s="960"/>
      <c r="P399" s="960"/>
      <c r="Q399" s="961"/>
      <c r="R399" s="993" t="s">
        <v>228</v>
      </c>
      <c r="S399" s="994"/>
      <c r="T399" s="994"/>
      <c r="U399" s="995"/>
      <c r="V399" s="511"/>
    </row>
    <row r="400" spans="2:22" ht="21.95" hidden="1" customHeight="1" thickBot="1" x14ac:dyDescent="0.3">
      <c r="B400" s="891" t="s">
        <v>229</v>
      </c>
      <c r="C400" s="892"/>
      <c r="D400" s="892"/>
      <c r="E400" s="983"/>
      <c r="F400" s="982" t="s">
        <v>230</v>
      </c>
      <c r="G400" s="886"/>
      <c r="H400" s="886"/>
      <c r="I400" s="886"/>
      <c r="J400" s="886"/>
      <c r="K400" s="886"/>
      <c r="L400" s="886"/>
      <c r="M400" s="886" t="s">
        <v>231</v>
      </c>
      <c r="N400" s="886"/>
      <c r="O400" s="886"/>
      <c r="P400" s="886"/>
      <c r="Q400" s="996"/>
      <c r="R400" s="883" t="s">
        <v>232</v>
      </c>
      <c r="S400" s="883"/>
      <c r="T400" s="931">
        <v>102</v>
      </c>
      <c r="U400" s="981"/>
      <c r="V400" s="511"/>
    </row>
    <row r="401" spans="2:22" ht="21.95" hidden="1" customHeight="1" x14ac:dyDescent="0.3">
      <c r="B401" s="294" t="s">
        <v>233</v>
      </c>
      <c r="C401" s="295" t="s">
        <v>234</v>
      </c>
      <c r="D401" s="295" t="s">
        <v>297</v>
      </c>
      <c r="E401" s="295" t="s">
        <v>298</v>
      </c>
      <c r="F401" s="908" t="s">
        <v>181</v>
      </c>
      <c r="G401" s="880" t="s">
        <v>15</v>
      </c>
      <c r="H401" s="880" t="s">
        <v>235</v>
      </c>
      <c r="I401" s="880"/>
      <c r="J401" s="880" t="s">
        <v>236</v>
      </c>
      <c r="K401" s="880"/>
      <c r="L401" s="984" t="s">
        <v>135</v>
      </c>
      <c r="M401" s="984" t="s">
        <v>181</v>
      </c>
      <c r="N401" s="880" t="s">
        <v>15</v>
      </c>
      <c r="O401" s="880" t="s">
        <v>235</v>
      </c>
      <c r="P401" s="880"/>
      <c r="Q401" s="880" t="s">
        <v>236</v>
      </c>
      <c r="R401" s="880"/>
      <c r="S401" s="1103" t="s">
        <v>135</v>
      </c>
      <c r="V401" s="511"/>
    </row>
    <row r="402" spans="2:22" ht="21.95" hidden="1" customHeight="1" thickBot="1" x14ac:dyDescent="0.25">
      <c r="B402" s="296">
        <v>12.125</v>
      </c>
      <c r="C402" s="297">
        <v>82</v>
      </c>
      <c r="D402" s="297">
        <v>82</v>
      </c>
      <c r="E402" s="297">
        <v>82</v>
      </c>
      <c r="F402" s="909"/>
      <c r="G402" s="881"/>
      <c r="H402" s="298" t="s">
        <v>239</v>
      </c>
      <c r="I402" s="298" t="s">
        <v>240</v>
      </c>
      <c r="J402" s="298" t="s">
        <v>239</v>
      </c>
      <c r="K402" s="298" t="s">
        <v>240</v>
      </c>
      <c r="L402" s="985"/>
      <c r="M402" s="985"/>
      <c r="N402" s="881"/>
      <c r="O402" s="298" t="s">
        <v>239</v>
      </c>
      <c r="P402" s="298" t="s">
        <v>240</v>
      </c>
      <c r="Q402" s="298" t="s">
        <v>239</v>
      </c>
      <c r="R402" s="298" t="s">
        <v>240</v>
      </c>
      <c r="S402" s="1104"/>
      <c r="V402" s="511"/>
    </row>
    <row r="403" spans="2:22" ht="21.95" hidden="1" customHeight="1" x14ac:dyDescent="0.25">
      <c r="B403" s="296">
        <f>B402-0.125</f>
        <v>12</v>
      </c>
      <c r="C403" s="297">
        <v>82</v>
      </c>
      <c r="D403" s="297">
        <v>82</v>
      </c>
      <c r="E403" s="297">
        <v>82</v>
      </c>
      <c r="F403" s="916" t="s">
        <v>243</v>
      </c>
      <c r="G403" s="299">
        <v>700</v>
      </c>
      <c r="H403" s="299">
        <v>90</v>
      </c>
      <c r="I403" s="299">
        <v>80</v>
      </c>
      <c r="J403" s="299">
        <v>90</v>
      </c>
      <c r="K403" s="299">
        <v>80</v>
      </c>
      <c r="L403" s="914">
        <v>0.55000000000000004</v>
      </c>
      <c r="M403" s="916" t="s">
        <v>243</v>
      </c>
      <c r="N403" s="299">
        <v>700</v>
      </c>
      <c r="O403" s="299">
        <v>75</v>
      </c>
      <c r="P403" s="299">
        <v>70</v>
      </c>
      <c r="Q403" s="299">
        <v>75</v>
      </c>
      <c r="R403" s="299">
        <v>70</v>
      </c>
      <c r="S403" s="914">
        <v>0.5</v>
      </c>
      <c r="V403" s="511"/>
    </row>
    <row r="404" spans="2:22" ht="21.95" hidden="1" customHeight="1" x14ac:dyDescent="0.25">
      <c r="B404" s="296">
        <f t="shared" ref="B404:B428" si="128">B403-0.125</f>
        <v>11.875</v>
      </c>
      <c r="C404" s="297">
        <v>82</v>
      </c>
      <c r="D404" s="297">
        <v>82</v>
      </c>
      <c r="E404" s="297">
        <v>82</v>
      </c>
      <c r="F404" s="917"/>
      <c r="G404" s="300">
        <v>680</v>
      </c>
      <c r="H404" s="300">
        <v>85</v>
      </c>
      <c r="I404" s="300">
        <v>75</v>
      </c>
      <c r="J404" s="300">
        <v>85</v>
      </c>
      <c r="K404" s="300">
        <v>75</v>
      </c>
      <c r="L404" s="915"/>
      <c r="M404" s="917"/>
      <c r="N404" s="300">
        <v>680</v>
      </c>
      <c r="O404" s="300">
        <v>75</v>
      </c>
      <c r="P404" s="300">
        <v>70</v>
      </c>
      <c r="Q404" s="300">
        <v>75</v>
      </c>
      <c r="R404" s="300">
        <v>70</v>
      </c>
      <c r="S404" s="915"/>
      <c r="V404" s="511"/>
    </row>
    <row r="405" spans="2:22" ht="21.95" hidden="1" customHeight="1" x14ac:dyDescent="0.25">
      <c r="B405" s="296">
        <f t="shared" si="128"/>
        <v>11.75</v>
      </c>
      <c r="C405" s="297">
        <v>82</v>
      </c>
      <c r="D405" s="297">
        <v>82</v>
      </c>
      <c r="E405" s="297">
        <v>82</v>
      </c>
      <c r="F405" s="917"/>
      <c r="G405" s="300">
        <v>660</v>
      </c>
      <c r="H405" s="300">
        <v>80</v>
      </c>
      <c r="I405" s="300">
        <v>75</v>
      </c>
      <c r="J405" s="300">
        <v>80</v>
      </c>
      <c r="K405" s="300">
        <v>75</v>
      </c>
      <c r="L405" s="915"/>
      <c r="M405" s="917"/>
      <c r="N405" s="300">
        <v>660</v>
      </c>
      <c r="O405" s="300">
        <v>75</v>
      </c>
      <c r="P405" s="300">
        <v>70</v>
      </c>
      <c r="Q405" s="300">
        <v>75</v>
      </c>
      <c r="R405" s="300">
        <v>70</v>
      </c>
      <c r="S405" s="915"/>
      <c r="V405" s="511"/>
    </row>
    <row r="406" spans="2:22" ht="21.95" hidden="1" customHeight="1" x14ac:dyDescent="0.25">
      <c r="B406" s="296">
        <f t="shared" si="128"/>
        <v>11.625</v>
      </c>
      <c r="C406" s="297">
        <v>82</v>
      </c>
      <c r="D406" s="297">
        <v>82</v>
      </c>
      <c r="E406" s="297">
        <v>82</v>
      </c>
      <c r="F406" s="917"/>
      <c r="G406" s="300">
        <v>640</v>
      </c>
      <c r="H406" s="300">
        <v>80</v>
      </c>
      <c r="I406" s="300">
        <v>70</v>
      </c>
      <c r="J406" s="300">
        <v>80</v>
      </c>
      <c r="K406" s="300">
        <v>70</v>
      </c>
      <c r="L406" s="915"/>
      <c r="M406" s="917"/>
      <c r="N406" s="300">
        <v>640</v>
      </c>
      <c r="O406" s="300">
        <v>75</v>
      </c>
      <c r="P406" s="300">
        <v>70</v>
      </c>
      <c r="Q406" s="300">
        <v>75</v>
      </c>
      <c r="R406" s="300">
        <v>70</v>
      </c>
      <c r="S406" s="915"/>
      <c r="V406" s="511"/>
    </row>
    <row r="407" spans="2:22" ht="21.95" hidden="1" customHeight="1" thickBot="1" x14ac:dyDescent="0.25">
      <c r="B407" s="296">
        <f t="shared" si="128"/>
        <v>11.5</v>
      </c>
      <c r="C407" s="297">
        <v>82</v>
      </c>
      <c r="D407" s="297">
        <v>82</v>
      </c>
      <c r="E407" s="297">
        <v>82</v>
      </c>
      <c r="F407" s="918"/>
      <c r="G407" s="301">
        <v>620</v>
      </c>
      <c r="H407" s="301">
        <v>70</v>
      </c>
      <c r="I407" s="301">
        <v>65</v>
      </c>
      <c r="J407" s="301">
        <v>70</v>
      </c>
      <c r="K407" s="301">
        <v>65</v>
      </c>
      <c r="L407" s="915"/>
      <c r="M407" s="918"/>
      <c r="N407" s="301">
        <v>620</v>
      </c>
      <c r="O407" s="301">
        <v>70</v>
      </c>
      <c r="P407" s="301">
        <v>65</v>
      </c>
      <c r="Q407" s="301">
        <v>70</v>
      </c>
      <c r="R407" s="301">
        <v>65</v>
      </c>
      <c r="S407" s="915"/>
      <c r="V407" s="511"/>
    </row>
    <row r="408" spans="2:22" ht="21.95" hidden="1" customHeight="1" x14ac:dyDescent="0.25">
      <c r="B408" s="296">
        <f t="shared" si="128"/>
        <v>11.375</v>
      </c>
      <c r="C408" s="297">
        <v>82</v>
      </c>
      <c r="D408" s="297">
        <v>82</v>
      </c>
      <c r="E408" s="297">
        <v>82</v>
      </c>
      <c r="F408" s="919" t="s">
        <v>251</v>
      </c>
      <c r="G408" s="302">
        <v>700</v>
      </c>
      <c r="H408" s="302">
        <v>85</v>
      </c>
      <c r="I408" s="302">
        <v>75</v>
      </c>
      <c r="J408" s="302">
        <v>85</v>
      </c>
      <c r="K408" s="302">
        <v>75</v>
      </c>
      <c r="L408" s="922">
        <v>0.5</v>
      </c>
      <c r="M408" s="919" t="s">
        <v>251</v>
      </c>
      <c r="N408" s="302">
        <v>700</v>
      </c>
      <c r="O408" s="302">
        <v>75</v>
      </c>
      <c r="P408" s="302">
        <v>70</v>
      </c>
      <c r="Q408" s="302">
        <v>75</v>
      </c>
      <c r="R408" s="302">
        <v>70</v>
      </c>
      <c r="S408" s="911">
        <v>0.5</v>
      </c>
      <c r="V408" s="511"/>
    </row>
    <row r="409" spans="2:22" ht="21.95" hidden="1" customHeight="1" x14ac:dyDescent="0.25">
      <c r="B409" s="296">
        <f t="shared" si="128"/>
        <v>11.25</v>
      </c>
      <c r="C409" s="297">
        <v>82</v>
      </c>
      <c r="D409" s="297">
        <v>82</v>
      </c>
      <c r="E409" s="297">
        <v>82</v>
      </c>
      <c r="F409" s="920"/>
      <c r="G409" s="300">
        <v>680</v>
      </c>
      <c r="H409" s="300">
        <v>80</v>
      </c>
      <c r="I409" s="300">
        <v>75</v>
      </c>
      <c r="J409" s="300">
        <v>80</v>
      </c>
      <c r="K409" s="300">
        <v>70</v>
      </c>
      <c r="L409" s="923"/>
      <c r="M409" s="920"/>
      <c r="N409" s="300">
        <v>680</v>
      </c>
      <c r="O409" s="300">
        <v>75</v>
      </c>
      <c r="P409" s="300">
        <v>70</v>
      </c>
      <c r="Q409" s="300">
        <v>75</v>
      </c>
      <c r="R409" s="300">
        <v>70</v>
      </c>
      <c r="S409" s="912"/>
      <c r="V409" s="511"/>
    </row>
    <row r="410" spans="2:22" ht="21.95" hidden="1" customHeight="1" x14ac:dyDescent="0.25">
      <c r="B410" s="296">
        <f t="shared" si="128"/>
        <v>11.125</v>
      </c>
      <c r="C410" s="297">
        <v>82</v>
      </c>
      <c r="D410" s="297">
        <v>82</v>
      </c>
      <c r="E410" s="297">
        <v>82</v>
      </c>
      <c r="F410" s="920"/>
      <c r="G410" s="300">
        <v>660</v>
      </c>
      <c r="H410" s="300">
        <v>75</v>
      </c>
      <c r="I410" s="300">
        <v>75</v>
      </c>
      <c r="J410" s="300">
        <v>75</v>
      </c>
      <c r="K410" s="300">
        <v>70</v>
      </c>
      <c r="L410" s="923"/>
      <c r="M410" s="920"/>
      <c r="N410" s="300">
        <v>660</v>
      </c>
      <c r="O410" s="300">
        <v>75</v>
      </c>
      <c r="P410" s="300">
        <v>70</v>
      </c>
      <c r="Q410" s="300">
        <v>75</v>
      </c>
      <c r="R410" s="300">
        <v>70</v>
      </c>
      <c r="S410" s="912"/>
      <c r="V410" s="511"/>
    </row>
    <row r="411" spans="2:22" ht="21.95" hidden="1" customHeight="1" x14ac:dyDescent="0.25">
      <c r="B411" s="296">
        <f t="shared" si="128"/>
        <v>11</v>
      </c>
      <c r="C411" s="297">
        <v>82</v>
      </c>
      <c r="D411" s="297">
        <v>82</v>
      </c>
      <c r="E411" s="297">
        <v>82</v>
      </c>
      <c r="F411" s="920"/>
      <c r="G411" s="300">
        <v>640</v>
      </c>
      <c r="H411" s="303">
        <v>75</v>
      </c>
      <c r="I411" s="303">
        <v>70</v>
      </c>
      <c r="J411" s="303">
        <v>75</v>
      </c>
      <c r="K411" s="303">
        <v>70</v>
      </c>
      <c r="L411" s="923"/>
      <c r="M411" s="920"/>
      <c r="N411" s="300">
        <v>640</v>
      </c>
      <c r="O411" s="303">
        <v>75</v>
      </c>
      <c r="P411" s="303">
        <v>70</v>
      </c>
      <c r="Q411" s="303">
        <v>75</v>
      </c>
      <c r="R411" s="303">
        <v>70</v>
      </c>
      <c r="S411" s="912"/>
      <c r="V411" s="511"/>
    </row>
    <row r="412" spans="2:22" ht="21.95" hidden="1" customHeight="1" thickBot="1" x14ac:dyDescent="0.25">
      <c r="B412" s="296">
        <f t="shared" si="128"/>
        <v>10.875</v>
      </c>
      <c r="C412" s="297">
        <v>82</v>
      </c>
      <c r="D412" s="297">
        <v>82</v>
      </c>
      <c r="E412" s="297">
        <v>82</v>
      </c>
      <c r="F412" s="921"/>
      <c r="G412" s="304">
        <v>620</v>
      </c>
      <c r="H412" s="305">
        <v>70</v>
      </c>
      <c r="I412" s="306" t="s">
        <v>77</v>
      </c>
      <c r="J412" s="305">
        <v>70</v>
      </c>
      <c r="K412" s="306" t="s">
        <v>77</v>
      </c>
      <c r="L412" s="924"/>
      <c r="M412" s="921"/>
      <c r="N412" s="304">
        <v>620</v>
      </c>
      <c r="O412" s="305" t="s">
        <v>77</v>
      </c>
      <c r="P412" s="305" t="s">
        <v>77</v>
      </c>
      <c r="Q412" s="305" t="s">
        <v>77</v>
      </c>
      <c r="R412" s="305" t="s">
        <v>77</v>
      </c>
      <c r="S412" s="913"/>
      <c r="V412" s="511"/>
    </row>
    <row r="413" spans="2:22" ht="21.95" hidden="1" customHeight="1" x14ac:dyDescent="0.25">
      <c r="B413" s="296">
        <f t="shared" si="128"/>
        <v>10.75</v>
      </c>
      <c r="C413" s="297">
        <v>82</v>
      </c>
      <c r="D413" s="297">
        <v>82</v>
      </c>
      <c r="E413" s="297">
        <v>82</v>
      </c>
      <c r="F413" s="307"/>
      <c r="G413" s="308"/>
      <c r="H413" s="308"/>
      <c r="I413" s="308"/>
      <c r="J413" s="308"/>
      <c r="K413" s="308"/>
      <c r="L413" s="308"/>
      <c r="M413" s="308"/>
      <c r="N413" s="308"/>
      <c r="O413" s="308"/>
      <c r="P413" s="308"/>
      <c r="Q413" s="308"/>
      <c r="R413" s="308"/>
      <c r="S413" s="309"/>
      <c r="V413" s="511"/>
    </row>
    <row r="414" spans="2:22" ht="21.95" hidden="1" customHeight="1" x14ac:dyDescent="0.25">
      <c r="B414" s="296">
        <f t="shared" si="128"/>
        <v>10.625</v>
      </c>
      <c r="C414" s="297">
        <v>82</v>
      </c>
      <c r="D414" s="297">
        <v>82</v>
      </c>
      <c r="E414" s="297">
        <v>82</v>
      </c>
      <c r="F414" s="925" t="s">
        <v>260</v>
      </c>
      <c r="G414" s="926"/>
      <c r="H414" s="926"/>
      <c r="I414" s="926"/>
      <c r="J414" s="926"/>
      <c r="K414" s="926"/>
      <c r="L414" s="926"/>
      <c r="M414" s="926"/>
      <c r="N414" s="926"/>
      <c r="O414" s="926"/>
      <c r="P414" s="926"/>
      <c r="Q414" s="926"/>
      <c r="R414" s="926"/>
      <c r="S414" s="883" t="s">
        <v>237</v>
      </c>
      <c r="T414" s="883"/>
      <c r="U414" s="931" t="s">
        <v>238</v>
      </c>
      <c r="V414" s="932"/>
    </row>
    <row r="415" spans="2:22" ht="21.95" hidden="1" customHeight="1" x14ac:dyDescent="0.3">
      <c r="B415" s="296">
        <f t="shared" si="128"/>
        <v>10.5</v>
      </c>
      <c r="C415" s="297">
        <v>82</v>
      </c>
      <c r="D415" s="297">
        <v>82</v>
      </c>
      <c r="E415" s="297">
        <v>82</v>
      </c>
      <c r="F415" s="310"/>
      <c r="G415" s="311"/>
      <c r="H415" s="312"/>
      <c r="I415" s="313" t="s">
        <v>262</v>
      </c>
      <c r="J415" s="314">
        <v>0.55000000000000004</v>
      </c>
      <c r="K415" s="314">
        <v>0.6</v>
      </c>
      <c r="L415" s="314">
        <v>0.65</v>
      </c>
      <c r="M415" s="314">
        <v>0.7</v>
      </c>
      <c r="N415" s="314">
        <v>0.75</v>
      </c>
      <c r="O415" s="314">
        <v>0.8</v>
      </c>
      <c r="P415" s="314">
        <v>0.85</v>
      </c>
      <c r="Q415" s="314">
        <v>0.9</v>
      </c>
      <c r="R415" s="314" t="s">
        <v>263</v>
      </c>
      <c r="S415" s="883" t="s">
        <v>241</v>
      </c>
      <c r="T415" s="883"/>
      <c r="U415" s="906" t="s">
        <v>242</v>
      </c>
      <c r="V415" s="907"/>
    </row>
    <row r="416" spans="2:22" ht="21.95" hidden="1" customHeight="1" x14ac:dyDescent="0.3">
      <c r="B416" s="296">
        <f t="shared" si="128"/>
        <v>10.375</v>
      </c>
      <c r="C416" s="297">
        <v>82</v>
      </c>
      <c r="D416" s="297">
        <v>82</v>
      </c>
      <c r="E416" s="297">
        <v>82</v>
      </c>
      <c r="F416" s="872" t="s">
        <v>264</v>
      </c>
      <c r="G416" s="873"/>
      <c r="H416" s="874"/>
      <c r="I416" s="315">
        <v>0</v>
      </c>
      <c r="J416" s="315">
        <v>0</v>
      </c>
      <c r="K416" s="315">
        <v>0.25</v>
      </c>
      <c r="L416" s="315">
        <v>0</v>
      </c>
      <c r="M416" s="315">
        <v>-0.25</v>
      </c>
      <c r="N416" s="315">
        <v>-0.5</v>
      </c>
      <c r="O416" s="315">
        <v>-0.625</v>
      </c>
      <c r="P416" s="315">
        <v>-3.5</v>
      </c>
      <c r="Q416" s="315">
        <v>-5.625</v>
      </c>
      <c r="R416" s="316" t="s">
        <v>77</v>
      </c>
      <c r="S416" s="883" t="s">
        <v>244</v>
      </c>
      <c r="T416" s="883"/>
      <c r="U416" s="927">
        <v>150000</v>
      </c>
      <c r="V416" s="928"/>
    </row>
    <row r="417" spans="2:22" ht="21.95" hidden="1" customHeight="1" x14ac:dyDescent="0.3">
      <c r="B417" s="296">
        <f t="shared" si="128"/>
        <v>10.25</v>
      </c>
      <c r="C417" s="297">
        <v>82</v>
      </c>
      <c r="D417" s="297">
        <v>82</v>
      </c>
      <c r="E417" s="297">
        <v>82</v>
      </c>
      <c r="F417" s="872" t="s">
        <v>16</v>
      </c>
      <c r="G417" s="873"/>
      <c r="H417" s="874"/>
      <c r="I417" s="318">
        <v>0</v>
      </c>
      <c r="J417" s="318">
        <v>0</v>
      </c>
      <c r="K417" s="318">
        <v>-0.125</v>
      </c>
      <c r="L417" s="318">
        <v>-0.375</v>
      </c>
      <c r="M417" s="318">
        <v>-0.375</v>
      </c>
      <c r="N417" s="318">
        <v>-0.625</v>
      </c>
      <c r="O417" s="318">
        <v>-0.75</v>
      </c>
      <c r="P417" s="318">
        <v>-4.125</v>
      </c>
      <c r="Q417" s="318">
        <v>-5.875</v>
      </c>
      <c r="R417" s="316" t="s">
        <v>77</v>
      </c>
      <c r="S417" s="883" t="s">
        <v>245</v>
      </c>
      <c r="T417" s="883"/>
      <c r="U417" s="931" t="s">
        <v>246</v>
      </c>
      <c r="V417" s="932"/>
    </row>
    <row r="418" spans="2:22" ht="21.95" hidden="1" customHeight="1" x14ac:dyDescent="0.3">
      <c r="B418" s="296">
        <f t="shared" si="128"/>
        <v>10.125</v>
      </c>
      <c r="C418" s="297">
        <v>82</v>
      </c>
      <c r="D418" s="297">
        <v>82</v>
      </c>
      <c r="E418" s="297">
        <v>82</v>
      </c>
      <c r="F418" s="872" t="s">
        <v>17</v>
      </c>
      <c r="G418" s="873"/>
      <c r="H418" s="874"/>
      <c r="I418" s="319">
        <v>-0.125</v>
      </c>
      <c r="J418" s="319">
        <v>-0.125</v>
      </c>
      <c r="K418" s="319">
        <v>-0.125</v>
      </c>
      <c r="L418" s="319">
        <v>-0.375</v>
      </c>
      <c r="M418" s="319">
        <v>-0.5</v>
      </c>
      <c r="N418" s="319">
        <v>-0.625</v>
      </c>
      <c r="O418" s="319">
        <v>-1.25</v>
      </c>
      <c r="P418" s="319">
        <v>-5</v>
      </c>
      <c r="Q418" s="316" t="s">
        <v>77</v>
      </c>
      <c r="R418" s="316" t="s">
        <v>77</v>
      </c>
      <c r="S418" s="883" t="s">
        <v>247</v>
      </c>
      <c r="T418" s="883"/>
      <c r="U418" s="931" t="s">
        <v>248</v>
      </c>
      <c r="V418" s="932"/>
    </row>
    <row r="419" spans="2:22" ht="21.95" hidden="1" customHeight="1" x14ac:dyDescent="0.3">
      <c r="B419" s="296">
        <f t="shared" si="128"/>
        <v>10</v>
      </c>
      <c r="C419" s="297">
        <v>82</v>
      </c>
      <c r="D419" s="297">
        <v>82</v>
      </c>
      <c r="E419" s="297">
        <v>82</v>
      </c>
      <c r="F419" s="872" t="s">
        <v>18</v>
      </c>
      <c r="G419" s="873"/>
      <c r="H419" s="874"/>
      <c r="I419" s="318">
        <v>-2.25</v>
      </c>
      <c r="J419" s="318">
        <v>-2.25</v>
      </c>
      <c r="K419" s="318">
        <v>-2.25</v>
      </c>
      <c r="L419" s="318">
        <v>-2.5</v>
      </c>
      <c r="M419" s="318">
        <v>-2.625</v>
      </c>
      <c r="N419" s="318">
        <v>-3.375</v>
      </c>
      <c r="O419" s="318">
        <v>-4</v>
      </c>
      <c r="P419" s="316" t="s">
        <v>77</v>
      </c>
      <c r="Q419" s="316" t="s">
        <v>77</v>
      </c>
      <c r="R419" s="316" t="s">
        <v>77</v>
      </c>
      <c r="S419" s="883" t="s">
        <v>249</v>
      </c>
      <c r="T419" s="883"/>
      <c r="U419" s="964" t="s">
        <v>77</v>
      </c>
      <c r="V419" s="965"/>
    </row>
    <row r="420" spans="2:22" ht="21.95" hidden="1" customHeight="1" x14ac:dyDescent="0.3">
      <c r="B420" s="296">
        <f t="shared" si="128"/>
        <v>9.875</v>
      </c>
      <c r="C420" s="297">
        <v>82</v>
      </c>
      <c r="D420" s="297">
        <v>82</v>
      </c>
      <c r="E420" s="297">
        <v>82</v>
      </c>
      <c r="F420" s="872" t="s">
        <v>19</v>
      </c>
      <c r="G420" s="873"/>
      <c r="H420" s="874"/>
      <c r="I420" s="319">
        <v>-2.375</v>
      </c>
      <c r="J420" s="319">
        <v>-2.375</v>
      </c>
      <c r="K420" s="319">
        <v>-2.5</v>
      </c>
      <c r="L420" s="319">
        <v>-2.75</v>
      </c>
      <c r="M420" s="319">
        <v>-3</v>
      </c>
      <c r="N420" s="319">
        <v>-3.625</v>
      </c>
      <c r="O420" s="319">
        <v>-4.25</v>
      </c>
      <c r="P420" s="316" t="s">
        <v>77</v>
      </c>
      <c r="Q420" s="316" t="s">
        <v>77</v>
      </c>
      <c r="R420" s="316" t="s">
        <v>77</v>
      </c>
      <c r="S420" s="883" t="s">
        <v>250</v>
      </c>
      <c r="T420" s="883"/>
      <c r="U420" s="931" t="s">
        <v>77</v>
      </c>
      <c r="V420" s="932"/>
    </row>
    <row r="421" spans="2:22" ht="21.95" hidden="1" customHeight="1" x14ac:dyDescent="0.3">
      <c r="B421" s="296">
        <f t="shared" si="128"/>
        <v>9.75</v>
      </c>
      <c r="C421" s="297">
        <v>82</v>
      </c>
      <c r="D421" s="297">
        <v>82</v>
      </c>
      <c r="E421" s="297">
        <v>82</v>
      </c>
      <c r="F421" s="872" t="s">
        <v>20</v>
      </c>
      <c r="G421" s="873"/>
      <c r="H421" s="874"/>
      <c r="I421" s="318">
        <v>-2.875</v>
      </c>
      <c r="J421" s="318">
        <v>-2.875</v>
      </c>
      <c r="K421" s="318">
        <v>-3.125</v>
      </c>
      <c r="L421" s="318">
        <v>-3.5</v>
      </c>
      <c r="M421" s="318">
        <v>-3.625</v>
      </c>
      <c r="N421" s="316" t="s">
        <v>77</v>
      </c>
      <c r="O421" s="316" t="s">
        <v>77</v>
      </c>
      <c r="P421" s="316" t="s">
        <v>77</v>
      </c>
      <c r="Q421" s="316" t="s">
        <v>77</v>
      </c>
      <c r="R421" s="316" t="s">
        <v>77</v>
      </c>
      <c r="S421" s="980" t="s">
        <v>252</v>
      </c>
      <c r="T421" s="930"/>
      <c r="U421" s="931" t="s">
        <v>77</v>
      </c>
      <c r="V421" s="932"/>
    </row>
    <row r="422" spans="2:22" ht="21.95" hidden="1" customHeight="1" x14ac:dyDescent="0.3">
      <c r="B422" s="296">
        <f t="shared" si="128"/>
        <v>9.625</v>
      </c>
      <c r="C422" s="297">
        <v>82</v>
      </c>
      <c r="D422" s="297">
        <v>82</v>
      </c>
      <c r="E422" s="297">
        <v>82</v>
      </c>
      <c r="F422" s="872" t="s">
        <v>265</v>
      </c>
      <c r="G422" s="873"/>
      <c r="H422" s="874"/>
      <c r="I422" s="315">
        <v>0</v>
      </c>
      <c r="J422" s="315">
        <v>0</v>
      </c>
      <c r="K422" s="315">
        <v>0</v>
      </c>
      <c r="L422" s="315">
        <v>-0.125</v>
      </c>
      <c r="M422" s="315">
        <v>-0.25</v>
      </c>
      <c r="N422" s="315">
        <v>-0.375</v>
      </c>
      <c r="O422" s="315">
        <v>-0.375</v>
      </c>
      <c r="P422" s="315">
        <v>-2.75</v>
      </c>
      <c r="Q422" s="315">
        <v>-2.875</v>
      </c>
      <c r="R422" s="316" t="s">
        <v>77</v>
      </c>
      <c r="S422" s="980" t="s">
        <v>253</v>
      </c>
      <c r="T422" s="930"/>
      <c r="U422" s="927">
        <v>2000000</v>
      </c>
      <c r="V422" s="928"/>
    </row>
    <row r="423" spans="2:22" ht="21.95" hidden="1" customHeight="1" x14ac:dyDescent="0.3">
      <c r="B423" s="296">
        <f t="shared" si="128"/>
        <v>9.5</v>
      </c>
      <c r="C423" s="297">
        <v>82</v>
      </c>
      <c r="D423" s="297">
        <v>82</v>
      </c>
      <c r="E423" s="297">
        <v>82</v>
      </c>
      <c r="F423" s="872" t="s">
        <v>266</v>
      </c>
      <c r="G423" s="873"/>
      <c r="H423" s="874"/>
      <c r="I423" s="319">
        <v>0</v>
      </c>
      <c r="J423" s="319">
        <v>0</v>
      </c>
      <c r="K423" s="318">
        <v>0</v>
      </c>
      <c r="L423" s="318">
        <v>-0.125</v>
      </c>
      <c r="M423" s="318">
        <v>-0.25</v>
      </c>
      <c r="N423" s="318">
        <v>-0.375</v>
      </c>
      <c r="O423" s="318">
        <v>-0.375</v>
      </c>
      <c r="P423" s="318">
        <v>-2.625</v>
      </c>
      <c r="Q423" s="318">
        <v>-2.75</v>
      </c>
      <c r="R423" s="316" t="s">
        <v>77</v>
      </c>
      <c r="S423" s="980" t="s">
        <v>254</v>
      </c>
      <c r="T423" s="930"/>
      <c r="U423" s="931" t="s">
        <v>255</v>
      </c>
      <c r="V423" s="932"/>
    </row>
    <row r="424" spans="2:22" ht="21.95" hidden="1" customHeight="1" x14ac:dyDescent="0.3">
      <c r="B424" s="296">
        <f t="shared" si="128"/>
        <v>9.375</v>
      </c>
      <c r="C424" s="297">
        <v>82</v>
      </c>
      <c r="D424" s="297">
        <v>82</v>
      </c>
      <c r="E424" s="297">
        <v>82</v>
      </c>
      <c r="F424" s="872" t="s">
        <v>50</v>
      </c>
      <c r="G424" s="873"/>
      <c r="H424" s="874"/>
      <c r="I424" s="319">
        <v>-0.25</v>
      </c>
      <c r="J424" s="319">
        <v>-0.25</v>
      </c>
      <c r="K424" s="315">
        <v>-0.5</v>
      </c>
      <c r="L424" s="315">
        <v>-0.5</v>
      </c>
      <c r="M424" s="315">
        <v>-0.75</v>
      </c>
      <c r="N424" s="315">
        <v>-0.75</v>
      </c>
      <c r="O424" s="315">
        <v>-0.875</v>
      </c>
      <c r="P424" s="320" t="s">
        <v>77</v>
      </c>
      <c r="Q424" s="320" t="s">
        <v>77</v>
      </c>
      <c r="R424" s="316" t="s">
        <v>77</v>
      </c>
      <c r="S424" s="900" t="s">
        <v>256</v>
      </c>
      <c r="T424" s="901"/>
      <c r="U424" s="564" t="s">
        <v>257</v>
      </c>
      <c r="V424" s="565">
        <v>103</v>
      </c>
    </row>
    <row r="425" spans="2:22" ht="21.95" hidden="1" customHeight="1" x14ac:dyDescent="0.3">
      <c r="B425" s="296">
        <f t="shared" si="128"/>
        <v>9.25</v>
      </c>
      <c r="C425" s="297">
        <v>82</v>
      </c>
      <c r="D425" s="297">
        <v>82</v>
      </c>
      <c r="E425" s="297">
        <v>82</v>
      </c>
      <c r="F425" s="872" t="s">
        <v>267</v>
      </c>
      <c r="G425" s="873"/>
      <c r="H425" s="874"/>
      <c r="I425" s="320" t="s">
        <v>77</v>
      </c>
      <c r="J425" s="320" t="s">
        <v>77</v>
      </c>
      <c r="K425" s="320" t="s">
        <v>77</v>
      </c>
      <c r="L425" s="320" t="s">
        <v>77</v>
      </c>
      <c r="M425" s="320" t="s">
        <v>77</v>
      </c>
      <c r="N425" s="320" t="s">
        <v>77</v>
      </c>
      <c r="O425" s="320" t="s">
        <v>77</v>
      </c>
      <c r="P425" s="320" t="s">
        <v>77</v>
      </c>
      <c r="Q425" s="320" t="s">
        <v>77</v>
      </c>
      <c r="R425" s="316" t="s">
        <v>77</v>
      </c>
      <c r="S425" s="902"/>
      <c r="T425" s="903"/>
      <c r="U425" s="566" t="s">
        <v>258</v>
      </c>
      <c r="V425" s="567">
        <v>101</v>
      </c>
    </row>
    <row r="426" spans="2:22" ht="21.95" hidden="1" customHeight="1" x14ac:dyDescent="0.3">
      <c r="B426" s="296">
        <f t="shared" si="128"/>
        <v>9.125</v>
      </c>
      <c r="C426" s="297">
        <v>82</v>
      </c>
      <c r="D426" s="297">
        <v>82</v>
      </c>
      <c r="E426" s="297">
        <v>82</v>
      </c>
      <c r="F426" s="872" t="s">
        <v>268</v>
      </c>
      <c r="G426" s="873"/>
      <c r="H426" s="874"/>
      <c r="I426" s="320" t="s">
        <v>77</v>
      </c>
      <c r="J426" s="320" t="s">
        <v>77</v>
      </c>
      <c r="K426" s="320" t="s">
        <v>77</v>
      </c>
      <c r="L426" s="320" t="s">
        <v>77</v>
      </c>
      <c r="M426" s="320" t="s">
        <v>77</v>
      </c>
      <c r="N426" s="320" t="s">
        <v>77</v>
      </c>
      <c r="O426" s="320" t="s">
        <v>77</v>
      </c>
      <c r="P426" s="320" t="s">
        <v>77</v>
      </c>
      <c r="Q426" s="320" t="s">
        <v>77</v>
      </c>
      <c r="R426" s="316" t="s">
        <v>77</v>
      </c>
      <c r="S426" s="902"/>
      <c r="T426" s="903"/>
      <c r="U426" s="566" t="s">
        <v>259</v>
      </c>
      <c r="V426" s="567">
        <v>100</v>
      </c>
    </row>
    <row r="427" spans="2:22" ht="21.95" hidden="1" customHeight="1" x14ac:dyDescent="0.3">
      <c r="B427" s="296">
        <f t="shared" si="128"/>
        <v>9</v>
      </c>
      <c r="C427" s="297">
        <v>82</v>
      </c>
      <c r="D427" s="297">
        <v>82</v>
      </c>
      <c r="E427" s="297">
        <v>82</v>
      </c>
      <c r="F427" s="897" t="s">
        <v>269</v>
      </c>
      <c r="G427" s="898"/>
      <c r="H427" s="899"/>
      <c r="I427" s="320" t="s">
        <v>77</v>
      </c>
      <c r="J427" s="320" t="s">
        <v>77</v>
      </c>
      <c r="K427" s="320" t="s">
        <v>77</v>
      </c>
      <c r="L427" s="320" t="s">
        <v>77</v>
      </c>
      <c r="M427" s="320" t="s">
        <v>77</v>
      </c>
      <c r="N427" s="320" t="s">
        <v>77</v>
      </c>
      <c r="O427" s="320" t="s">
        <v>77</v>
      </c>
      <c r="P427" s="320" t="s">
        <v>77</v>
      </c>
      <c r="Q427" s="320" t="s">
        <v>77</v>
      </c>
      <c r="R427" s="316" t="s">
        <v>77</v>
      </c>
      <c r="S427" s="904"/>
      <c r="T427" s="905"/>
      <c r="U427" s="568" t="s">
        <v>261</v>
      </c>
      <c r="V427" s="569">
        <v>98</v>
      </c>
    </row>
    <row r="428" spans="2:22" ht="21.95" hidden="1" customHeight="1" x14ac:dyDescent="0.3">
      <c r="B428" s="296">
        <f t="shared" si="128"/>
        <v>8.875</v>
      </c>
      <c r="C428" s="297">
        <v>82</v>
      </c>
      <c r="D428" s="297">
        <v>82</v>
      </c>
      <c r="E428" s="297">
        <v>82</v>
      </c>
      <c r="F428" s="872" t="s">
        <v>192</v>
      </c>
      <c r="G428" s="873"/>
      <c r="H428" s="874"/>
      <c r="I428" s="315">
        <v>-0.125</v>
      </c>
      <c r="J428" s="315">
        <v>-0.125</v>
      </c>
      <c r="K428" s="315">
        <v>-0.125</v>
      </c>
      <c r="L428" s="315">
        <v>-0.125</v>
      </c>
      <c r="M428" s="315">
        <v>-0.25</v>
      </c>
      <c r="N428" s="315">
        <v>-0.25</v>
      </c>
      <c r="O428" s="320" t="s">
        <v>77</v>
      </c>
      <c r="P428" s="320" t="s">
        <v>77</v>
      </c>
      <c r="Q428" s="320" t="s">
        <v>77</v>
      </c>
      <c r="R428" s="316" t="s">
        <v>77</v>
      </c>
      <c r="S428" s="570" t="s">
        <v>280</v>
      </c>
      <c r="T428" s="571"/>
      <c r="U428" s="571"/>
      <c r="V428" s="572"/>
    </row>
    <row r="429" spans="2:22" ht="21.95" hidden="1" customHeight="1" x14ac:dyDescent="0.3">
      <c r="B429" s="296"/>
      <c r="C429" s="357"/>
      <c r="D429" s="357"/>
      <c r="E429" s="357"/>
      <c r="F429" s="872" t="s">
        <v>270</v>
      </c>
      <c r="G429" s="873"/>
      <c r="H429" s="874"/>
      <c r="I429" s="318">
        <v>-0.25</v>
      </c>
      <c r="J429" s="318">
        <v>-0.25</v>
      </c>
      <c r="K429" s="318">
        <v>-0.375</v>
      </c>
      <c r="L429" s="318">
        <v>-0.375</v>
      </c>
      <c r="M429" s="318">
        <v>-0.625</v>
      </c>
      <c r="N429" s="318">
        <v>-0.75</v>
      </c>
      <c r="O429" s="320" t="s">
        <v>77</v>
      </c>
      <c r="P429" s="320" t="s">
        <v>77</v>
      </c>
      <c r="Q429" s="320" t="s">
        <v>77</v>
      </c>
      <c r="R429" s="316" t="s">
        <v>77</v>
      </c>
      <c r="S429" s="573" t="s">
        <v>281</v>
      </c>
      <c r="T429" s="574"/>
      <c r="U429" s="575">
        <v>0.25</v>
      </c>
      <c r="V429" s="576"/>
    </row>
    <row r="430" spans="2:22" ht="21.95" hidden="1" customHeight="1" x14ac:dyDescent="0.3">
      <c r="B430" s="296"/>
      <c r="C430" s="357"/>
      <c r="D430" s="357"/>
      <c r="E430" s="357"/>
      <c r="F430" s="872" t="s">
        <v>271</v>
      </c>
      <c r="G430" s="873"/>
      <c r="H430" s="874"/>
      <c r="I430" s="315">
        <v>-0.125</v>
      </c>
      <c r="J430" s="315">
        <v>-0.125</v>
      </c>
      <c r="K430" s="315">
        <v>-0.125</v>
      </c>
      <c r="L430" s="315">
        <v>-0.25</v>
      </c>
      <c r="M430" s="315">
        <v>-0.25</v>
      </c>
      <c r="N430" s="315">
        <v>-0.25</v>
      </c>
      <c r="O430" s="315">
        <v>-0.25</v>
      </c>
      <c r="P430" s="315">
        <v>-2.5</v>
      </c>
      <c r="Q430" s="315">
        <v>-2.5</v>
      </c>
      <c r="R430" s="316" t="s">
        <v>77</v>
      </c>
      <c r="S430" s="573" t="s">
        <v>282</v>
      </c>
      <c r="T430" s="574"/>
      <c r="U430" s="575">
        <v>0.125</v>
      </c>
      <c r="V430" s="576"/>
    </row>
    <row r="431" spans="2:22" ht="21.95" hidden="1" customHeight="1" x14ac:dyDescent="0.3">
      <c r="B431" s="296"/>
      <c r="C431" s="357"/>
      <c r="D431" s="357"/>
      <c r="E431" s="357"/>
      <c r="F431" s="872" t="s">
        <v>272</v>
      </c>
      <c r="G431" s="873"/>
      <c r="H431" s="874"/>
      <c r="I431" s="318">
        <v>-0.125</v>
      </c>
      <c r="J431" s="318">
        <v>-0.125</v>
      </c>
      <c r="K431" s="318">
        <v>-0.125</v>
      </c>
      <c r="L431" s="318">
        <v>-0.125</v>
      </c>
      <c r="M431" s="318">
        <v>-0.125</v>
      </c>
      <c r="N431" s="318">
        <v>-0.125</v>
      </c>
      <c r="O431" s="318">
        <v>-0.25</v>
      </c>
      <c r="P431" s="318">
        <v>-2.25</v>
      </c>
      <c r="Q431" s="320" t="s">
        <v>77</v>
      </c>
      <c r="R431" s="316" t="s">
        <v>77</v>
      </c>
      <c r="S431" s="573" t="s">
        <v>283</v>
      </c>
      <c r="T431" s="574"/>
      <c r="U431" s="575">
        <v>0</v>
      </c>
      <c r="V431" s="576"/>
    </row>
    <row r="432" spans="2:22" ht="21.95" hidden="1" customHeight="1" x14ac:dyDescent="0.3">
      <c r="B432" s="296"/>
      <c r="C432" s="357"/>
      <c r="D432" s="357"/>
      <c r="E432" s="357"/>
      <c r="F432" s="872" t="s">
        <v>219</v>
      </c>
      <c r="G432" s="873"/>
      <c r="H432" s="874"/>
      <c r="I432" s="318">
        <v>-0.375</v>
      </c>
      <c r="J432" s="318">
        <v>-0.5</v>
      </c>
      <c r="K432" s="318">
        <v>-0.75</v>
      </c>
      <c r="L432" s="318">
        <v>-0.75</v>
      </c>
      <c r="M432" s="318">
        <v>-0.75</v>
      </c>
      <c r="N432" s="318">
        <v>-1.25</v>
      </c>
      <c r="O432" s="318">
        <v>-1.5</v>
      </c>
      <c r="P432" s="320" t="s">
        <v>77</v>
      </c>
      <c r="Q432" s="320" t="s">
        <v>77</v>
      </c>
      <c r="R432" s="316" t="s">
        <v>77</v>
      </c>
      <c r="S432" s="573" t="s">
        <v>284</v>
      </c>
      <c r="T432" s="574"/>
      <c r="U432" s="575">
        <v>-0.375</v>
      </c>
      <c r="V432" s="576"/>
    </row>
    <row r="433" spans="2:26" ht="21.95" hidden="1" customHeight="1" x14ac:dyDescent="0.3">
      <c r="B433" s="296"/>
      <c r="C433" s="357"/>
      <c r="D433" s="357"/>
      <c r="E433" s="357"/>
      <c r="F433" s="872" t="s">
        <v>273</v>
      </c>
      <c r="G433" s="873"/>
      <c r="H433" s="874"/>
      <c r="I433" s="315">
        <v>-0.375</v>
      </c>
      <c r="J433" s="315">
        <v>-0.375</v>
      </c>
      <c r="K433" s="315">
        <v>-0.375</v>
      </c>
      <c r="L433" s="315">
        <v>-0.375</v>
      </c>
      <c r="M433" s="315">
        <v>-0.375</v>
      </c>
      <c r="N433" s="315">
        <v>-0.375</v>
      </c>
      <c r="O433" s="315">
        <v>-0.5</v>
      </c>
      <c r="P433" s="320" t="s">
        <v>77</v>
      </c>
      <c r="Q433" s="320" t="s">
        <v>77</v>
      </c>
      <c r="R433" s="316" t="s">
        <v>77</v>
      </c>
      <c r="S433" s="573" t="s">
        <v>285</v>
      </c>
      <c r="T433" s="574"/>
      <c r="U433" s="575">
        <v>-0.75</v>
      </c>
      <c r="V433" s="576"/>
    </row>
    <row r="434" spans="2:26" ht="21.95" hidden="1" customHeight="1" x14ac:dyDescent="0.3">
      <c r="B434" s="296"/>
      <c r="C434" s="357"/>
      <c r="D434" s="357"/>
      <c r="E434" s="357"/>
      <c r="F434" s="872" t="s">
        <v>274</v>
      </c>
      <c r="G434" s="873"/>
      <c r="H434" s="874"/>
      <c r="I434" s="318">
        <v>-0.375</v>
      </c>
      <c r="J434" s="318">
        <v>-0.375</v>
      </c>
      <c r="K434" s="318">
        <v>-0.375</v>
      </c>
      <c r="L434" s="318">
        <v>-0.5</v>
      </c>
      <c r="M434" s="318">
        <v>-0.5</v>
      </c>
      <c r="N434" s="318">
        <v>-1</v>
      </c>
      <c r="O434" s="318">
        <v>-1</v>
      </c>
      <c r="P434" s="320" t="s">
        <v>77</v>
      </c>
      <c r="Q434" s="320" t="s">
        <v>77</v>
      </c>
      <c r="R434" s="316" t="s">
        <v>77</v>
      </c>
      <c r="S434" s="573" t="s">
        <v>286</v>
      </c>
      <c r="T434" s="574"/>
      <c r="U434" s="575">
        <v>-1.125</v>
      </c>
      <c r="V434" s="576"/>
    </row>
    <row r="435" spans="2:26" ht="21.95" hidden="1" customHeight="1" x14ac:dyDescent="0.25">
      <c r="B435" s="521"/>
      <c r="V435" s="511"/>
    </row>
    <row r="436" spans="2:26" ht="21.95" hidden="1" customHeight="1" x14ac:dyDescent="0.25">
      <c r="B436" s="875" t="s">
        <v>369</v>
      </c>
      <c r="C436" s="876"/>
      <c r="D436" s="876"/>
      <c r="E436" s="876"/>
      <c r="F436" s="876"/>
      <c r="G436" s="876"/>
      <c r="H436" s="876"/>
      <c r="I436" s="876"/>
      <c r="J436" s="876"/>
      <c r="K436" s="876"/>
      <c r="L436" s="876"/>
      <c r="M436" s="876"/>
      <c r="N436" s="876"/>
      <c r="O436" s="876"/>
      <c r="P436" s="876"/>
      <c r="Q436" s="876"/>
      <c r="R436" s="876"/>
      <c r="S436" s="876"/>
      <c r="T436" s="876"/>
      <c r="U436" s="876"/>
      <c r="V436" s="877"/>
    </row>
    <row r="437" spans="2:26" ht="21.95" hidden="1" customHeight="1" x14ac:dyDescent="0.3">
      <c r="B437" s="1098" t="s">
        <v>107</v>
      </c>
      <c r="C437" s="1099"/>
      <c r="D437" s="1099"/>
      <c r="E437" s="1099"/>
      <c r="F437" s="1105" t="s">
        <v>275</v>
      </c>
      <c r="G437" s="1105"/>
      <c r="H437" s="1105"/>
      <c r="I437" s="1105"/>
      <c r="J437" s="1105"/>
      <c r="K437" s="1105"/>
      <c r="L437" s="1105"/>
      <c r="M437" s="1105"/>
      <c r="N437" s="1105"/>
      <c r="O437" s="1105"/>
      <c r="P437" s="1105"/>
      <c r="Q437" s="1106"/>
      <c r="R437" s="993" t="s">
        <v>228</v>
      </c>
      <c r="S437" s="994"/>
      <c r="T437" s="994"/>
      <c r="U437" s="995"/>
      <c r="V437" s="511"/>
    </row>
    <row r="438" spans="2:26" ht="21.95" hidden="1" customHeight="1" thickBot="1" x14ac:dyDescent="0.3">
      <c r="B438" s="891" t="s">
        <v>377</v>
      </c>
      <c r="C438" s="892"/>
      <c r="D438" s="892"/>
      <c r="E438" s="892"/>
      <c r="F438" s="886" t="s">
        <v>230</v>
      </c>
      <c r="G438" s="886"/>
      <c r="H438" s="886"/>
      <c r="I438" s="886"/>
      <c r="J438" s="886"/>
      <c r="K438" s="886"/>
      <c r="L438" s="886"/>
      <c r="M438" s="886" t="s">
        <v>231</v>
      </c>
      <c r="N438" s="886"/>
      <c r="O438" s="886"/>
      <c r="P438" s="886"/>
      <c r="Q438" s="996"/>
      <c r="R438" s="1102" t="s">
        <v>232</v>
      </c>
      <c r="S438" s="930"/>
      <c r="T438" s="321">
        <v>102</v>
      </c>
      <c r="U438" s="322"/>
      <c r="V438" s="511"/>
    </row>
    <row r="439" spans="2:26" ht="21.95" hidden="1" customHeight="1" x14ac:dyDescent="0.3">
      <c r="B439" s="294" t="s">
        <v>233</v>
      </c>
      <c r="C439" s="295" t="s">
        <v>234</v>
      </c>
      <c r="D439" s="295" t="s">
        <v>297</v>
      </c>
      <c r="E439" s="295" t="s">
        <v>298</v>
      </c>
      <c r="F439" s="908" t="s">
        <v>181</v>
      </c>
      <c r="G439" s="880" t="s">
        <v>15</v>
      </c>
      <c r="H439" s="880" t="s">
        <v>235</v>
      </c>
      <c r="I439" s="880"/>
      <c r="J439" s="880" t="s">
        <v>236</v>
      </c>
      <c r="K439" s="880"/>
      <c r="L439" s="984" t="s">
        <v>135</v>
      </c>
      <c r="M439" s="880" t="s">
        <v>181</v>
      </c>
      <c r="N439" s="880" t="s">
        <v>15</v>
      </c>
      <c r="O439" s="880" t="s">
        <v>235</v>
      </c>
      <c r="P439" s="880"/>
      <c r="Q439" s="880" t="s">
        <v>236</v>
      </c>
      <c r="R439" s="880"/>
      <c r="S439" s="1103" t="s">
        <v>135</v>
      </c>
      <c r="V439" s="511"/>
    </row>
    <row r="440" spans="2:26" ht="21.95" hidden="1" customHeight="1" thickBot="1" x14ac:dyDescent="0.55000000000000004">
      <c r="B440" s="296">
        <v>11.375</v>
      </c>
      <c r="C440" s="297">
        <v>82</v>
      </c>
      <c r="D440" s="297">
        <v>82</v>
      </c>
      <c r="E440" s="297">
        <v>82</v>
      </c>
      <c r="F440" s="909"/>
      <c r="G440" s="881"/>
      <c r="H440" s="298" t="s">
        <v>239</v>
      </c>
      <c r="I440" s="298" t="s">
        <v>240</v>
      </c>
      <c r="J440" s="298" t="s">
        <v>239</v>
      </c>
      <c r="K440" s="298" t="s">
        <v>240</v>
      </c>
      <c r="L440" s="985"/>
      <c r="M440" s="881"/>
      <c r="N440" s="881"/>
      <c r="O440" s="298" t="s">
        <v>239</v>
      </c>
      <c r="P440" s="298" t="s">
        <v>240</v>
      </c>
      <c r="Q440" s="298" t="s">
        <v>239</v>
      </c>
      <c r="R440" s="298" t="s">
        <v>240</v>
      </c>
      <c r="S440" s="1104"/>
      <c r="V440" s="511"/>
      <c r="Z440" s="577"/>
    </row>
    <row r="441" spans="2:26" ht="21.95" hidden="1" customHeight="1" x14ac:dyDescent="0.25">
      <c r="B441" s="296">
        <f>B440-0.125</f>
        <v>11.25</v>
      </c>
      <c r="C441" s="297">
        <v>82</v>
      </c>
      <c r="D441" s="297">
        <v>82</v>
      </c>
      <c r="E441" s="297">
        <v>82</v>
      </c>
      <c r="F441" s="916" t="s">
        <v>243</v>
      </c>
      <c r="G441" s="299">
        <v>740</v>
      </c>
      <c r="H441" s="299">
        <v>90</v>
      </c>
      <c r="I441" s="323">
        <v>80</v>
      </c>
      <c r="J441" s="324">
        <v>90</v>
      </c>
      <c r="K441" s="299">
        <v>80</v>
      </c>
      <c r="L441" s="914">
        <v>0.55000000000000004</v>
      </c>
      <c r="M441" s="916" t="s">
        <v>243</v>
      </c>
      <c r="N441" s="299">
        <v>740</v>
      </c>
      <c r="O441" s="299">
        <v>80</v>
      </c>
      <c r="P441" s="323">
        <v>75</v>
      </c>
      <c r="Q441" s="324">
        <v>80</v>
      </c>
      <c r="R441" s="299">
        <v>75</v>
      </c>
      <c r="S441" s="914">
        <v>0.55000000000000004</v>
      </c>
      <c r="V441" s="511"/>
      <c r="Z441" s="578"/>
    </row>
    <row r="442" spans="2:26" ht="21.95" hidden="1" customHeight="1" x14ac:dyDescent="0.25">
      <c r="B442" s="296">
        <f t="shared" ref="B442:B465" si="129">B441-0.125</f>
        <v>11.125</v>
      </c>
      <c r="C442" s="297">
        <v>82</v>
      </c>
      <c r="D442" s="297">
        <v>82</v>
      </c>
      <c r="E442" s="297">
        <v>82</v>
      </c>
      <c r="F442" s="917"/>
      <c r="G442" s="300">
        <v>720</v>
      </c>
      <c r="H442" s="300">
        <v>90</v>
      </c>
      <c r="I442" s="325">
        <v>80</v>
      </c>
      <c r="J442" s="326">
        <v>90</v>
      </c>
      <c r="K442" s="300">
        <v>80</v>
      </c>
      <c r="L442" s="915"/>
      <c r="M442" s="917"/>
      <c r="N442" s="300">
        <v>720</v>
      </c>
      <c r="O442" s="300">
        <v>80</v>
      </c>
      <c r="P442" s="325">
        <v>75</v>
      </c>
      <c r="Q442" s="326">
        <v>80</v>
      </c>
      <c r="R442" s="300">
        <v>75</v>
      </c>
      <c r="S442" s="915"/>
      <c r="V442" s="511"/>
      <c r="Z442" s="578"/>
    </row>
    <row r="443" spans="2:26" ht="21.95" hidden="1" customHeight="1" x14ac:dyDescent="0.25">
      <c r="B443" s="296">
        <f t="shared" si="129"/>
        <v>11</v>
      </c>
      <c r="C443" s="297">
        <v>82</v>
      </c>
      <c r="D443" s="297">
        <v>82</v>
      </c>
      <c r="E443" s="297">
        <v>82</v>
      </c>
      <c r="F443" s="917"/>
      <c r="G443" s="300">
        <v>700</v>
      </c>
      <c r="H443" s="300">
        <v>85</v>
      </c>
      <c r="I443" s="325">
        <v>80</v>
      </c>
      <c r="J443" s="326">
        <v>85</v>
      </c>
      <c r="K443" s="300">
        <v>80</v>
      </c>
      <c r="L443" s="915"/>
      <c r="M443" s="917"/>
      <c r="N443" s="300">
        <v>700</v>
      </c>
      <c r="O443" s="300">
        <v>80</v>
      </c>
      <c r="P443" s="325">
        <v>75</v>
      </c>
      <c r="Q443" s="326">
        <v>80</v>
      </c>
      <c r="R443" s="300">
        <v>75</v>
      </c>
      <c r="S443" s="915"/>
      <c r="V443" s="511"/>
      <c r="Z443" s="578"/>
    </row>
    <row r="444" spans="2:26" ht="21.95" hidden="1" customHeight="1" x14ac:dyDescent="0.25">
      <c r="B444" s="296">
        <f t="shared" si="129"/>
        <v>10.875</v>
      </c>
      <c r="C444" s="297">
        <v>82</v>
      </c>
      <c r="D444" s="297">
        <v>82</v>
      </c>
      <c r="E444" s="297">
        <v>82</v>
      </c>
      <c r="F444" s="917"/>
      <c r="G444" s="300">
        <v>680</v>
      </c>
      <c r="H444" s="300">
        <v>85</v>
      </c>
      <c r="I444" s="325">
        <v>75</v>
      </c>
      <c r="J444" s="326">
        <v>85</v>
      </c>
      <c r="K444" s="300">
        <v>75</v>
      </c>
      <c r="L444" s="915"/>
      <c r="M444" s="917"/>
      <c r="N444" s="300">
        <v>680</v>
      </c>
      <c r="O444" s="300">
        <v>80</v>
      </c>
      <c r="P444" s="325">
        <v>75</v>
      </c>
      <c r="Q444" s="326">
        <v>80</v>
      </c>
      <c r="R444" s="300">
        <v>75</v>
      </c>
      <c r="S444" s="915"/>
      <c r="V444" s="511"/>
      <c r="Z444" s="578"/>
    </row>
    <row r="445" spans="2:26" ht="21.95" hidden="1" customHeight="1" thickBot="1" x14ac:dyDescent="0.25">
      <c r="B445" s="296">
        <f t="shared" si="129"/>
        <v>10.75</v>
      </c>
      <c r="C445" s="297">
        <v>82</v>
      </c>
      <c r="D445" s="297">
        <v>82</v>
      </c>
      <c r="E445" s="297">
        <v>82</v>
      </c>
      <c r="F445" s="918"/>
      <c r="G445" s="301">
        <v>660</v>
      </c>
      <c r="H445" s="301">
        <v>80</v>
      </c>
      <c r="I445" s="327">
        <v>75</v>
      </c>
      <c r="J445" s="328">
        <v>80</v>
      </c>
      <c r="K445" s="301">
        <v>75</v>
      </c>
      <c r="L445" s="915"/>
      <c r="M445" s="918"/>
      <c r="N445" s="301">
        <v>660</v>
      </c>
      <c r="O445" s="301">
        <v>80</v>
      </c>
      <c r="P445" s="327">
        <v>75</v>
      </c>
      <c r="Q445" s="328">
        <v>80</v>
      </c>
      <c r="R445" s="301">
        <v>75</v>
      </c>
      <c r="S445" s="915"/>
      <c r="V445" s="511"/>
    </row>
    <row r="446" spans="2:26" ht="21.95" hidden="1" customHeight="1" x14ac:dyDescent="0.25">
      <c r="B446" s="296">
        <f t="shared" si="129"/>
        <v>10.625</v>
      </c>
      <c r="C446" s="297">
        <v>82</v>
      </c>
      <c r="D446" s="297">
        <v>82</v>
      </c>
      <c r="E446" s="297">
        <v>82</v>
      </c>
      <c r="F446" s="919" t="s">
        <v>251</v>
      </c>
      <c r="G446" s="302">
        <v>740</v>
      </c>
      <c r="H446" s="302">
        <v>90</v>
      </c>
      <c r="I446" s="329">
        <v>80</v>
      </c>
      <c r="J446" s="330">
        <v>90</v>
      </c>
      <c r="K446" s="302">
        <v>80</v>
      </c>
      <c r="L446" s="922">
        <v>0.5</v>
      </c>
      <c r="M446" s="919" t="s">
        <v>251</v>
      </c>
      <c r="N446" s="302">
        <v>740</v>
      </c>
      <c r="O446" s="302">
        <v>80</v>
      </c>
      <c r="P446" s="329">
        <v>75</v>
      </c>
      <c r="Q446" s="330">
        <v>80</v>
      </c>
      <c r="R446" s="302">
        <v>75</v>
      </c>
      <c r="S446" s="911">
        <v>0.5</v>
      </c>
      <c r="V446" s="511"/>
    </row>
    <row r="447" spans="2:26" ht="21.95" hidden="1" customHeight="1" x14ac:dyDescent="0.25">
      <c r="B447" s="296">
        <f t="shared" si="129"/>
        <v>10.5</v>
      </c>
      <c r="C447" s="297">
        <v>82</v>
      </c>
      <c r="D447" s="297">
        <v>82</v>
      </c>
      <c r="E447" s="297">
        <v>82</v>
      </c>
      <c r="F447" s="920"/>
      <c r="G447" s="300">
        <v>720</v>
      </c>
      <c r="H447" s="300">
        <v>90</v>
      </c>
      <c r="I447" s="325">
        <v>80</v>
      </c>
      <c r="J447" s="326">
        <v>90</v>
      </c>
      <c r="K447" s="300">
        <v>75</v>
      </c>
      <c r="L447" s="923"/>
      <c r="M447" s="920"/>
      <c r="N447" s="300">
        <v>720</v>
      </c>
      <c r="O447" s="300">
        <v>80</v>
      </c>
      <c r="P447" s="325">
        <v>75</v>
      </c>
      <c r="Q447" s="326">
        <v>80</v>
      </c>
      <c r="R447" s="300">
        <v>75</v>
      </c>
      <c r="S447" s="912"/>
      <c r="V447" s="511"/>
    </row>
    <row r="448" spans="2:26" ht="21.95" hidden="1" customHeight="1" x14ac:dyDescent="0.25">
      <c r="B448" s="296">
        <f t="shared" si="129"/>
        <v>10.375</v>
      </c>
      <c r="C448" s="297">
        <v>82</v>
      </c>
      <c r="D448" s="297">
        <v>82</v>
      </c>
      <c r="E448" s="297">
        <v>82</v>
      </c>
      <c r="F448" s="920"/>
      <c r="G448" s="300">
        <v>700</v>
      </c>
      <c r="H448" s="300">
        <v>85</v>
      </c>
      <c r="I448" s="325">
        <v>80</v>
      </c>
      <c r="J448" s="326">
        <v>80</v>
      </c>
      <c r="K448" s="300">
        <v>75</v>
      </c>
      <c r="L448" s="923"/>
      <c r="M448" s="920"/>
      <c r="N448" s="300">
        <v>700</v>
      </c>
      <c r="O448" s="300">
        <v>80</v>
      </c>
      <c r="P448" s="325">
        <v>75</v>
      </c>
      <c r="Q448" s="326">
        <v>80</v>
      </c>
      <c r="R448" s="300">
        <v>75</v>
      </c>
      <c r="S448" s="912"/>
      <c r="V448" s="511"/>
    </row>
    <row r="449" spans="2:22" ht="21.95" hidden="1" customHeight="1" x14ac:dyDescent="0.25">
      <c r="B449" s="296">
        <f t="shared" si="129"/>
        <v>10.25</v>
      </c>
      <c r="C449" s="297">
        <v>82</v>
      </c>
      <c r="D449" s="297">
        <v>82</v>
      </c>
      <c r="E449" s="297">
        <v>82</v>
      </c>
      <c r="F449" s="920"/>
      <c r="G449" s="300">
        <v>680</v>
      </c>
      <c r="H449" s="303">
        <v>80</v>
      </c>
      <c r="I449" s="331">
        <v>75</v>
      </c>
      <c r="J449" s="332">
        <v>80</v>
      </c>
      <c r="K449" s="303">
        <v>70</v>
      </c>
      <c r="L449" s="923"/>
      <c r="M449" s="920"/>
      <c r="N449" s="300">
        <v>680</v>
      </c>
      <c r="O449" s="303">
        <v>80</v>
      </c>
      <c r="P449" s="331">
        <v>75</v>
      </c>
      <c r="Q449" s="332">
        <v>80</v>
      </c>
      <c r="R449" s="303">
        <v>75</v>
      </c>
      <c r="S449" s="912"/>
      <c r="V449" s="511"/>
    </row>
    <row r="450" spans="2:22" ht="21.95" hidden="1" customHeight="1" thickBot="1" x14ac:dyDescent="0.25">
      <c r="B450" s="296">
        <f t="shared" si="129"/>
        <v>10.125</v>
      </c>
      <c r="C450" s="297">
        <v>82</v>
      </c>
      <c r="D450" s="297">
        <v>82</v>
      </c>
      <c r="E450" s="297">
        <v>82</v>
      </c>
      <c r="F450" s="921"/>
      <c r="G450" s="304">
        <v>660</v>
      </c>
      <c r="H450" s="305">
        <v>75</v>
      </c>
      <c r="I450" s="333">
        <v>70</v>
      </c>
      <c r="J450" s="334">
        <v>75</v>
      </c>
      <c r="K450" s="305">
        <v>70</v>
      </c>
      <c r="L450" s="924"/>
      <c r="M450" s="921"/>
      <c r="N450" s="304">
        <v>660</v>
      </c>
      <c r="O450" s="305">
        <v>75</v>
      </c>
      <c r="P450" s="333">
        <v>70</v>
      </c>
      <c r="Q450" s="334">
        <v>75</v>
      </c>
      <c r="R450" s="305">
        <v>70</v>
      </c>
      <c r="S450" s="913"/>
      <c r="V450" s="511"/>
    </row>
    <row r="451" spans="2:22" ht="21.95" hidden="1" customHeight="1" x14ac:dyDescent="0.25">
      <c r="B451" s="296">
        <f t="shared" si="129"/>
        <v>10</v>
      </c>
      <c r="C451" s="297">
        <v>82</v>
      </c>
      <c r="D451" s="297">
        <v>82</v>
      </c>
      <c r="E451" s="297">
        <v>82</v>
      </c>
      <c r="F451" s="579"/>
      <c r="G451" s="579"/>
      <c r="H451" s="579"/>
      <c r="I451" s="579"/>
      <c r="J451" s="579"/>
      <c r="K451" s="579"/>
      <c r="L451" s="579"/>
      <c r="M451" s="579"/>
      <c r="N451" s="579"/>
      <c r="O451" s="579"/>
      <c r="P451" s="579"/>
      <c r="Q451" s="579"/>
      <c r="R451" s="579"/>
      <c r="S451" s="933" t="s">
        <v>237</v>
      </c>
      <c r="T451" s="930"/>
      <c r="U451" s="931" t="s">
        <v>276</v>
      </c>
      <c r="V451" s="932"/>
    </row>
    <row r="452" spans="2:22" ht="21.95" hidden="1" customHeight="1" x14ac:dyDescent="0.25">
      <c r="B452" s="296">
        <f t="shared" si="129"/>
        <v>9.875</v>
      </c>
      <c r="C452" s="297">
        <v>82</v>
      </c>
      <c r="D452" s="297">
        <v>82</v>
      </c>
      <c r="E452" s="297">
        <v>82</v>
      </c>
      <c r="F452" s="925" t="s">
        <v>260</v>
      </c>
      <c r="G452" s="926"/>
      <c r="H452" s="926"/>
      <c r="I452" s="926"/>
      <c r="J452" s="926"/>
      <c r="K452" s="926"/>
      <c r="L452" s="926"/>
      <c r="M452" s="926"/>
      <c r="N452" s="926"/>
      <c r="O452" s="926"/>
      <c r="P452" s="926"/>
      <c r="Q452" s="926"/>
      <c r="R452" s="926"/>
      <c r="S452" s="933" t="s">
        <v>241</v>
      </c>
      <c r="T452" s="930"/>
      <c r="U452" s="906" t="s">
        <v>277</v>
      </c>
      <c r="V452" s="907"/>
    </row>
    <row r="453" spans="2:22" ht="21.95" hidden="1" customHeight="1" x14ac:dyDescent="0.3">
      <c r="B453" s="296">
        <f t="shared" si="129"/>
        <v>9.75</v>
      </c>
      <c r="C453" s="297">
        <v>82</v>
      </c>
      <c r="D453" s="297">
        <v>82</v>
      </c>
      <c r="E453" s="297">
        <v>82</v>
      </c>
      <c r="F453" s="872"/>
      <c r="G453" s="873"/>
      <c r="H453" s="874"/>
      <c r="I453" s="313" t="s">
        <v>262</v>
      </c>
      <c r="J453" s="314">
        <v>0.55000000000000004</v>
      </c>
      <c r="K453" s="314">
        <v>0.6</v>
      </c>
      <c r="L453" s="314">
        <v>0.65</v>
      </c>
      <c r="M453" s="314">
        <v>0.7</v>
      </c>
      <c r="N453" s="314">
        <v>0.75</v>
      </c>
      <c r="O453" s="314">
        <v>0.8</v>
      </c>
      <c r="P453" s="314">
        <v>0.85</v>
      </c>
      <c r="Q453" s="314">
        <v>0.9</v>
      </c>
      <c r="R453" s="314" t="s">
        <v>263</v>
      </c>
      <c r="S453" s="929" t="s">
        <v>244</v>
      </c>
      <c r="T453" s="930"/>
      <c r="U453" s="927">
        <v>150000</v>
      </c>
      <c r="V453" s="928"/>
    </row>
    <row r="454" spans="2:22" ht="21.95" hidden="1" customHeight="1" x14ac:dyDescent="0.3">
      <c r="B454" s="296">
        <f t="shared" si="129"/>
        <v>9.625</v>
      </c>
      <c r="C454" s="297">
        <v>82</v>
      </c>
      <c r="D454" s="297">
        <v>82</v>
      </c>
      <c r="E454" s="297">
        <v>82</v>
      </c>
      <c r="F454" s="872" t="s">
        <v>291</v>
      </c>
      <c r="G454" s="873"/>
      <c r="H454" s="874"/>
      <c r="I454" s="315">
        <v>0.25</v>
      </c>
      <c r="J454" s="315">
        <v>0.125</v>
      </c>
      <c r="K454" s="315">
        <v>0.125</v>
      </c>
      <c r="L454" s="315">
        <v>0</v>
      </c>
      <c r="M454" s="315">
        <v>-0.125</v>
      </c>
      <c r="N454" s="315">
        <v>-0.375</v>
      </c>
      <c r="O454" s="315">
        <v>-0.5</v>
      </c>
      <c r="P454" s="319">
        <v>-3.125</v>
      </c>
      <c r="Q454" s="315">
        <v>-3.75</v>
      </c>
      <c r="R454" s="335" t="s">
        <v>77</v>
      </c>
      <c r="S454" s="929" t="s">
        <v>278</v>
      </c>
      <c r="T454" s="930"/>
      <c r="U454" s="931" t="s">
        <v>248</v>
      </c>
      <c r="V454" s="932"/>
    </row>
    <row r="455" spans="2:22" ht="21.95" hidden="1" customHeight="1" x14ac:dyDescent="0.3">
      <c r="B455" s="296">
        <f t="shared" si="129"/>
        <v>9.5</v>
      </c>
      <c r="C455" s="297">
        <v>82</v>
      </c>
      <c r="D455" s="297">
        <v>82</v>
      </c>
      <c r="E455" s="297">
        <v>82</v>
      </c>
      <c r="F455" s="872" t="s">
        <v>124</v>
      </c>
      <c r="G455" s="873"/>
      <c r="H455" s="874"/>
      <c r="I455" s="318">
        <v>0.125</v>
      </c>
      <c r="J455" s="318">
        <v>0</v>
      </c>
      <c r="K455" s="318">
        <v>0</v>
      </c>
      <c r="L455" s="318">
        <v>-0.125</v>
      </c>
      <c r="M455" s="318">
        <v>-0.25</v>
      </c>
      <c r="N455" s="318">
        <v>-0.5</v>
      </c>
      <c r="O455" s="318">
        <v>-0.625</v>
      </c>
      <c r="P455" s="318">
        <v>-3.25</v>
      </c>
      <c r="Q455" s="318">
        <v>-3.875</v>
      </c>
      <c r="R455" s="335" t="s">
        <v>77</v>
      </c>
      <c r="S455" s="929" t="s">
        <v>254</v>
      </c>
      <c r="T455" s="930"/>
      <c r="U455" s="931" t="s">
        <v>255</v>
      </c>
      <c r="V455" s="932"/>
    </row>
    <row r="456" spans="2:22" ht="21.95" hidden="1" customHeight="1" x14ac:dyDescent="0.3">
      <c r="B456" s="296">
        <f t="shared" si="129"/>
        <v>9.375</v>
      </c>
      <c r="C456" s="297">
        <v>82</v>
      </c>
      <c r="D456" s="297">
        <v>82</v>
      </c>
      <c r="E456" s="297">
        <v>82</v>
      </c>
      <c r="F456" s="872" t="s">
        <v>46</v>
      </c>
      <c r="G456" s="873"/>
      <c r="H456" s="874"/>
      <c r="I456" s="336">
        <v>0</v>
      </c>
      <c r="J456" s="336">
        <v>-0.125</v>
      </c>
      <c r="K456" s="336">
        <v>-0.125</v>
      </c>
      <c r="L456" s="336">
        <v>-0.25</v>
      </c>
      <c r="M456" s="336">
        <v>-0.375</v>
      </c>
      <c r="N456" s="336">
        <v>-0.75</v>
      </c>
      <c r="O456" s="336">
        <v>-1.125</v>
      </c>
      <c r="P456" s="337">
        <v>-3.625</v>
      </c>
      <c r="Q456" s="318">
        <v>-4.375</v>
      </c>
      <c r="R456" s="335" t="s">
        <v>77</v>
      </c>
      <c r="S456" s="929" t="s">
        <v>249</v>
      </c>
      <c r="T456" s="930"/>
      <c r="U456" s="964" t="s">
        <v>77</v>
      </c>
      <c r="V456" s="965"/>
    </row>
    <row r="457" spans="2:22" ht="21.95" hidden="1" customHeight="1" x14ac:dyDescent="0.3">
      <c r="B457" s="296">
        <f t="shared" si="129"/>
        <v>9.25</v>
      </c>
      <c r="C457" s="297">
        <v>82</v>
      </c>
      <c r="D457" s="297">
        <v>82</v>
      </c>
      <c r="E457" s="297">
        <v>82</v>
      </c>
      <c r="F457" s="872" t="s">
        <v>16</v>
      </c>
      <c r="G457" s="873"/>
      <c r="H457" s="874"/>
      <c r="I457" s="319">
        <v>-0.125</v>
      </c>
      <c r="J457" s="319">
        <v>-0.25</v>
      </c>
      <c r="K457" s="318">
        <v>-0.25</v>
      </c>
      <c r="L457" s="318">
        <v>-0.375</v>
      </c>
      <c r="M457" s="318">
        <v>-0.5</v>
      </c>
      <c r="N457" s="318">
        <v>-0.875</v>
      </c>
      <c r="O457" s="318">
        <v>-1.375</v>
      </c>
      <c r="P457" s="318">
        <v>-4.25</v>
      </c>
      <c r="Q457" s="335" t="s">
        <v>77</v>
      </c>
      <c r="R457" s="335" t="s">
        <v>77</v>
      </c>
      <c r="S457" s="929" t="s">
        <v>250</v>
      </c>
      <c r="T457" s="930"/>
      <c r="U457" s="931" t="s">
        <v>77</v>
      </c>
      <c r="V457" s="932"/>
    </row>
    <row r="458" spans="2:22" ht="21.95" hidden="1" customHeight="1" x14ac:dyDescent="0.3">
      <c r="B458" s="296">
        <f t="shared" si="129"/>
        <v>9.125</v>
      </c>
      <c r="C458" s="297">
        <v>82</v>
      </c>
      <c r="D458" s="297">
        <v>82</v>
      </c>
      <c r="E458" s="297">
        <v>82</v>
      </c>
      <c r="F458" s="872" t="s">
        <v>17</v>
      </c>
      <c r="G458" s="873"/>
      <c r="H458" s="874"/>
      <c r="I458" s="319">
        <v>-0.25</v>
      </c>
      <c r="J458" s="319">
        <v>-0.375</v>
      </c>
      <c r="K458" s="319">
        <v>-0.375</v>
      </c>
      <c r="L458" s="319">
        <v>-0.625</v>
      </c>
      <c r="M458" s="319">
        <v>-0.75</v>
      </c>
      <c r="N458" s="319">
        <v>-1.125</v>
      </c>
      <c r="O458" s="319">
        <v>-1.75</v>
      </c>
      <c r="P458" s="338">
        <v>-4.5</v>
      </c>
      <c r="Q458" s="335" t="s">
        <v>77</v>
      </c>
      <c r="R458" s="335" t="s">
        <v>77</v>
      </c>
      <c r="S458" s="929" t="s">
        <v>252</v>
      </c>
      <c r="T458" s="930"/>
      <c r="U458" s="927" t="s">
        <v>77</v>
      </c>
      <c r="V458" s="928"/>
    </row>
    <row r="459" spans="2:22" ht="21.95" hidden="1" customHeight="1" x14ac:dyDescent="0.3">
      <c r="B459" s="296">
        <f t="shared" si="129"/>
        <v>9</v>
      </c>
      <c r="C459" s="297">
        <v>82</v>
      </c>
      <c r="D459" s="297">
        <v>82</v>
      </c>
      <c r="E459" s="297">
        <v>82</v>
      </c>
      <c r="F459" s="872" t="s">
        <v>18</v>
      </c>
      <c r="G459" s="873"/>
      <c r="H459" s="874"/>
      <c r="I459" s="318">
        <v>-2.375</v>
      </c>
      <c r="J459" s="318">
        <v>-2.375</v>
      </c>
      <c r="K459" s="318">
        <v>-2.625</v>
      </c>
      <c r="L459" s="318">
        <v>-2.875</v>
      </c>
      <c r="M459" s="318">
        <v>-3</v>
      </c>
      <c r="N459" s="318">
        <v>-3.5</v>
      </c>
      <c r="O459" s="318">
        <v>-4.25</v>
      </c>
      <c r="P459" s="335" t="s">
        <v>77</v>
      </c>
      <c r="Q459" s="335" t="s">
        <v>77</v>
      </c>
      <c r="R459" s="335" t="s">
        <v>77</v>
      </c>
      <c r="S459" s="929" t="s">
        <v>253</v>
      </c>
      <c r="T459" s="930"/>
      <c r="U459" s="927">
        <v>2000000</v>
      </c>
      <c r="V459" s="928"/>
    </row>
    <row r="460" spans="2:22" ht="21.95" hidden="1" customHeight="1" x14ac:dyDescent="0.3">
      <c r="B460" s="296">
        <f t="shared" si="129"/>
        <v>8.875</v>
      </c>
      <c r="C460" s="297">
        <v>82</v>
      </c>
      <c r="D460" s="297">
        <v>82</v>
      </c>
      <c r="E460" s="297">
        <v>82</v>
      </c>
      <c r="F460" s="872" t="s">
        <v>265</v>
      </c>
      <c r="G460" s="873"/>
      <c r="H460" s="874"/>
      <c r="I460" s="315">
        <v>0</v>
      </c>
      <c r="J460" s="315">
        <v>0</v>
      </c>
      <c r="K460" s="315">
        <v>0</v>
      </c>
      <c r="L460" s="315">
        <v>-0.125</v>
      </c>
      <c r="M460" s="315">
        <v>-0.25</v>
      </c>
      <c r="N460" s="315">
        <v>-0.375</v>
      </c>
      <c r="O460" s="315">
        <v>-0.375</v>
      </c>
      <c r="P460" s="315">
        <v>-2.75</v>
      </c>
      <c r="Q460" s="315">
        <v>-2.875</v>
      </c>
      <c r="R460" s="335" t="s">
        <v>77</v>
      </c>
      <c r="S460" s="943" t="s">
        <v>279</v>
      </c>
      <c r="T460" s="901"/>
      <c r="U460" s="564" t="s">
        <v>257</v>
      </c>
      <c r="V460" s="565">
        <v>103</v>
      </c>
    </row>
    <row r="461" spans="2:22" ht="21.95" hidden="1" customHeight="1" x14ac:dyDescent="0.3">
      <c r="B461" s="296">
        <f t="shared" si="129"/>
        <v>8.75</v>
      </c>
      <c r="C461" s="297">
        <v>82</v>
      </c>
      <c r="D461" s="297">
        <v>82</v>
      </c>
      <c r="E461" s="297">
        <v>82</v>
      </c>
      <c r="F461" s="872" t="s">
        <v>266</v>
      </c>
      <c r="G461" s="873"/>
      <c r="H461" s="874"/>
      <c r="I461" s="319">
        <v>0</v>
      </c>
      <c r="J461" s="319">
        <v>0</v>
      </c>
      <c r="K461" s="318">
        <v>0</v>
      </c>
      <c r="L461" s="318">
        <v>-0.125</v>
      </c>
      <c r="M461" s="318">
        <v>-0.25</v>
      </c>
      <c r="N461" s="318">
        <v>-0.375</v>
      </c>
      <c r="O461" s="318">
        <v>-0.375</v>
      </c>
      <c r="P461" s="318">
        <v>-2.625</v>
      </c>
      <c r="Q461" s="318">
        <v>-2.75</v>
      </c>
      <c r="R461" s="335" t="s">
        <v>77</v>
      </c>
      <c r="S461" s="944"/>
      <c r="T461" s="903"/>
      <c r="U461" s="566" t="s">
        <v>258</v>
      </c>
      <c r="V461" s="567">
        <v>101</v>
      </c>
    </row>
    <row r="462" spans="2:22" ht="21.95" hidden="1" customHeight="1" x14ac:dyDescent="0.3">
      <c r="B462" s="296">
        <f t="shared" si="129"/>
        <v>8.625</v>
      </c>
      <c r="C462" s="297">
        <v>82</v>
      </c>
      <c r="D462" s="297">
        <v>82</v>
      </c>
      <c r="E462" s="297">
        <v>82</v>
      </c>
      <c r="F462" s="872" t="s">
        <v>50</v>
      </c>
      <c r="G462" s="873"/>
      <c r="H462" s="874"/>
      <c r="I462" s="319">
        <v>-0.25</v>
      </c>
      <c r="J462" s="319">
        <v>-0.25</v>
      </c>
      <c r="K462" s="315">
        <v>-0.5</v>
      </c>
      <c r="L462" s="315">
        <v>-0.5</v>
      </c>
      <c r="M462" s="315">
        <v>-0.75</v>
      </c>
      <c r="N462" s="315">
        <v>-0.875</v>
      </c>
      <c r="O462" s="315">
        <v>-1</v>
      </c>
      <c r="P462" s="335" t="s">
        <v>77</v>
      </c>
      <c r="Q462" s="335" t="s">
        <v>77</v>
      </c>
      <c r="R462" s="335" t="s">
        <v>77</v>
      </c>
      <c r="S462" s="944"/>
      <c r="T462" s="903"/>
      <c r="U462" s="566" t="s">
        <v>259</v>
      </c>
      <c r="V462" s="567">
        <v>100</v>
      </c>
    </row>
    <row r="463" spans="2:22" ht="21.95" hidden="1" customHeight="1" x14ac:dyDescent="0.3">
      <c r="B463" s="296">
        <f t="shared" si="129"/>
        <v>8.5</v>
      </c>
      <c r="C463" s="297">
        <v>82</v>
      </c>
      <c r="D463" s="297">
        <v>82</v>
      </c>
      <c r="E463" s="297">
        <v>82</v>
      </c>
      <c r="F463" s="872" t="s">
        <v>267</v>
      </c>
      <c r="G463" s="873"/>
      <c r="H463" s="874"/>
      <c r="I463" s="335" t="s">
        <v>77</v>
      </c>
      <c r="J463" s="335" t="s">
        <v>77</v>
      </c>
      <c r="K463" s="335" t="s">
        <v>77</v>
      </c>
      <c r="L463" s="335" t="s">
        <v>77</v>
      </c>
      <c r="M463" s="335" t="s">
        <v>77</v>
      </c>
      <c r="N463" s="335" t="s">
        <v>77</v>
      </c>
      <c r="O463" s="335" t="s">
        <v>77</v>
      </c>
      <c r="P463" s="335" t="s">
        <v>77</v>
      </c>
      <c r="Q463" s="335" t="s">
        <v>77</v>
      </c>
      <c r="R463" s="335" t="s">
        <v>77</v>
      </c>
      <c r="S463" s="945"/>
      <c r="T463" s="905"/>
      <c r="U463" s="568" t="s">
        <v>261</v>
      </c>
      <c r="V463" s="569">
        <v>98</v>
      </c>
    </row>
    <row r="464" spans="2:22" ht="21.95" hidden="1" customHeight="1" x14ac:dyDescent="0.3">
      <c r="B464" s="296">
        <f t="shared" si="129"/>
        <v>8.375</v>
      </c>
      <c r="C464" s="297">
        <v>82</v>
      </c>
      <c r="D464" s="297">
        <v>82</v>
      </c>
      <c r="E464" s="297">
        <v>82</v>
      </c>
      <c r="F464" s="872" t="s">
        <v>268</v>
      </c>
      <c r="G464" s="873"/>
      <c r="H464" s="874"/>
      <c r="I464" s="335" t="s">
        <v>77</v>
      </c>
      <c r="J464" s="335" t="s">
        <v>77</v>
      </c>
      <c r="K464" s="335" t="s">
        <v>77</v>
      </c>
      <c r="L464" s="335" t="s">
        <v>77</v>
      </c>
      <c r="M464" s="335" t="s">
        <v>77</v>
      </c>
      <c r="N464" s="335" t="s">
        <v>77</v>
      </c>
      <c r="O464" s="335" t="s">
        <v>77</v>
      </c>
      <c r="P464" s="335" t="s">
        <v>77</v>
      </c>
      <c r="Q464" s="335" t="s">
        <v>77</v>
      </c>
      <c r="R464" s="335" t="s">
        <v>77</v>
      </c>
      <c r="S464" s="580"/>
      <c r="T464" s="580"/>
      <c r="U464" s="580"/>
      <c r="V464" s="581"/>
    </row>
    <row r="465" spans="2:22" ht="21.95" hidden="1" customHeight="1" x14ac:dyDescent="0.3">
      <c r="B465" s="296">
        <f t="shared" si="129"/>
        <v>8.25</v>
      </c>
      <c r="C465" s="297">
        <v>82</v>
      </c>
      <c r="D465" s="297">
        <v>82</v>
      </c>
      <c r="E465" s="297">
        <v>82</v>
      </c>
      <c r="F465" s="872" t="s">
        <v>269</v>
      </c>
      <c r="G465" s="873"/>
      <c r="H465" s="874"/>
      <c r="I465" s="335" t="s">
        <v>77</v>
      </c>
      <c r="J465" s="335" t="s">
        <v>77</v>
      </c>
      <c r="K465" s="335" t="s">
        <v>77</v>
      </c>
      <c r="L465" s="335" t="s">
        <v>77</v>
      </c>
      <c r="M465" s="335" t="s">
        <v>77</v>
      </c>
      <c r="N465" s="335" t="s">
        <v>77</v>
      </c>
      <c r="O465" s="335" t="s">
        <v>77</v>
      </c>
      <c r="P465" s="335" t="s">
        <v>77</v>
      </c>
      <c r="Q465" s="335" t="s">
        <v>77</v>
      </c>
      <c r="R465" s="335" t="s">
        <v>77</v>
      </c>
      <c r="S465" s="582" t="s">
        <v>280</v>
      </c>
      <c r="T465" s="583"/>
      <c r="U465" s="583"/>
      <c r="V465" s="584"/>
    </row>
    <row r="466" spans="2:22" ht="21.95" hidden="1" customHeight="1" x14ac:dyDescent="0.3">
      <c r="B466" s="296"/>
      <c r="C466" s="357"/>
      <c r="D466" s="357"/>
      <c r="E466" s="357"/>
      <c r="F466" s="872" t="s">
        <v>192</v>
      </c>
      <c r="G466" s="873"/>
      <c r="H466" s="874"/>
      <c r="I466" s="319">
        <v>-0.125</v>
      </c>
      <c r="J466" s="319">
        <v>-0.125</v>
      </c>
      <c r="K466" s="315">
        <v>-0.125</v>
      </c>
      <c r="L466" s="315">
        <v>-0.125</v>
      </c>
      <c r="M466" s="315">
        <v>-0.25</v>
      </c>
      <c r="N466" s="315">
        <v>-0.25</v>
      </c>
      <c r="O466" s="319">
        <v>-0.25</v>
      </c>
      <c r="P466" s="335" t="s">
        <v>77</v>
      </c>
      <c r="Q466" s="335" t="s">
        <v>77</v>
      </c>
      <c r="R466" s="335" t="s">
        <v>77</v>
      </c>
      <c r="S466" s="573" t="s">
        <v>281</v>
      </c>
      <c r="T466" s="574"/>
      <c r="U466" s="585">
        <v>0.25</v>
      </c>
      <c r="V466" s="586"/>
    </row>
    <row r="467" spans="2:22" ht="21.95" hidden="1" customHeight="1" x14ac:dyDescent="0.3">
      <c r="B467" s="296"/>
      <c r="C467" s="357"/>
      <c r="D467" s="357"/>
      <c r="E467" s="357"/>
      <c r="F467" s="872" t="s">
        <v>270</v>
      </c>
      <c r="G467" s="873"/>
      <c r="H467" s="874"/>
      <c r="I467" s="319">
        <v>-0.25</v>
      </c>
      <c r="J467" s="319">
        <v>-0.25</v>
      </c>
      <c r="K467" s="318">
        <v>-0.375</v>
      </c>
      <c r="L467" s="318">
        <v>-0.375</v>
      </c>
      <c r="M467" s="318">
        <v>-0.5</v>
      </c>
      <c r="N467" s="318">
        <v>-0.5</v>
      </c>
      <c r="O467" s="318">
        <v>-0.625</v>
      </c>
      <c r="P467" s="335" t="s">
        <v>77</v>
      </c>
      <c r="Q467" s="335" t="s">
        <v>77</v>
      </c>
      <c r="R467" s="335" t="s">
        <v>77</v>
      </c>
      <c r="S467" s="573" t="s">
        <v>282</v>
      </c>
      <c r="T467" s="574"/>
      <c r="U467" s="585">
        <v>0.125</v>
      </c>
      <c r="V467" s="586"/>
    </row>
    <row r="468" spans="2:22" ht="21.95" hidden="1" customHeight="1" x14ac:dyDescent="0.3">
      <c r="B468" s="296"/>
      <c r="C468" s="357"/>
      <c r="D468" s="357"/>
      <c r="E468" s="357"/>
      <c r="F468" s="872" t="s">
        <v>271</v>
      </c>
      <c r="G468" s="873"/>
      <c r="H468" s="874"/>
      <c r="I468" s="319">
        <v>-0.125</v>
      </c>
      <c r="J468" s="319">
        <v>-0.125</v>
      </c>
      <c r="K468" s="315">
        <v>-0.125</v>
      </c>
      <c r="L468" s="315">
        <v>-0.25</v>
      </c>
      <c r="M468" s="315">
        <v>-0.25</v>
      </c>
      <c r="N468" s="315">
        <v>-0.25</v>
      </c>
      <c r="O468" s="315">
        <v>-0.25</v>
      </c>
      <c r="P468" s="315">
        <v>-2.5</v>
      </c>
      <c r="Q468" s="315">
        <v>-2.5</v>
      </c>
      <c r="R468" s="335" t="s">
        <v>77</v>
      </c>
      <c r="S468" s="573" t="s">
        <v>283</v>
      </c>
      <c r="T468" s="574"/>
      <c r="U468" s="585">
        <v>0</v>
      </c>
      <c r="V468" s="586"/>
    </row>
    <row r="469" spans="2:22" ht="21.95" hidden="1" customHeight="1" x14ac:dyDescent="0.3">
      <c r="B469" s="296"/>
      <c r="C469" s="357"/>
      <c r="D469" s="357"/>
      <c r="E469" s="357"/>
      <c r="F469" s="872" t="s">
        <v>272</v>
      </c>
      <c r="G469" s="873"/>
      <c r="H469" s="874"/>
      <c r="I469" s="319">
        <v>-0.125</v>
      </c>
      <c r="J469" s="319">
        <v>-0.125</v>
      </c>
      <c r="K469" s="318">
        <v>-0.125</v>
      </c>
      <c r="L469" s="318">
        <v>-0.125</v>
      </c>
      <c r="M469" s="318">
        <v>-0.125</v>
      </c>
      <c r="N469" s="318">
        <v>-0.125</v>
      </c>
      <c r="O469" s="318">
        <v>-0.25</v>
      </c>
      <c r="P469" s="318">
        <v>-2.25</v>
      </c>
      <c r="Q469" s="335" t="s">
        <v>77</v>
      </c>
      <c r="R469" s="335" t="s">
        <v>77</v>
      </c>
      <c r="S469" s="573" t="s">
        <v>284</v>
      </c>
      <c r="T469" s="574"/>
      <c r="U469" s="585">
        <v>-0.375</v>
      </c>
      <c r="V469" s="586"/>
    </row>
    <row r="470" spans="2:22" ht="21.95" hidden="1" customHeight="1" x14ac:dyDescent="0.3">
      <c r="B470" s="296"/>
      <c r="C470" s="357"/>
      <c r="D470" s="357"/>
      <c r="E470" s="357"/>
      <c r="F470" s="895" t="s">
        <v>273</v>
      </c>
      <c r="G470" s="895"/>
      <c r="H470" s="895"/>
      <c r="I470" s="315">
        <v>-0.375</v>
      </c>
      <c r="J470" s="315">
        <v>-0.375</v>
      </c>
      <c r="K470" s="315">
        <v>-0.375</v>
      </c>
      <c r="L470" s="315">
        <v>-0.375</v>
      </c>
      <c r="M470" s="315">
        <v>-0.375</v>
      </c>
      <c r="N470" s="315">
        <v>-0.375</v>
      </c>
      <c r="O470" s="315">
        <v>-0.5</v>
      </c>
      <c r="P470" s="335" t="s">
        <v>77</v>
      </c>
      <c r="Q470" s="335" t="s">
        <v>77</v>
      </c>
      <c r="R470" s="335" t="s">
        <v>77</v>
      </c>
      <c r="S470" s="573" t="s">
        <v>285</v>
      </c>
      <c r="T470" s="574"/>
      <c r="U470" s="585">
        <v>-0.75</v>
      </c>
      <c r="V470" s="586"/>
    </row>
    <row r="471" spans="2:22" ht="21.95" hidden="1" customHeight="1" x14ac:dyDescent="0.25">
      <c r="B471" s="296"/>
      <c r="C471" s="357"/>
      <c r="D471" s="357"/>
      <c r="E471" s="357"/>
      <c r="S471" s="573" t="s">
        <v>286</v>
      </c>
      <c r="T471" s="574"/>
      <c r="U471" s="585">
        <v>-1.125</v>
      </c>
      <c r="V471" s="586"/>
    </row>
    <row r="472" spans="2:22" ht="21.95" hidden="1" customHeight="1" thickBot="1" x14ac:dyDescent="0.25">
      <c r="B472" s="875" t="s">
        <v>367</v>
      </c>
      <c r="C472" s="876"/>
      <c r="D472" s="876"/>
      <c r="E472" s="876"/>
      <c r="F472" s="876"/>
      <c r="G472" s="876"/>
      <c r="H472" s="876"/>
      <c r="I472" s="876"/>
      <c r="J472" s="876"/>
      <c r="K472" s="876"/>
      <c r="L472" s="876"/>
      <c r="M472" s="876"/>
      <c r="N472" s="876"/>
      <c r="O472" s="876"/>
      <c r="P472" s="876"/>
      <c r="Q472" s="876"/>
      <c r="R472" s="876"/>
      <c r="S472" s="876"/>
      <c r="T472" s="876"/>
      <c r="U472" s="876"/>
      <c r="V472" s="877"/>
    </row>
    <row r="473" spans="2:22" ht="21.95" hidden="1" customHeight="1" x14ac:dyDescent="0.3">
      <c r="B473" s="888" t="s">
        <v>107</v>
      </c>
      <c r="C473" s="889"/>
      <c r="D473" s="889"/>
      <c r="E473" s="890"/>
      <c r="F473" s="948" t="s">
        <v>287</v>
      </c>
      <c r="G473" s="949"/>
      <c r="H473" s="949"/>
      <c r="I473" s="950"/>
      <c r="M473" s="894" t="s">
        <v>228</v>
      </c>
      <c r="N473" s="889"/>
      <c r="O473" s="889"/>
      <c r="P473" s="889"/>
      <c r="V473" s="511"/>
    </row>
    <row r="474" spans="2:22" ht="21.95" hidden="1" customHeight="1" thickBot="1" x14ac:dyDescent="0.3">
      <c r="B474" s="891" t="s">
        <v>229</v>
      </c>
      <c r="C474" s="892"/>
      <c r="D474" s="892"/>
      <c r="E474" s="893"/>
      <c r="F474" s="885" t="s">
        <v>288</v>
      </c>
      <c r="G474" s="886"/>
      <c r="H474" s="886"/>
      <c r="I474" s="887"/>
      <c r="V474" s="511"/>
    </row>
    <row r="475" spans="2:22" ht="21.95" hidden="1" customHeight="1" x14ac:dyDescent="0.3">
      <c r="B475" s="294" t="s">
        <v>233</v>
      </c>
      <c r="C475" s="339" t="s">
        <v>234</v>
      </c>
      <c r="D475" s="339" t="s">
        <v>297</v>
      </c>
      <c r="E475" s="339" t="s">
        <v>298</v>
      </c>
      <c r="F475" s="878" t="s">
        <v>181</v>
      </c>
      <c r="G475" s="880" t="s">
        <v>15</v>
      </c>
      <c r="H475" s="880" t="s">
        <v>381</v>
      </c>
      <c r="I475" s="880"/>
      <c r="J475" s="880" t="s">
        <v>289</v>
      </c>
      <c r="K475" s="882"/>
      <c r="M475" s="883" t="s">
        <v>237</v>
      </c>
      <c r="N475" s="883"/>
      <c r="O475" s="884" t="s">
        <v>238</v>
      </c>
      <c r="P475" s="884"/>
      <c r="S475" s="966" t="s">
        <v>280</v>
      </c>
      <c r="T475" s="967"/>
      <c r="U475" s="967"/>
      <c r="V475" s="968"/>
    </row>
    <row r="476" spans="2:22" ht="21.95" hidden="1" customHeight="1" thickBot="1" x14ac:dyDescent="0.25">
      <c r="B476" s="296">
        <v>10.75</v>
      </c>
      <c r="C476" s="297">
        <v>82</v>
      </c>
      <c r="D476" s="297">
        <v>82</v>
      </c>
      <c r="E476" s="297">
        <v>82</v>
      </c>
      <c r="F476" s="879"/>
      <c r="G476" s="881"/>
      <c r="H476" s="298" t="s">
        <v>239</v>
      </c>
      <c r="I476" s="298" t="s">
        <v>240</v>
      </c>
      <c r="J476" s="298" t="s">
        <v>239</v>
      </c>
      <c r="K476" s="340" t="s">
        <v>240</v>
      </c>
      <c r="M476" s="883" t="s">
        <v>241</v>
      </c>
      <c r="N476" s="883"/>
      <c r="O476" s="884" t="s">
        <v>242</v>
      </c>
      <c r="P476" s="884"/>
      <c r="S476" s="946" t="s">
        <v>281</v>
      </c>
      <c r="T476" s="947"/>
      <c r="U476" s="951">
        <v>0.25</v>
      </c>
      <c r="V476" s="952"/>
    </row>
    <row r="477" spans="2:22" ht="21.95" hidden="1" customHeight="1" x14ac:dyDescent="0.25">
      <c r="B477" s="296">
        <v>10.625</v>
      </c>
      <c r="C477" s="297">
        <v>82</v>
      </c>
      <c r="D477" s="297">
        <v>82</v>
      </c>
      <c r="E477" s="297">
        <v>82</v>
      </c>
      <c r="F477" s="869" t="s">
        <v>243</v>
      </c>
      <c r="G477" s="299">
        <v>740</v>
      </c>
      <c r="H477" s="299">
        <v>80</v>
      </c>
      <c r="I477" s="323">
        <v>75</v>
      </c>
      <c r="J477" s="324">
        <v>75</v>
      </c>
      <c r="K477" s="341">
        <v>70</v>
      </c>
      <c r="M477" s="883" t="s">
        <v>244</v>
      </c>
      <c r="N477" s="883"/>
      <c r="O477" s="896">
        <v>150000</v>
      </c>
      <c r="P477" s="896"/>
      <c r="S477" s="946" t="s">
        <v>283</v>
      </c>
      <c r="T477" s="947"/>
      <c r="U477" s="951">
        <v>0</v>
      </c>
      <c r="V477" s="952"/>
    </row>
    <row r="478" spans="2:22" ht="21.95" hidden="1" customHeight="1" x14ac:dyDescent="0.25">
      <c r="B478" s="296">
        <v>10.5</v>
      </c>
      <c r="C478" s="297">
        <v>82</v>
      </c>
      <c r="D478" s="297">
        <v>82</v>
      </c>
      <c r="E478" s="297">
        <v>82</v>
      </c>
      <c r="F478" s="870"/>
      <c r="G478" s="300">
        <v>720</v>
      </c>
      <c r="H478" s="300">
        <v>80</v>
      </c>
      <c r="I478" s="325">
        <v>75</v>
      </c>
      <c r="J478" s="326">
        <v>75</v>
      </c>
      <c r="K478" s="342">
        <v>70</v>
      </c>
      <c r="M478" s="883" t="s">
        <v>278</v>
      </c>
      <c r="N478" s="883"/>
      <c r="O478" s="884" t="s">
        <v>248</v>
      </c>
      <c r="P478" s="884"/>
      <c r="S478" s="946" t="s">
        <v>284</v>
      </c>
      <c r="T478" s="947"/>
      <c r="U478" s="951">
        <v>-0.375</v>
      </c>
      <c r="V478" s="952"/>
    </row>
    <row r="479" spans="2:22" ht="21.95" hidden="1" customHeight="1" x14ac:dyDescent="0.25">
      <c r="B479" s="296">
        <v>10.375</v>
      </c>
      <c r="C479" s="297">
        <v>82</v>
      </c>
      <c r="D479" s="297">
        <v>82</v>
      </c>
      <c r="E479" s="297">
        <v>82</v>
      </c>
      <c r="F479" s="870"/>
      <c r="G479" s="300">
        <v>700</v>
      </c>
      <c r="H479" s="300">
        <v>80</v>
      </c>
      <c r="I479" s="325">
        <v>75</v>
      </c>
      <c r="J479" s="326">
        <v>75</v>
      </c>
      <c r="K479" s="342">
        <v>70</v>
      </c>
      <c r="M479" s="883" t="s">
        <v>254</v>
      </c>
      <c r="N479" s="883"/>
      <c r="O479" s="884" t="s">
        <v>255</v>
      </c>
      <c r="P479" s="884"/>
      <c r="S479" s="946" t="s">
        <v>285</v>
      </c>
      <c r="T479" s="947"/>
      <c r="U479" s="951">
        <v>-0.75</v>
      </c>
      <c r="V479" s="952"/>
    </row>
    <row r="480" spans="2:22" ht="21.95" hidden="1" customHeight="1" x14ac:dyDescent="0.25">
      <c r="B480" s="296">
        <v>10.25</v>
      </c>
      <c r="C480" s="297">
        <v>82</v>
      </c>
      <c r="D480" s="297">
        <v>82</v>
      </c>
      <c r="E480" s="297">
        <v>82</v>
      </c>
      <c r="F480" s="870"/>
      <c r="G480" s="300">
        <v>680</v>
      </c>
      <c r="H480" s="300">
        <v>75</v>
      </c>
      <c r="I480" s="325">
        <v>70</v>
      </c>
      <c r="J480" s="326">
        <v>70</v>
      </c>
      <c r="K480" s="342">
        <v>65</v>
      </c>
      <c r="M480" s="883" t="s">
        <v>249</v>
      </c>
      <c r="N480" s="883"/>
      <c r="O480" s="959" t="s">
        <v>77</v>
      </c>
      <c r="P480" s="959"/>
      <c r="S480" s="946" t="s">
        <v>286</v>
      </c>
      <c r="T480" s="947"/>
      <c r="U480" s="951">
        <v>-1.125</v>
      </c>
      <c r="V480" s="952"/>
    </row>
    <row r="481" spans="2:22" ht="21.95" hidden="1" customHeight="1" x14ac:dyDescent="0.25">
      <c r="B481" s="296">
        <v>10.125</v>
      </c>
      <c r="C481" s="297">
        <v>82</v>
      </c>
      <c r="D481" s="297">
        <v>82</v>
      </c>
      <c r="E481" s="297">
        <v>82</v>
      </c>
      <c r="F481" s="870"/>
      <c r="G481" s="300">
        <v>660</v>
      </c>
      <c r="H481" s="300">
        <v>75</v>
      </c>
      <c r="I481" s="325">
        <v>70</v>
      </c>
      <c r="J481" s="326">
        <v>70</v>
      </c>
      <c r="K481" s="343" t="s">
        <v>77</v>
      </c>
      <c r="M481" s="883" t="s">
        <v>250</v>
      </c>
      <c r="N481" s="883"/>
      <c r="O481" s="884" t="s">
        <v>77</v>
      </c>
      <c r="P481" s="884"/>
      <c r="V481" s="511"/>
    </row>
    <row r="482" spans="2:22" ht="21.95" hidden="1" customHeight="1" thickBot="1" x14ac:dyDescent="0.25">
      <c r="B482" s="296">
        <v>10</v>
      </c>
      <c r="C482" s="297">
        <v>82</v>
      </c>
      <c r="D482" s="297">
        <v>82</v>
      </c>
      <c r="E482" s="297">
        <v>82</v>
      </c>
      <c r="F482" s="871"/>
      <c r="G482" s="344">
        <v>640</v>
      </c>
      <c r="H482" s="344">
        <v>70</v>
      </c>
      <c r="I482" s="345" t="s">
        <v>77</v>
      </c>
      <c r="J482" s="346">
        <v>65</v>
      </c>
      <c r="K482" s="347" t="s">
        <v>77</v>
      </c>
      <c r="M482" s="883" t="s">
        <v>252</v>
      </c>
      <c r="N482" s="883"/>
      <c r="O482" s="896" t="s">
        <v>77</v>
      </c>
      <c r="P482" s="896"/>
      <c r="V482" s="511"/>
    </row>
    <row r="483" spans="2:22" ht="21.95" hidden="1" customHeight="1" x14ac:dyDescent="0.25">
      <c r="B483" s="296">
        <v>9.875</v>
      </c>
      <c r="C483" s="297">
        <v>82</v>
      </c>
      <c r="D483" s="297">
        <v>82</v>
      </c>
      <c r="E483" s="297">
        <v>82</v>
      </c>
      <c r="F483" s="869" t="s">
        <v>290</v>
      </c>
      <c r="G483" s="299">
        <v>740</v>
      </c>
      <c r="H483" s="299">
        <v>75</v>
      </c>
      <c r="I483" s="323">
        <v>70</v>
      </c>
      <c r="J483" s="324">
        <v>70</v>
      </c>
      <c r="K483" s="341">
        <v>65</v>
      </c>
      <c r="M483" s="883" t="s">
        <v>253</v>
      </c>
      <c r="N483" s="883"/>
      <c r="O483" s="896">
        <v>2000000</v>
      </c>
      <c r="P483" s="896"/>
      <c r="V483" s="511"/>
    </row>
    <row r="484" spans="2:22" ht="21.95" hidden="1" customHeight="1" x14ac:dyDescent="0.25">
      <c r="B484" s="296">
        <v>9.75</v>
      </c>
      <c r="C484" s="297">
        <v>82</v>
      </c>
      <c r="D484" s="297">
        <v>82</v>
      </c>
      <c r="E484" s="297">
        <v>82</v>
      </c>
      <c r="F484" s="870"/>
      <c r="G484" s="300">
        <v>720</v>
      </c>
      <c r="H484" s="300">
        <v>75</v>
      </c>
      <c r="I484" s="325">
        <v>70</v>
      </c>
      <c r="J484" s="326">
        <v>70</v>
      </c>
      <c r="K484" s="342">
        <v>65</v>
      </c>
      <c r="M484" s="1107" t="s">
        <v>279</v>
      </c>
      <c r="N484" s="1107"/>
      <c r="O484" s="587" t="s">
        <v>257</v>
      </c>
      <c r="P484" s="588">
        <v>103</v>
      </c>
      <c r="V484" s="511"/>
    </row>
    <row r="485" spans="2:22" ht="21.95" hidden="1" customHeight="1" x14ac:dyDescent="0.25">
      <c r="B485" s="296">
        <v>9.625</v>
      </c>
      <c r="C485" s="297">
        <v>82</v>
      </c>
      <c r="D485" s="297">
        <v>82</v>
      </c>
      <c r="E485" s="297">
        <v>82</v>
      </c>
      <c r="F485" s="870"/>
      <c r="G485" s="300">
        <v>700</v>
      </c>
      <c r="H485" s="300">
        <v>75</v>
      </c>
      <c r="I485" s="325">
        <v>70</v>
      </c>
      <c r="J485" s="326">
        <v>70</v>
      </c>
      <c r="K485" s="342">
        <v>65</v>
      </c>
      <c r="M485" s="1107"/>
      <c r="N485" s="1107"/>
      <c r="O485" s="587" t="s">
        <v>258</v>
      </c>
      <c r="P485" s="588">
        <v>101</v>
      </c>
      <c r="V485" s="511"/>
    </row>
    <row r="486" spans="2:22" ht="21.95" hidden="1" customHeight="1" x14ac:dyDescent="0.25">
      <c r="B486" s="296">
        <v>9.5</v>
      </c>
      <c r="C486" s="297">
        <v>82</v>
      </c>
      <c r="D486" s="297">
        <v>82</v>
      </c>
      <c r="E486" s="297">
        <v>82</v>
      </c>
      <c r="F486" s="870"/>
      <c r="G486" s="300">
        <v>680</v>
      </c>
      <c r="H486" s="300">
        <v>70</v>
      </c>
      <c r="I486" s="325">
        <v>65</v>
      </c>
      <c r="J486" s="326">
        <v>65</v>
      </c>
      <c r="K486" s="342">
        <v>65</v>
      </c>
      <c r="M486" s="1107"/>
      <c r="N486" s="1107"/>
      <c r="O486" s="587" t="s">
        <v>259</v>
      </c>
      <c r="P486" s="588">
        <v>100</v>
      </c>
      <c r="V486" s="511"/>
    </row>
    <row r="487" spans="2:22" ht="21.95" hidden="1" customHeight="1" x14ac:dyDescent="0.25">
      <c r="B487" s="296">
        <v>9.375</v>
      </c>
      <c r="C487" s="297">
        <v>82</v>
      </c>
      <c r="D487" s="297">
        <v>82</v>
      </c>
      <c r="E487" s="297">
        <v>82</v>
      </c>
      <c r="F487" s="870"/>
      <c r="G487" s="300">
        <v>660</v>
      </c>
      <c r="H487" s="300">
        <v>70</v>
      </c>
      <c r="I487" s="325">
        <v>65</v>
      </c>
      <c r="J487" s="326">
        <v>65</v>
      </c>
      <c r="K487" s="343" t="s">
        <v>77</v>
      </c>
      <c r="M487" s="1107"/>
      <c r="N487" s="1107"/>
      <c r="O487" s="587" t="s">
        <v>261</v>
      </c>
      <c r="P487" s="589">
        <v>98</v>
      </c>
      <c r="V487" s="511"/>
    </row>
    <row r="488" spans="2:22" ht="21.95" hidden="1" customHeight="1" thickBot="1" x14ac:dyDescent="0.25">
      <c r="B488" s="296">
        <v>9.25</v>
      </c>
      <c r="C488" s="297">
        <v>82</v>
      </c>
      <c r="D488" s="297">
        <v>82</v>
      </c>
      <c r="E488" s="297">
        <v>82</v>
      </c>
      <c r="F488" s="871"/>
      <c r="G488" s="344">
        <v>640</v>
      </c>
      <c r="H488" s="344">
        <v>65</v>
      </c>
      <c r="I488" s="345" t="s">
        <v>77</v>
      </c>
      <c r="J488" s="346">
        <v>65</v>
      </c>
      <c r="K488" s="347" t="s">
        <v>77</v>
      </c>
      <c r="V488" s="511"/>
    </row>
    <row r="489" spans="2:22" ht="21.95" hidden="1" customHeight="1" x14ac:dyDescent="0.25">
      <c r="B489" s="296">
        <v>9.125</v>
      </c>
      <c r="C489" s="297">
        <v>82</v>
      </c>
      <c r="D489" s="297">
        <v>82</v>
      </c>
      <c r="E489" s="297">
        <v>82</v>
      </c>
      <c r="F489" s="1108" t="s">
        <v>260</v>
      </c>
      <c r="G489" s="1099"/>
      <c r="H489" s="1099"/>
      <c r="I489" s="1099"/>
      <c r="J489" s="1099"/>
      <c r="K489" s="1099"/>
      <c r="L489" s="1099"/>
      <c r="M489" s="1099"/>
      <c r="N489" s="1099"/>
      <c r="O489" s="1099"/>
      <c r="P489" s="1099"/>
      <c r="Q489" s="1099"/>
      <c r="R489" s="1099"/>
      <c r="S489" s="1099"/>
      <c r="T489" s="580"/>
      <c r="U489" s="580"/>
      <c r="V489" s="581"/>
    </row>
    <row r="490" spans="2:22" ht="21.95" hidden="1" customHeight="1" x14ac:dyDescent="0.3">
      <c r="B490" s="296">
        <v>9</v>
      </c>
      <c r="C490" s="297">
        <v>82</v>
      </c>
      <c r="D490" s="297">
        <v>82</v>
      </c>
      <c r="E490" s="297">
        <v>82</v>
      </c>
      <c r="F490" s="310"/>
      <c r="G490" s="311"/>
      <c r="H490" s="312"/>
      <c r="I490" s="313" t="s">
        <v>262</v>
      </c>
      <c r="J490" s="314">
        <v>0.55000000000000004</v>
      </c>
      <c r="K490" s="314">
        <v>0.6</v>
      </c>
      <c r="L490" s="314">
        <v>0.65</v>
      </c>
      <c r="M490" s="314">
        <v>0.7</v>
      </c>
      <c r="N490" s="314">
        <v>0.75</v>
      </c>
      <c r="O490" s="314">
        <v>0.8</v>
      </c>
      <c r="P490" s="314">
        <v>0.85</v>
      </c>
      <c r="Q490" s="314">
        <v>0.9</v>
      </c>
      <c r="R490" s="314" t="s">
        <v>263</v>
      </c>
      <c r="V490" s="511"/>
    </row>
    <row r="491" spans="2:22" ht="21.95" hidden="1" customHeight="1" x14ac:dyDescent="0.3">
      <c r="B491" s="296">
        <v>8.875</v>
      </c>
      <c r="C491" s="297">
        <v>82</v>
      </c>
      <c r="D491" s="297">
        <v>82</v>
      </c>
      <c r="E491" s="297">
        <v>82</v>
      </c>
      <c r="F491" s="872" t="s">
        <v>291</v>
      </c>
      <c r="G491" s="873"/>
      <c r="H491" s="874"/>
      <c r="I491" s="319">
        <v>0.875</v>
      </c>
      <c r="J491" s="315">
        <v>0.75</v>
      </c>
      <c r="K491" s="315">
        <v>0.75</v>
      </c>
      <c r="L491" s="315">
        <v>0.375</v>
      </c>
      <c r="M491" s="319">
        <v>0.25</v>
      </c>
      <c r="N491" s="315">
        <v>0</v>
      </c>
      <c r="O491" s="348">
        <v>-0.125</v>
      </c>
      <c r="P491" s="335" t="s">
        <v>77</v>
      </c>
      <c r="Q491" s="335" t="s">
        <v>77</v>
      </c>
      <c r="R491" s="335" t="s">
        <v>77</v>
      </c>
      <c r="S491" s="317"/>
      <c r="V491" s="511"/>
    </row>
    <row r="492" spans="2:22" ht="21.95" hidden="1" customHeight="1" x14ac:dyDescent="0.3">
      <c r="B492" s="296">
        <v>8.75</v>
      </c>
      <c r="C492" s="297">
        <v>82</v>
      </c>
      <c r="D492" s="297">
        <v>82</v>
      </c>
      <c r="E492" s="297">
        <v>82</v>
      </c>
      <c r="F492" s="872" t="s">
        <v>124</v>
      </c>
      <c r="G492" s="873"/>
      <c r="H492" s="874"/>
      <c r="I492" s="318">
        <v>0.625</v>
      </c>
      <c r="J492" s="318">
        <v>0.5</v>
      </c>
      <c r="K492" s="318">
        <v>0.5</v>
      </c>
      <c r="L492" s="318">
        <v>0.125</v>
      </c>
      <c r="M492" s="318">
        <v>0</v>
      </c>
      <c r="N492" s="318">
        <v>-0.25</v>
      </c>
      <c r="O492" s="349">
        <v>-0.5</v>
      </c>
      <c r="P492" s="335" t="s">
        <v>77</v>
      </c>
      <c r="Q492" s="335" t="s">
        <v>77</v>
      </c>
      <c r="R492" s="335" t="s">
        <v>77</v>
      </c>
      <c r="V492" s="511"/>
    </row>
    <row r="493" spans="2:22" ht="21.95" hidden="1" customHeight="1" x14ac:dyDescent="0.3">
      <c r="B493" s="296">
        <v>8.625</v>
      </c>
      <c r="C493" s="297">
        <v>82</v>
      </c>
      <c r="D493" s="297">
        <v>82</v>
      </c>
      <c r="E493" s="297">
        <v>82</v>
      </c>
      <c r="F493" s="872" t="s">
        <v>46</v>
      </c>
      <c r="G493" s="873"/>
      <c r="H493" s="874"/>
      <c r="I493" s="336">
        <v>0.5</v>
      </c>
      <c r="J493" s="336">
        <v>0.375</v>
      </c>
      <c r="K493" s="336">
        <v>0.375</v>
      </c>
      <c r="L493" s="336">
        <v>0</v>
      </c>
      <c r="M493" s="336">
        <v>-0.125</v>
      </c>
      <c r="N493" s="336">
        <v>-0.25</v>
      </c>
      <c r="O493" s="350">
        <v>-0.75</v>
      </c>
      <c r="P493" s="335" t="s">
        <v>77</v>
      </c>
      <c r="Q493" s="335" t="s">
        <v>77</v>
      </c>
      <c r="R493" s="335" t="s">
        <v>77</v>
      </c>
      <c r="V493" s="511"/>
    </row>
    <row r="494" spans="2:22" ht="21.95" hidden="1" customHeight="1" x14ac:dyDescent="0.3">
      <c r="B494" s="296">
        <v>8.5</v>
      </c>
      <c r="C494" s="297">
        <v>82</v>
      </c>
      <c r="D494" s="297">
        <v>82</v>
      </c>
      <c r="E494" s="297">
        <v>82</v>
      </c>
      <c r="F494" s="872" t="s">
        <v>16</v>
      </c>
      <c r="G494" s="873"/>
      <c r="H494" s="874"/>
      <c r="I494" s="318">
        <v>0.25</v>
      </c>
      <c r="J494" s="318">
        <v>0.125</v>
      </c>
      <c r="K494" s="318">
        <v>0.125</v>
      </c>
      <c r="L494" s="318">
        <v>-0.25</v>
      </c>
      <c r="M494" s="318">
        <v>-0.25</v>
      </c>
      <c r="N494" s="318">
        <v>-0.75</v>
      </c>
      <c r="O494" s="349">
        <v>-1</v>
      </c>
      <c r="P494" s="335" t="s">
        <v>77</v>
      </c>
      <c r="Q494" s="335" t="s">
        <v>77</v>
      </c>
      <c r="R494" s="335" t="s">
        <v>77</v>
      </c>
      <c r="V494" s="511"/>
    </row>
    <row r="495" spans="2:22" ht="21.95" hidden="1" customHeight="1" x14ac:dyDescent="0.3">
      <c r="B495" s="296">
        <v>8.375</v>
      </c>
      <c r="C495" s="297">
        <v>82</v>
      </c>
      <c r="D495" s="297">
        <v>82</v>
      </c>
      <c r="E495" s="297">
        <v>82</v>
      </c>
      <c r="F495" s="872" t="s">
        <v>17</v>
      </c>
      <c r="G495" s="873"/>
      <c r="H495" s="874"/>
      <c r="I495" s="319">
        <v>0</v>
      </c>
      <c r="J495" s="319">
        <v>0</v>
      </c>
      <c r="K495" s="319">
        <v>-0.125</v>
      </c>
      <c r="L495" s="319">
        <v>-0.625</v>
      </c>
      <c r="M495" s="319">
        <v>-0.875</v>
      </c>
      <c r="N495" s="319">
        <v>-1.25</v>
      </c>
      <c r="O495" s="335" t="s">
        <v>77</v>
      </c>
      <c r="P495" s="335" t="s">
        <v>77</v>
      </c>
      <c r="Q495" s="335" t="s">
        <v>77</v>
      </c>
      <c r="R495" s="335" t="s">
        <v>77</v>
      </c>
      <c r="V495" s="511"/>
    </row>
    <row r="496" spans="2:22" ht="21.95" hidden="1" customHeight="1" x14ac:dyDescent="0.3">
      <c r="B496" s="296">
        <v>8.25</v>
      </c>
      <c r="C496" s="297">
        <v>82</v>
      </c>
      <c r="D496" s="297">
        <v>82</v>
      </c>
      <c r="E496" s="297">
        <v>82</v>
      </c>
      <c r="F496" s="872" t="s">
        <v>18</v>
      </c>
      <c r="G496" s="873"/>
      <c r="H496" s="874"/>
      <c r="I496" s="318">
        <v>-0.25</v>
      </c>
      <c r="J496" s="318">
        <v>-0.375</v>
      </c>
      <c r="K496" s="318">
        <v>-0.375</v>
      </c>
      <c r="L496" s="318">
        <v>-0.75</v>
      </c>
      <c r="M496" s="318">
        <v>-1.125</v>
      </c>
      <c r="N496" s="318">
        <v>-1.375</v>
      </c>
      <c r="O496" s="335" t="s">
        <v>77</v>
      </c>
      <c r="P496" s="335" t="s">
        <v>77</v>
      </c>
      <c r="Q496" s="335" t="s">
        <v>77</v>
      </c>
      <c r="R496" s="335" t="s">
        <v>77</v>
      </c>
      <c r="V496" s="511"/>
    </row>
    <row r="497" spans="2:22" ht="21.95" hidden="1" customHeight="1" x14ac:dyDescent="0.3">
      <c r="B497" s="296">
        <v>8.125</v>
      </c>
      <c r="C497" s="297">
        <v>82</v>
      </c>
      <c r="D497" s="297">
        <v>82</v>
      </c>
      <c r="E497" s="297">
        <v>82</v>
      </c>
      <c r="F497" s="872" t="s">
        <v>19</v>
      </c>
      <c r="G497" s="873"/>
      <c r="H497" s="874"/>
      <c r="I497" s="351">
        <v>-1.25</v>
      </c>
      <c r="J497" s="351">
        <v>-1.25</v>
      </c>
      <c r="K497" s="351">
        <v>-1.25</v>
      </c>
      <c r="L497" s="351">
        <v>-1.5</v>
      </c>
      <c r="M497" s="351">
        <v>-1.875</v>
      </c>
      <c r="N497" s="335" t="s">
        <v>77</v>
      </c>
      <c r="O497" s="335" t="s">
        <v>77</v>
      </c>
      <c r="P497" s="335" t="s">
        <v>77</v>
      </c>
      <c r="Q497" s="335" t="s">
        <v>77</v>
      </c>
      <c r="R497" s="335" t="s">
        <v>77</v>
      </c>
      <c r="V497" s="511"/>
    </row>
    <row r="498" spans="2:22" ht="21.95" hidden="1" customHeight="1" x14ac:dyDescent="0.3">
      <c r="B498" s="296">
        <v>8</v>
      </c>
      <c r="C498" s="297">
        <v>82</v>
      </c>
      <c r="D498" s="297">
        <v>82</v>
      </c>
      <c r="E498" s="297">
        <v>82</v>
      </c>
      <c r="F498" s="872" t="s">
        <v>50</v>
      </c>
      <c r="G498" s="873"/>
      <c r="H498" s="874"/>
      <c r="I498" s="319">
        <v>-0.25</v>
      </c>
      <c r="J498" s="315">
        <v>-0.25</v>
      </c>
      <c r="K498" s="315">
        <v>-0.25</v>
      </c>
      <c r="L498" s="315">
        <v>-0.5</v>
      </c>
      <c r="M498" s="319">
        <v>-0.5</v>
      </c>
      <c r="N498" s="315">
        <v>-0.5</v>
      </c>
      <c r="O498" s="335" t="s">
        <v>77</v>
      </c>
      <c r="P498" s="335" t="s">
        <v>77</v>
      </c>
      <c r="Q498" s="335" t="s">
        <v>77</v>
      </c>
      <c r="R498" s="335" t="s">
        <v>77</v>
      </c>
      <c r="V498" s="511"/>
    </row>
    <row r="499" spans="2:22" ht="21.95" hidden="1" customHeight="1" x14ac:dyDescent="0.3">
      <c r="B499" s="296">
        <v>7.875</v>
      </c>
      <c r="C499" s="297">
        <v>82</v>
      </c>
      <c r="D499" s="297">
        <v>82</v>
      </c>
      <c r="E499" s="297">
        <v>82</v>
      </c>
      <c r="F499" s="872" t="s">
        <v>292</v>
      </c>
      <c r="G499" s="873"/>
      <c r="H499" s="874"/>
      <c r="I499" s="318">
        <v>0.25</v>
      </c>
      <c r="J499" s="318">
        <v>0.25</v>
      </c>
      <c r="K499" s="318">
        <v>0.25</v>
      </c>
      <c r="L499" s="318">
        <v>0.25</v>
      </c>
      <c r="M499" s="318">
        <v>0.25</v>
      </c>
      <c r="N499" s="318">
        <v>0.25</v>
      </c>
      <c r="O499" s="349">
        <v>0.25</v>
      </c>
      <c r="P499" s="335" t="s">
        <v>77</v>
      </c>
      <c r="Q499" s="335" t="s">
        <v>77</v>
      </c>
      <c r="R499" s="335" t="s">
        <v>77</v>
      </c>
      <c r="V499" s="511"/>
    </row>
    <row r="500" spans="2:22" ht="21.95" hidden="1" customHeight="1" x14ac:dyDescent="0.3">
      <c r="B500" s="296">
        <v>7.75</v>
      </c>
      <c r="C500" s="297">
        <v>82</v>
      </c>
      <c r="D500" s="297">
        <v>82</v>
      </c>
      <c r="E500" s="297">
        <v>82</v>
      </c>
      <c r="F500" s="872" t="s">
        <v>293</v>
      </c>
      <c r="G500" s="873"/>
      <c r="H500" s="874"/>
      <c r="I500" s="315">
        <v>-0.625</v>
      </c>
      <c r="J500" s="315">
        <v>-0.625</v>
      </c>
      <c r="K500" s="315">
        <v>-0.625</v>
      </c>
      <c r="L500" s="315">
        <v>-0.625</v>
      </c>
      <c r="M500" s="315">
        <v>-0.625</v>
      </c>
      <c r="N500" s="315">
        <v>-0.625</v>
      </c>
      <c r="O500" s="335" t="s">
        <v>77</v>
      </c>
      <c r="P500" s="335" t="s">
        <v>77</v>
      </c>
      <c r="Q500" s="335" t="s">
        <v>77</v>
      </c>
      <c r="R500" s="335" t="s">
        <v>77</v>
      </c>
      <c r="V500" s="511"/>
    </row>
    <row r="501" spans="2:22" ht="21.95" hidden="1" customHeight="1" x14ac:dyDescent="0.3">
      <c r="B501" s="296">
        <v>7.625</v>
      </c>
      <c r="C501" s="297">
        <v>82</v>
      </c>
      <c r="D501" s="297">
        <v>82</v>
      </c>
      <c r="E501" s="297">
        <v>82</v>
      </c>
      <c r="F501" s="872" t="s">
        <v>294</v>
      </c>
      <c r="G501" s="873"/>
      <c r="H501" s="874"/>
      <c r="I501" s="335" t="s">
        <v>77</v>
      </c>
      <c r="J501" s="335" t="s">
        <v>77</v>
      </c>
      <c r="K501" s="335" t="s">
        <v>77</v>
      </c>
      <c r="L501" s="335" t="s">
        <v>77</v>
      </c>
      <c r="M501" s="335" t="s">
        <v>77</v>
      </c>
      <c r="N501" s="335" t="s">
        <v>77</v>
      </c>
      <c r="O501" s="335" t="s">
        <v>77</v>
      </c>
      <c r="P501" s="335" t="s">
        <v>77</v>
      </c>
      <c r="Q501" s="335" t="s">
        <v>77</v>
      </c>
      <c r="R501" s="335" t="s">
        <v>77</v>
      </c>
      <c r="V501" s="511"/>
    </row>
    <row r="502" spans="2:22" ht="21.95" hidden="1" customHeight="1" x14ac:dyDescent="0.3">
      <c r="B502" s="296">
        <v>7.5</v>
      </c>
      <c r="C502" s="297">
        <v>82</v>
      </c>
      <c r="D502" s="297">
        <v>82</v>
      </c>
      <c r="E502" s="297">
        <v>82</v>
      </c>
      <c r="F502" s="872" t="s">
        <v>218</v>
      </c>
      <c r="G502" s="873"/>
      <c r="H502" s="874"/>
      <c r="I502" s="335" t="s">
        <v>77</v>
      </c>
      <c r="J502" s="335" t="s">
        <v>77</v>
      </c>
      <c r="K502" s="335" t="s">
        <v>77</v>
      </c>
      <c r="L502" s="335" t="s">
        <v>77</v>
      </c>
      <c r="M502" s="335" t="s">
        <v>77</v>
      </c>
      <c r="N502" s="335" t="s">
        <v>77</v>
      </c>
      <c r="O502" s="335" t="s">
        <v>77</v>
      </c>
      <c r="P502" s="335" t="s">
        <v>77</v>
      </c>
      <c r="Q502" s="335" t="s">
        <v>77</v>
      </c>
      <c r="R502" s="335" t="s">
        <v>77</v>
      </c>
      <c r="V502" s="511"/>
    </row>
    <row r="503" spans="2:22" ht="21.95" hidden="1" customHeight="1" x14ac:dyDescent="0.3">
      <c r="B503" s="296">
        <v>7.375</v>
      </c>
      <c r="C503" s="297">
        <v>82</v>
      </c>
      <c r="D503" s="297">
        <v>82</v>
      </c>
      <c r="E503" s="297">
        <v>82</v>
      </c>
      <c r="F503" s="872" t="s">
        <v>272</v>
      </c>
      <c r="G503" s="873"/>
      <c r="H503" s="874"/>
      <c r="I503" s="318">
        <v>-0.125</v>
      </c>
      <c r="J503" s="318">
        <v>-0.125</v>
      </c>
      <c r="K503" s="318">
        <v>-0.125</v>
      </c>
      <c r="L503" s="318">
        <v>-0.125</v>
      </c>
      <c r="M503" s="318">
        <v>-0.125</v>
      </c>
      <c r="N503" s="318">
        <v>-0.125</v>
      </c>
      <c r="O503" s="335" t="s">
        <v>77</v>
      </c>
      <c r="P503" s="335" t="s">
        <v>77</v>
      </c>
      <c r="Q503" s="335" t="s">
        <v>77</v>
      </c>
      <c r="R503" s="335" t="s">
        <v>77</v>
      </c>
      <c r="V503" s="511"/>
    </row>
    <row r="504" spans="2:22" ht="21.95" hidden="1" customHeight="1" x14ac:dyDescent="0.3">
      <c r="B504" s="296"/>
      <c r="C504" s="357"/>
      <c r="D504" s="357"/>
      <c r="E504" s="357"/>
      <c r="F504" s="872" t="s">
        <v>273</v>
      </c>
      <c r="G504" s="873"/>
      <c r="H504" s="874"/>
      <c r="I504" s="315">
        <v>-0.375</v>
      </c>
      <c r="J504" s="315">
        <v>-0.375</v>
      </c>
      <c r="K504" s="315">
        <v>-0.375</v>
      </c>
      <c r="L504" s="315">
        <v>-0.375</v>
      </c>
      <c r="M504" s="315">
        <v>-0.375</v>
      </c>
      <c r="N504" s="315">
        <v>-0.375</v>
      </c>
      <c r="O504" s="335" t="s">
        <v>77</v>
      </c>
      <c r="P504" s="335" t="s">
        <v>77</v>
      </c>
      <c r="Q504" s="335" t="s">
        <v>77</v>
      </c>
      <c r="R504" s="335" t="s">
        <v>77</v>
      </c>
      <c r="V504" s="511"/>
    </row>
    <row r="505" spans="2:22" ht="21.95" hidden="1" customHeight="1" x14ac:dyDescent="0.3">
      <c r="B505" s="296"/>
      <c r="C505" s="357"/>
      <c r="D505" s="357"/>
      <c r="E505" s="357"/>
      <c r="F505" s="872" t="s">
        <v>242</v>
      </c>
      <c r="G505" s="873"/>
      <c r="H505" s="874"/>
      <c r="I505" s="318">
        <v>-0.375</v>
      </c>
      <c r="J505" s="318">
        <v>-0.375</v>
      </c>
      <c r="K505" s="318">
        <v>-0.375</v>
      </c>
      <c r="L505" s="318">
        <v>-0.375</v>
      </c>
      <c r="M505" s="318">
        <v>-0.375</v>
      </c>
      <c r="N505" s="335" t="s">
        <v>77</v>
      </c>
      <c r="O505" s="335" t="s">
        <v>77</v>
      </c>
      <c r="P505" s="335" t="s">
        <v>77</v>
      </c>
      <c r="Q505" s="335" t="s">
        <v>77</v>
      </c>
      <c r="R505" s="335" t="s">
        <v>77</v>
      </c>
      <c r="V505" s="511"/>
    </row>
    <row r="506" spans="2:22" ht="21.95" hidden="1" customHeight="1" x14ac:dyDescent="0.25">
      <c r="B506" s="100"/>
      <c r="C506" s="74"/>
      <c r="D506" s="74"/>
      <c r="E506" s="74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90"/>
      <c r="Q506" s="190"/>
      <c r="R506" s="1037" t="s">
        <v>90</v>
      </c>
      <c r="S506" s="1037"/>
      <c r="T506" s="190"/>
      <c r="U506" s="190"/>
      <c r="V506" s="191"/>
    </row>
    <row r="507" spans="2:22" ht="21.95" hidden="1" customHeight="1" x14ac:dyDescent="0.25">
      <c r="B507" s="131"/>
      <c r="C507" s="80"/>
      <c r="D507" s="80"/>
      <c r="E507" s="81"/>
      <c r="F507" s="193"/>
      <c r="G507" s="193"/>
      <c r="H507" s="1083"/>
      <c r="I507" s="1083"/>
      <c r="J507" s="1083"/>
      <c r="K507" s="1083"/>
      <c r="L507" s="194"/>
      <c r="M507" s="195"/>
      <c r="N507" s="195"/>
      <c r="O507" s="195"/>
      <c r="P507" s="195"/>
      <c r="Q507" s="195"/>
      <c r="R507" s="1036" t="s">
        <v>91</v>
      </c>
      <c r="S507" s="1036"/>
      <c r="T507" s="210">
        <v>1595</v>
      </c>
      <c r="U507" s="500"/>
      <c r="V507" s="196"/>
    </row>
    <row r="508" spans="2:22" ht="21.95" hidden="1" customHeight="1" x14ac:dyDescent="0.25">
      <c r="B508" s="135"/>
      <c r="C508" s="80"/>
      <c r="D508" s="80"/>
      <c r="E508" s="81"/>
      <c r="F508" s="523"/>
      <c r="G508" s="523"/>
      <c r="H508" s="523"/>
      <c r="I508" s="197"/>
      <c r="J508" s="198"/>
      <c r="K508" s="198"/>
      <c r="L508" s="500"/>
      <c r="M508" s="500"/>
      <c r="N508" s="500"/>
      <c r="O508" s="500"/>
      <c r="P508" s="500"/>
      <c r="Q508" s="84"/>
      <c r="R508" s="1020" t="s">
        <v>156</v>
      </c>
      <c r="S508" s="1020"/>
      <c r="T508" s="201">
        <v>700</v>
      </c>
      <c r="U508" s="192"/>
      <c r="V508" s="199"/>
    </row>
    <row r="509" spans="2:22" ht="21.95" hidden="1" customHeight="1" x14ac:dyDescent="0.25">
      <c r="B509" s="135"/>
      <c r="C509" s="80"/>
      <c r="D509" s="80"/>
      <c r="E509" s="81"/>
      <c r="F509" s="523"/>
      <c r="G509" s="523"/>
      <c r="H509" s="523"/>
      <c r="I509" s="197"/>
      <c r="J509" s="500"/>
      <c r="K509" s="500"/>
      <c r="L509" s="500"/>
      <c r="M509" s="500"/>
      <c r="N509" s="500"/>
      <c r="O509" s="500"/>
      <c r="P509" s="500"/>
      <c r="Q509" s="84"/>
      <c r="R509" s="209"/>
      <c r="S509" s="200" t="s">
        <v>157</v>
      </c>
      <c r="T509" s="201">
        <v>295</v>
      </c>
      <c r="U509" s="192"/>
      <c r="V509" s="202"/>
    </row>
    <row r="510" spans="2:22" ht="21.95" hidden="1" customHeight="1" x14ac:dyDescent="0.25">
      <c r="B510" s="135"/>
      <c r="C510" s="80"/>
      <c r="D510" s="80"/>
      <c r="E510" s="81"/>
      <c r="F510" s="523"/>
      <c r="G510" s="523"/>
      <c r="H510" s="523"/>
      <c r="I510" s="197"/>
      <c r="J510" s="203"/>
      <c r="K510" s="203"/>
      <c r="L510" s="195"/>
      <c r="M510" s="195"/>
      <c r="N510" s="195"/>
      <c r="O510" s="195"/>
      <c r="P510" s="195"/>
      <c r="Q510" s="1020" t="s">
        <v>158</v>
      </c>
      <c r="R510" s="1020"/>
      <c r="S510" s="1020"/>
      <c r="T510" s="201">
        <v>0</v>
      </c>
      <c r="U510" s="192"/>
      <c r="V510" s="199"/>
    </row>
    <row r="511" spans="2:22" ht="21.95" hidden="1" customHeight="1" x14ac:dyDescent="0.25">
      <c r="B511" s="135"/>
      <c r="C511" s="524"/>
      <c r="D511" s="524"/>
      <c r="E511" s="81"/>
      <c r="F511" s="523"/>
      <c r="G511" s="523"/>
      <c r="H511" s="523"/>
      <c r="I511" s="197"/>
      <c r="J511" s="203"/>
      <c r="K511" s="203"/>
      <c r="L511" s="195"/>
      <c r="M511" s="195"/>
      <c r="N511" s="195"/>
      <c r="O511" s="195"/>
      <c r="P511" s="195"/>
      <c r="Q511" s="195"/>
      <c r="R511" s="195"/>
      <c r="S511" s="192"/>
      <c r="T511" s="192"/>
      <c r="U511" s="192"/>
      <c r="V511" s="199"/>
    </row>
    <row r="512" spans="2:22" ht="21.95" hidden="1" customHeight="1" thickBot="1" x14ac:dyDescent="0.25">
      <c r="B512" s="204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6"/>
    </row>
    <row r="513" spans="2:26" s="651" customFormat="1" ht="21.95" customHeight="1" x14ac:dyDescent="0.3">
      <c r="B513" s="655" t="s">
        <v>66</v>
      </c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1023"/>
      <c r="Y513" s="1023"/>
      <c r="Z513" s="1024"/>
    </row>
    <row r="514" spans="2:26" s="651" customFormat="1" ht="21.95" customHeight="1" x14ac:dyDescent="0.3">
      <c r="B514" s="657" t="s">
        <v>68</v>
      </c>
      <c r="C514" s="658"/>
      <c r="D514" s="658"/>
      <c r="E514" s="658"/>
      <c r="F514" s="658"/>
      <c r="G514" s="658"/>
      <c r="H514" s="658"/>
      <c r="I514" s="658"/>
      <c r="J514" s="658"/>
      <c r="K514" s="658"/>
      <c r="L514" s="658"/>
      <c r="M514" s="658"/>
      <c r="N514" s="658"/>
      <c r="O514" s="658"/>
      <c r="P514" s="658"/>
      <c r="Q514" s="658"/>
      <c r="R514" s="658"/>
      <c r="S514" s="658"/>
      <c r="T514" s="658"/>
      <c r="U514" s="658"/>
      <c r="V514" s="658"/>
      <c r="W514" s="934"/>
      <c r="X514" s="934"/>
      <c r="Y514" s="1034"/>
      <c r="Z514" s="1035"/>
    </row>
    <row r="515" spans="2:26" s="651" customFormat="1" ht="21.95" customHeight="1" x14ac:dyDescent="0.3">
      <c r="B515" s="657" t="s">
        <v>69</v>
      </c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60"/>
    </row>
    <row r="516" spans="2:26" s="651" customFormat="1" ht="21.95" customHeight="1" x14ac:dyDescent="0.3">
      <c r="B516" s="661" t="s">
        <v>72</v>
      </c>
      <c r="C516" s="658"/>
      <c r="D516" s="658"/>
      <c r="E516" s="658"/>
      <c r="F516" s="658"/>
      <c r="G516" s="662"/>
      <c r="H516" s="662"/>
      <c r="I516" s="662"/>
      <c r="J516" s="662"/>
      <c r="K516" s="662"/>
      <c r="L516" s="662"/>
      <c r="M516" s="662"/>
      <c r="N516" s="662"/>
      <c r="O516" s="662"/>
      <c r="P516" s="662"/>
      <c r="Q516" s="662"/>
      <c r="R516" s="662"/>
      <c r="S516" s="662"/>
      <c r="T516" s="662"/>
      <c r="U516" s="662"/>
      <c r="V516" s="662"/>
      <c r="W516" s="663"/>
      <c r="X516" s="658"/>
      <c r="Y516" s="658"/>
      <c r="Z516" s="660"/>
    </row>
    <row r="517" spans="2:26" s="651" customFormat="1" ht="21.95" customHeight="1" x14ac:dyDescent="0.3">
      <c r="B517" s="657"/>
      <c r="C517" s="658"/>
      <c r="D517" s="658"/>
      <c r="E517" s="658"/>
      <c r="F517" s="658"/>
      <c r="G517" s="658"/>
      <c r="H517" s="664"/>
      <c r="I517" s="664"/>
      <c r="J517" s="664"/>
      <c r="K517" s="664"/>
      <c r="L517" s="658"/>
      <c r="M517" s="664"/>
      <c r="N517" s="664"/>
      <c r="O517" s="664"/>
      <c r="P517" s="664"/>
      <c r="Q517" s="664"/>
      <c r="R517" s="664"/>
      <c r="S517" s="664"/>
      <c r="T517" s="664"/>
      <c r="U517" s="664"/>
      <c r="V517" s="664"/>
      <c r="W517" s="658"/>
      <c r="X517" s="663"/>
      <c r="Y517" s="663"/>
      <c r="Z517" s="660"/>
    </row>
    <row r="518" spans="2:26" s="651" customFormat="1" ht="21.95" customHeight="1" x14ac:dyDescent="0.3">
      <c r="B518" s="657" t="s">
        <v>73</v>
      </c>
      <c r="C518" s="659"/>
      <c r="D518" s="659"/>
      <c r="E518" s="659"/>
      <c r="F518" s="659"/>
      <c r="G518" s="659"/>
      <c r="H518" s="659"/>
      <c r="I518" s="659"/>
      <c r="J518" s="659"/>
      <c r="K518" s="659"/>
      <c r="L518" s="659"/>
      <c r="M518" s="659"/>
      <c r="N518" s="659"/>
      <c r="O518" s="659"/>
      <c r="P518" s="659"/>
      <c r="Q518" s="659"/>
      <c r="R518" s="659"/>
      <c r="S518" s="659"/>
      <c r="T518" s="659"/>
      <c r="U518" s="659"/>
      <c r="V518" s="659"/>
      <c r="W518" s="663"/>
      <c r="X518" s="658"/>
      <c r="Y518" s="658"/>
      <c r="Z518" s="665"/>
    </row>
    <row r="519" spans="2:26" ht="21.95" customHeight="1" x14ac:dyDescent="0.2">
      <c r="B519" s="509"/>
      <c r="C519" s="500"/>
      <c r="D519" s="500"/>
      <c r="E519" s="500"/>
      <c r="F519" s="500"/>
      <c r="G519" s="500"/>
      <c r="H519" s="500"/>
      <c r="I519" s="500"/>
      <c r="J519" s="500"/>
      <c r="K519" s="500"/>
      <c r="L519" s="500"/>
      <c r="M519" s="500"/>
      <c r="N519" s="500"/>
      <c r="O519" s="500"/>
      <c r="P519" s="500"/>
      <c r="Q519" s="500"/>
      <c r="R519" s="500"/>
      <c r="S519" s="500"/>
      <c r="T519" s="500"/>
      <c r="U519" s="500"/>
    </row>
    <row r="520" spans="2:26" ht="21.95" customHeight="1" x14ac:dyDescent="0.2">
      <c r="B520" s="509"/>
      <c r="C520" s="500"/>
      <c r="D520" s="500"/>
      <c r="E520" s="500"/>
      <c r="F520" s="500"/>
      <c r="G520" s="500"/>
      <c r="H520" s="500"/>
      <c r="I520" s="500"/>
      <c r="J520" s="500"/>
      <c r="K520" s="500"/>
      <c r="L520" s="500"/>
      <c r="M520" s="500"/>
      <c r="N520" s="500"/>
      <c r="O520" s="500"/>
      <c r="P520" s="500"/>
      <c r="Q520" s="500"/>
      <c r="R520" s="500"/>
      <c r="S520" s="500"/>
      <c r="T520" s="500"/>
      <c r="U520" s="500"/>
    </row>
    <row r="521" spans="2:26" ht="21.95" customHeight="1" thickBot="1" x14ac:dyDescent="0.25">
      <c r="B521" s="969" t="s">
        <v>314</v>
      </c>
      <c r="C521" s="970"/>
      <c r="D521" s="970"/>
      <c r="E521" s="970"/>
      <c r="F521" s="970"/>
      <c r="G521" s="970"/>
      <c r="H521" s="970"/>
      <c r="I521" s="970"/>
      <c r="J521" s="970"/>
      <c r="K521" s="970"/>
      <c r="L521" s="970"/>
      <c r="M521" s="970"/>
      <c r="N521" s="970"/>
      <c r="O521" s="970"/>
      <c r="P521" s="970"/>
      <c r="Q521" s="970"/>
      <c r="R521" s="970"/>
      <c r="S521" s="970"/>
      <c r="T521" s="970"/>
      <c r="U521" s="970"/>
      <c r="V521" s="971"/>
    </row>
    <row r="522" spans="2:26" ht="21.95" customHeight="1" x14ac:dyDescent="0.2">
      <c r="B522" s="793" t="s">
        <v>315</v>
      </c>
      <c r="C522" s="794"/>
      <c r="D522" s="794"/>
      <c r="E522" s="794"/>
      <c r="F522" s="794"/>
      <c r="G522" s="794"/>
      <c r="H522" s="910"/>
      <c r="I522" s="793" t="s">
        <v>316</v>
      </c>
      <c r="J522" s="794"/>
      <c r="K522" s="794"/>
      <c r="L522" s="794"/>
      <c r="M522" s="794"/>
      <c r="N522" s="794"/>
      <c r="O522" s="910"/>
      <c r="P522" s="793" t="s">
        <v>317</v>
      </c>
      <c r="Q522" s="794"/>
      <c r="R522" s="794"/>
      <c r="S522" s="794"/>
      <c r="T522" s="794"/>
      <c r="U522" s="794"/>
      <c r="V522" s="910"/>
    </row>
    <row r="523" spans="2:26" s="445" customFormat="1" ht="21.95" customHeight="1" x14ac:dyDescent="0.2">
      <c r="B523" s="352" t="s">
        <v>4</v>
      </c>
      <c r="C523" s="353" t="s">
        <v>434</v>
      </c>
      <c r="D523" s="353" t="s">
        <v>5</v>
      </c>
      <c r="E523" s="353" t="s">
        <v>6</v>
      </c>
      <c r="F523" s="353" t="s">
        <v>75</v>
      </c>
      <c r="G523" s="353" t="s">
        <v>302</v>
      </c>
      <c r="H523" s="354" t="s">
        <v>303</v>
      </c>
      <c r="I523" s="352" t="s">
        <v>4</v>
      </c>
      <c r="J523" s="356" t="s">
        <v>434</v>
      </c>
      <c r="K523" s="356" t="s">
        <v>5</v>
      </c>
      <c r="L523" s="356" t="s">
        <v>6</v>
      </c>
      <c r="M523" s="356" t="s">
        <v>75</v>
      </c>
      <c r="N523" s="356" t="s">
        <v>302</v>
      </c>
      <c r="O523" s="354" t="s">
        <v>303</v>
      </c>
      <c r="P523" s="352" t="s">
        <v>4</v>
      </c>
      <c r="Q523" s="353" t="s">
        <v>434</v>
      </c>
      <c r="R523" s="353" t="s">
        <v>5</v>
      </c>
      <c r="S523" s="353" t="s">
        <v>6</v>
      </c>
      <c r="T523" s="353" t="s">
        <v>75</v>
      </c>
      <c r="U523" s="353" t="s">
        <v>302</v>
      </c>
      <c r="V523" s="354" t="s">
        <v>303</v>
      </c>
    </row>
    <row r="524" spans="2:26" s="445" customFormat="1" ht="21.95" customHeight="1" x14ac:dyDescent="0.2">
      <c r="B524" s="26">
        <v>4.75</v>
      </c>
      <c r="C524" s="20">
        <v>85</v>
      </c>
      <c r="D524" s="20">
        <f>C524</f>
        <v>85</v>
      </c>
      <c r="E524" s="20">
        <f t="shared" ref="E524:E531" si="130">D524</f>
        <v>85</v>
      </c>
      <c r="F524" s="20">
        <f t="shared" ref="F524:F531" si="131">E524</f>
        <v>85</v>
      </c>
      <c r="G524" s="20">
        <f t="shared" ref="G524:G531" si="132">F524</f>
        <v>85</v>
      </c>
      <c r="H524" s="20">
        <f t="shared" ref="H524:H531" si="133">G524</f>
        <v>85</v>
      </c>
      <c r="I524" s="26">
        <v>5.5</v>
      </c>
      <c r="J524" s="20">
        <v>85</v>
      </c>
      <c r="K524" s="20">
        <f>J524</f>
        <v>85</v>
      </c>
      <c r="L524" s="20">
        <f t="shared" ref="L524:L536" si="134">K524</f>
        <v>85</v>
      </c>
      <c r="M524" s="20">
        <f t="shared" ref="M524:M536" si="135">L524</f>
        <v>85</v>
      </c>
      <c r="N524" s="20">
        <f t="shared" ref="N524:N536" si="136">M524</f>
        <v>85</v>
      </c>
      <c r="O524" s="20">
        <f t="shared" ref="O524:O536" si="137">N524</f>
        <v>85</v>
      </c>
      <c r="P524" s="26">
        <v>5.875</v>
      </c>
      <c r="Q524" s="20">
        <v>85</v>
      </c>
      <c r="R524" s="20">
        <f>Q524</f>
        <v>85</v>
      </c>
      <c r="S524" s="20">
        <f t="shared" ref="S524:S533" si="138">R524</f>
        <v>85</v>
      </c>
      <c r="T524" s="20">
        <f t="shared" ref="T524:T533" si="139">S524</f>
        <v>85</v>
      </c>
      <c r="U524" s="20">
        <f t="shared" ref="U524:U533" si="140">T524</f>
        <v>85</v>
      </c>
      <c r="V524" s="50">
        <f t="shared" ref="V524:V533" si="141">U524</f>
        <v>85</v>
      </c>
    </row>
    <row r="525" spans="2:26" s="445" customFormat="1" ht="21.95" customHeight="1" x14ac:dyDescent="0.2">
      <c r="B525" s="26">
        <f>B524+0.125</f>
        <v>4.875</v>
      </c>
      <c r="C525" s="20">
        <v>85</v>
      </c>
      <c r="D525" s="20">
        <f t="shared" ref="D525:D531" si="142">C525</f>
        <v>85</v>
      </c>
      <c r="E525" s="20">
        <f t="shared" si="130"/>
        <v>85</v>
      </c>
      <c r="F525" s="20">
        <f t="shared" si="131"/>
        <v>85</v>
      </c>
      <c r="G525" s="20">
        <f t="shared" si="132"/>
        <v>85</v>
      </c>
      <c r="H525" s="20">
        <f t="shared" si="133"/>
        <v>85</v>
      </c>
      <c r="I525" s="26">
        <f>I524+0.125</f>
        <v>5.625</v>
      </c>
      <c r="J525" s="20">
        <v>85</v>
      </c>
      <c r="K525" s="20">
        <f t="shared" ref="K525:K536" si="143">J525</f>
        <v>85</v>
      </c>
      <c r="L525" s="20">
        <f t="shared" si="134"/>
        <v>85</v>
      </c>
      <c r="M525" s="20">
        <f t="shared" si="135"/>
        <v>85</v>
      </c>
      <c r="N525" s="20">
        <f t="shared" si="136"/>
        <v>85</v>
      </c>
      <c r="O525" s="20">
        <f t="shared" si="137"/>
        <v>85</v>
      </c>
      <c r="P525" s="26">
        <f>P524+0.125</f>
        <v>6</v>
      </c>
      <c r="Q525" s="20">
        <v>85</v>
      </c>
      <c r="R525" s="20">
        <f t="shared" ref="R525:R533" si="144">Q525</f>
        <v>85</v>
      </c>
      <c r="S525" s="20">
        <f t="shared" si="138"/>
        <v>85</v>
      </c>
      <c r="T525" s="20">
        <f t="shared" si="139"/>
        <v>85</v>
      </c>
      <c r="U525" s="20">
        <f t="shared" si="140"/>
        <v>85</v>
      </c>
      <c r="V525" s="50">
        <f t="shared" si="141"/>
        <v>85</v>
      </c>
    </row>
    <row r="526" spans="2:26" s="445" customFormat="1" ht="21.95" customHeight="1" x14ac:dyDescent="0.2">
      <c r="B526" s="26">
        <f t="shared" ref="B526:B537" si="145">B525+0.125</f>
        <v>5</v>
      </c>
      <c r="C526" s="20">
        <v>85</v>
      </c>
      <c r="D526" s="20">
        <f t="shared" si="142"/>
        <v>85</v>
      </c>
      <c r="E526" s="20">
        <f t="shared" si="130"/>
        <v>85</v>
      </c>
      <c r="F526" s="20">
        <f t="shared" si="131"/>
        <v>85</v>
      </c>
      <c r="G526" s="20">
        <f t="shared" si="132"/>
        <v>85</v>
      </c>
      <c r="H526" s="20">
        <f t="shared" si="133"/>
        <v>85</v>
      </c>
      <c r="I526" s="26">
        <f t="shared" ref="I526:I536" si="146">I525+0.125</f>
        <v>5.75</v>
      </c>
      <c r="J526" s="20">
        <v>85</v>
      </c>
      <c r="K526" s="20">
        <f t="shared" si="143"/>
        <v>85</v>
      </c>
      <c r="L526" s="20">
        <f t="shared" si="134"/>
        <v>85</v>
      </c>
      <c r="M526" s="20">
        <f t="shared" si="135"/>
        <v>85</v>
      </c>
      <c r="N526" s="20">
        <f t="shared" si="136"/>
        <v>85</v>
      </c>
      <c r="O526" s="20">
        <f t="shared" si="137"/>
        <v>85</v>
      </c>
      <c r="P526" s="26">
        <f t="shared" ref="P526:P534" si="147">P525+0.125</f>
        <v>6.125</v>
      </c>
      <c r="Q526" s="20">
        <v>85</v>
      </c>
      <c r="R526" s="20">
        <f t="shared" si="144"/>
        <v>85</v>
      </c>
      <c r="S526" s="20">
        <f t="shared" si="138"/>
        <v>85</v>
      </c>
      <c r="T526" s="20">
        <f t="shared" si="139"/>
        <v>85</v>
      </c>
      <c r="U526" s="20">
        <f t="shared" si="140"/>
        <v>85</v>
      </c>
      <c r="V526" s="50">
        <f t="shared" si="141"/>
        <v>85</v>
      </c>
    </row>
    <row r="527" spans="2:26" s="445" customFormat="1" ht="21.95" customHeight="1" x14ac:dyDescent="0.2">
      <c r="B527" s="26">
        <f t="shared" si="145"/>
        <v>5.125</v>
      </c>
      <c r="C527" s="20">
        <v>85</v>
      </c>
      <c r="D527" s="20">
        <f t="shared" si="142"/>
        <v>85</v>
      </c>
      <c r="E527" s="20">
        <f t="shared" si="130"/>
        <v>85</v>
      </c>
      <c r="F527" s="20">
        <f t="shared" si="131"/>
        <v>85</v>
      </c>
      <c r="G527" s="20">
        <f t="shared" si="132"/>
        <v>85</v>
      </c>
      <c r="H527" s="20">
        <f t="shared" si="133"/>
        <v>85</v>
      </c>
      <c r="I527" s="26">
        <f t="shared" si="146"/>
        <v>5.875</v>
      </c>
      <c r="J527" s="20">
        <v>85</v>
      </c>
      <c r="K527" s="20">
        <f t="shared" si="143"/>
        <v>85</v>
      </c>
      <c r="L527" s="20">
        <f t="shared" si="134"/>
        <v>85</v>
      </c>
      <c r="M527" s="20">
        <f t="shared" si="135"/>
        <v>85</v>
      </c>
      <c r="N527" s="20">
        <f t="shared" si="136"/>
        <v>85</v>
      </c>
      <c r="O527" s="20">
        <f t="shared" si="137"/>
        <v>85</v>
      </c>
      <c r="P527" s="26">
        <f t="shared" si="147"/>
        <v>6.25</v>
      </c>
      <c r="Q527" s="20">
        <v>85</v>
      </c>
      <c r="R527" s="20">
        <f t="shared" si="144"/>
        <v>85</v>
      </c>
      <c r="S527" s="20">
        <f t="shared" si="138"/>
        <v>85</v>
      </c>
      <c r="T527" s="20">
        <f t="shared" si="139"/>
        <v>85</v>
      </c>
      <c r="U527" s="20">
        <f t="shared" si="140"/>
        <v>85</v>
      </c>
      <c r="V527" s="50">
        <f t="shared" si="141"/>
        <v>85</v>
      </c>
    </row>
    <row r="528" spans="2:26" s="445" customFormat="1" ht="21.95" customHeight="1" x14ac:dyDescent="0.2">
      <c r="B528" s="26">
        <f t="shared" si="145"/>
        <v>5.25</v>
      </c>
      <c r="C528" s="20">
        <v>85</v>
      </c>
      <c r="D528" s="20">
        <f t="shared" si="142"/>
        <v>85</v>
      </c>
      <c r="E528" s="20">
        <f t="shared" si="130"/>
        <v>85</v>
      </c>
      <c r="F528" s="20">
        <f t="shared" si="131"/>
        <v>85</v>
      </c>
      <c r="G528" s="20">
        <f t="shared" si="132"/>
        <v>85</v>
      </c>
      <c r="H528" s="20">
        <f t="shared" si="133"/>
        <v>85</v>
      </c>
      <c r="I528" s="26">
        <f t="shared" si="146"/>
        <v>6</v>
      </c>
      <c r="J528" s="20">
        <v>85</v>
      </c>
      <c r="K528" s="20">
        <f t="shared" si="143"/>
        <v>85</v>
      </c>
      <c r="L528" s="20">
        <f t="shared" si="134"/>
        <v>85</v>
      </c>
      <c r="M528" s="20">
        <f t="shared" si="135"/>
        <v>85</v>
      </c>
      <c r="N528" s="20">
        <f t="shared" si="136"/>
        <v>85</v>
      </c>
      <c r="O528" s="20">
        <f t="shared" si="137"/>
        <v>85</v>
      </c>
      <c r="P528" s="26">
        <f t="shared" si="147"/>
        <v>6.375</v>
      </c>
      <c r="Q528" s="20">
        <v>85</v>
      </c>
      <c r="R528" s="20">
        <f t="shared" si="144"/>
        <v>85</v>
      </c>
      <c r="S528" s="20">
        <f t="shared" si="138"/>
        <v>85</v>
      </c>
      <c r="T528" s="20">
        <f t="shared" si="139"/>
        <v>85</v>
      </c>
      <c r="U528" s="20">
        <f t="shared" si="140"/>
        <v>85</v>
      </c>
      <c r="V528" s="50">
        <f t="shared" si="141"/>
        <v>85</v>
      </c>
    </row>
    <row r="529" spans="2:22" s="445" customFormat="1" ht="21.95" customHeight="1" x14ac:dyDescent="0.2">
      <c r="B529" s="26">
        <f t="shared" si="145"/>
        <v>5.375</v>
      </c>
      <c r="C529" s="20">
        <v>85</v>
      </c>
      <c r="D529" s="20">
        <f t="shared" si="142"/>
        <v>85</v>
      </c>
      <c r="E529" s="20">
        <f t="shared" si="130"/>
        <v>85</v>
      </c>
      <c r="F529" s="20">
        <f t="shared" si="131"/>
        <v>85</v>
      </c>
      <c r="G529" s="20">
        <f t="shared" si="132"/>
        <v>85</v>
      </c>
      <c r="H529" s="20">
        <f t="shared" si="133"/>
        <v>85</v>
      </c>
      <c r="I529" s="26">
        <f t="shared" si="146"/>
        <v>6.125</v>
      </c>
      <c r="J529" s="20">
        <v>85</v>
      </c>
      <c r="K529" s="20">
        <f t="shared" si="143"/>
        <v>85</v>
      </c>
      <c r="L529" s="20">
        <f t="shared" si="134"/>
        <v>85</v>
      </c>
      <c r="M529" s="20">
        <f t="shared" si="135"/>
        <v>85</v>
      </c>
      <c r="N529" s="20">
        <f t="shared" si="136"/>
        <v>85</v>
      </c>
      <c r="O529" s="20">
        <f t="shared" si="137"/>
        <v>85</v>
      </c>
      <c r="P529" s="26">
        <f t="shared" si="147"/>
        <v>6.5</v>
      </c>
      <c r="Q529" s="20">
        <v>85</v>
      </c>
      <c r="R529" s="20">
        <f t="shared" si="144"/>
        <v>85</v>
      </c>
      <c r="S529" s="20">
        <f t="shared" si="138"/>
        <v>85</v>
      </c>
      <c r="T529" s="20">
        <f t="shared" si="139"/>
        <v>85</v>
      </c>
      <c r="U529" s="20">
        <f t="shared" si="140"/>
        <v>85</v>
      </c>
      <c r="V529" s="50">
        <f t="shared" si="141"/>
        <v>85</v>
      </c>
    </row>
    <row r="530" spans="2:22" s="445" customFormat="1" ht="21.95" customHeight="1" x14ac:dyDescent="0.2">
      <c r="B530" s="26">
        <f t="shared" si="145"/>
        <v>5.5</v>
      </c>
      <c r="C530" s="20">
        <v>85</v>
      </c>
      <c r="D530" s="20">
        <f t="shared" si="142"/>
        <v>85</v>
      </c>
      <c r="E530" s="20">
        <f t="shared" si="130"/>
        <v>85</v>
      </c>
      <c r="F530" s="20">
        <f t="shared" si="131"/>
        <v>85</v>
      </c>
      <c r="G530" s="20">
        <f t="shared" si="132"/>
        <v>85</v>
      </c>
      <c r="H530" s="20">
        <f t="shared" si="133"/>
        <v>85</v>
      </c>
      <c r="I530" s="26">
        <f t="shared" si="146"/>
        <v>6.25</v>
      </c>
      <c r="J530" s="20">
        <v>85</v>
      </c>
      <c r="K530" s="20">
        <f t="shared" si="143"/>
        <v>85</v>
      </c>
      <c r="L530" s="20">
        <f t="shared" si="134"/>
        <v>85</v>
      </c>
      <c r="M530" s="20">
        <f t="shared" si="135"/>
        <v>85</v>
      </c>
      <c r="N530" s="20">
        <f t="shared" si="136"/>
        <v>85</v>
      </c>
      <c r="O530" s="20">
        <f t="shared" si="137"/>
        <v>85</v>
      </c>
      <c r="P530" s="26">
        <f t="shared" si="147"/>
        <v>6.625</v>
      </c>
      <c r="Q530" s="20">
        <v>85</v>
      </c>
      <c r="R530" s="20">
        <f t="shared" si="144"/>
        <v>85</v>
      </c>
      <c r="S530" s="20">
        <f t="shared" si="138"/>
        <v>85</v>
      </c>
      <c r="T530" s="20">
        <f t="shared" si="139"/>
        <v>85</v>
      </c>
      <c r="U530" s="20">
        <f t="shared" si="140"/>
        <v>85</v>
      </c>
      <c r="V530" s="50">
        <f t="shared" si="141"/>
        <v>85</v>
      </c>
    </row>
    <row r="531" spans="2:22" s="445" customFormat="1" ht="21.95" customHeight="1" x14ac:dyDescent="0.2">
      <c r="B531" s="26">
        <f t="shared" si="145"/>
        <v>5.625</v>
      </c>
      <c r="C531" s="20">
        <v>85</v>
      </c>
      <c r="D531" s="20">
        <f t="shared" si="142"/>
        <v>85</v>
      </c>
      <c r="E531" s="20">
        <f t="shared" si="130"/>
        <v>85</v>
      </c>
      <c r="F531" s="20">
        <f t="shared" si="131"/>
        <v>85</v>
      </c>
      <c r="G531" s="20">
        <f t="shared" si="132"/>
        <v>85</v>
      </c>
      <c r="H531" s="20">
        <f t="shared" si="133"/>
        <v>85</v>
      </c>
      <c r="I531" s="26">
        <f t="shared" si="146"/>
        <v>6.375</v>
      </c>
      <c r="J531" s="20">
        <v>85</v>
      </c>
      <c r="K531" s="20">
        <f t="shared" si="143"/>
        <v>85</v>
      </c>
      <c r="L531" s="20">
        <f t="shared" si="134"/>
        <v>85</v>
      </c>
      <c r="M531" s="20">
        <f t="shared" si="135"/>
        <v>85</v>
      </c>
      <c r="N531" s="20">
        <f t="shared" si="136"/>
        <v>85</v>
      </c>
      <c r="O531" s="20">
        <f t="shared" si="137"/>
        <v>85</v>
      </c>
      <c r="P531" s="26">
        <f t="shared" si="147"/>
        <v>6.75</v>
      </c>
      <c r="Q531" s="20">
        <v>85</v>
      </c>
      <c r="R531" s="20">
        <f t="shared" si="144"/>
        <v>85</v>
      </c>
      <c r="S531" s="20">
        <f t="shared" si="138"/>
        <v>85</v>
      </c>
      <c r="T531" s="20">
        <f t="shared" si="139"/>
        <v>85</v>
      </c>
      <c r="U531" s="20">
        <f t="shared" si="140"/>
        <v>85</v>
      </c>
      <c r="V531" s="50">
        <f t="shared" si="141"/>
        <v>85</v>
      </c>
    </row>
    <row r="532" spans="2:22" s="445" customFormat="1" ht="21.95" customHeight="1" x14ac:dyDescent="0.2">
      <c r="B532" s="26">
        <f t="shared" si="145"/>
        <v>5.75</v>
      </c>
      <c r="C532" s="20">
        <v>85</v>
      </c>
      <c r="D532" s="20">
        <f t="shared" ref="D532:D537" si="148">C532</f>
        <v>85</v>
      </c>
      <c r="E532" s="20">
        <f t="shared" ref="E532:E537" si="149">D532</f>
        <v>85</v>
      </c>
      <c r="F532" s="20">
        <f t="shared" ref="F532:F537" si="150">E532</f>
        <v>85</v>
      </c>
      <c r="G532" s="20">
        <f t="shared" ref="G532:G537" si="151">F532</f>
        <v>85</v>
      </c>
      <c r="H532" s="20">
        <f t="shared" ref="H532:H537" si="152">G532</f>
        <v>85</v>
      </c>
      <c r="I532" s="26">
        <f t="shared" si="146"/>
        <v>6.5</v>
      </c>
      <c r="J532" s="20">
        <v>85</v>
      </c>
      <c r="K532" s="20">
        <f t="shared" si="143"/>
        <v>85</v>
      </c>
      <c r="L532" s="20">
        <f t="shared" si="134"/>
        <v>85</v>
      </c>
      <c r="M532" s="20">
        <f t="shared" si="135"/>
        <v>85</v>
      </c>
      <c r="N532" s="20">
        <f t="shared" si="136"/>
        <v>85</v>
      </c>
      <c r="O532" s="20">
        <f t="shared" si="137"/>
        <v>85</v>
      </c>
      <c r="P532" s="26">
        <f t="shared" si="147"/>
        <v>6.875</v>
      </c>
      <c r="Q532" s="20">
        <v>85</v>
      </c>
      <c r="R532" s="20">
        <f t="shared" si="144"/>
        <v>85</v>
      </c>
      <c r="S532" s="20">
        <f t="shared" si="138"/>
        <v>85</v>
      </c>
      <c r="T532" s="20">
        <f t="shared" si="139"/>
        <v>85</v>
      </c>
      <c r="U532" s="20">
        <f t="shared" si="140"/>
        <v>85</v>
      </c>
      <c r="V532" s="50">
        <f t="shared" si="141"/>
        <v>85</v>
      </c>
    </row>
    <row r="533" spans="2:22" s="445" customFormat="1" ht="21.95" customHeight="1" x14ac:dyDescent="0.2">
      <c r="B533" s="26">
        <f t="shared" si="145"/>
        <v>5.875</v>
      </c>
      <c r="C533" s="20">
        <v>85</v>
      </c>
      <c r="D533" s="20">
        <f t="shared" si="148"/>
        <v>85</v>
      </c>
      <c r="E533" s="20">
        <f t="shared" si="149"/>
        <v>85</v>
      </c>
      <c r="F533" s="20">
        <f t="shared" si="150"/>
        <v>85</v>
      </c>
      <c r="G533" s="20">
        <f t="shared" si="151"/>
        <v>85</v>
      </c>
      <c r="H533" s="20">
        <f t="shared" si="152"/>
        <v>85</v>
      </c>
      <c r="I533" s="26">
        <f t="shared" si="146"/>
        <v>6.625</v>
      </c>
      <c r="J533" s="20">
        <v>85</v>
      </c>
      <c r="K533" s="20">
        <f t="shared" si="143"/>
        <v>85</v>
      </c>
      <c r="L533" s="20">
        <f t="shared" si="134"/>
        <v>85</v>
      </c>
      <c r="M533" s="20">
        <f t="shared" si="135"/>
        <v>85</v>
      </c>
      <c r="N533" s="20">
        <f t="shared" si="136"/>
        <v>85</v>
      </c>
      <c r="O533" s="20">
        <f t="shared" si="137"/>
        <v>85</v>
      </c>
      <c r="P533" s="26">
        <f t="shared" si="147"/>
        <v>7</v>
      </c>
      <c r="Q533" s="20">
        <v>85</v>
      </c>
      <c r="R533" s="20">
        <f t="shared" si="144"/>
        <v>85</v>
      </c>
      <c r="S533" s="20">
        <f t="shared" si="138"/>
        <v>85</v>
      </c>
      <c r="T533" s="20">
        <f t="shared" si="139"/>
        <v>85</v>
      </c>
      <c r="U533" s="20">
        <f t="shared" si="140"/>
        <v>85</v>
      </c>
      <c r="V533" s="50">
        <f t="shared" si="141"/>
        <v>85</v>
      </c>
    </row>
    <row r="534" spans="2:22" s="445" customFormat="1" ht="21.95" customHeight="1" x14ac:dyDescent="0.2">
      <c r="B534" s="26">
        <f t="shared" si="145"/>
        <v>6</v>
      </c>
      <c r="C534" s="20">
        <v>85</v>
      </c>
      <c r="D534" s="20">
        <f t="shared" si="148"/>
        <v>85</v>
      </c>
      <c r="E534" s="20">
        <f t="shared" si="149"/>
        <v>85</v>
      </c>
      <c r="F534" s="20">
        <f t="shared" si="150"/>
        <v>85</v>
      </c>
      <c r="G534" s="20">
        <f t="shared" si="151"/>
        <v>85</v>
      </c>
      <c r="H534" s="20">
        <f t="shared" si="152"/>
        <v>85</v>
      </c>
      <c r="I534" s="26">
        <f t="shared" si="146"/>
        <v>6.75</v>
      </c>
      <c r="J534" s="20">
        <v>86</v>
      </c>
      <c r="K534" s="20">
        <f t="shared" si="143"/>
        <v>86</v>
      </c>
      <c r="L534" s="20">
        <f t="shared" si="134"/>
        <v>86</v>
      </c>
      <c r="M534" s="20">
        <f t="shared" si="135"/>
        <v>86</v>
      </c>
      <c r="N534" s="20">
        <f t="shared" si="136"/>
        <v>86</v>
      </c>
      <c r="O534" s="20">
        <f t="shared" si="137"/>
        <v>86</v>
      </c>
      <c r="P534" s="26">
        <f t="shared" si="147"/>
        <v>7.125</v>
      </c>
      <c r="Q534" s="20">
        <v>85</v>
      </c>
      <c r="R534" s="20">
        <f t="shared" ref="R534" si="153">Q534</f>
        <v>85</v>
      </c>
      <c r="S534" s="20">
        <f t="shared" ref="S534" si="154">R534</f>
        <v>85</v>
      </c>
      <c r="T534" s="20">
        <f t="shared" ref="T534" si="155">S534</f>
        <v>85</v>
      </c>
      <c r="U534" s="20">
        <f t="shared" ref="U534" si="156">T534</f>
        <v>85</v>
      </c>
      <c r="V534" s="50">
        <f t="shared" ref="V534" si="157">U534</f>
        <v>85</v>
      </c>
    </row>
    <row r="535" spans="2:22" s="445" customFormat="1" ht="21.95" customHeight="1" x14ac:dyDescent="0.2">
      <c r="B535" s="26">
        <f t="shared" si="145"/>
        <v>6.125</v>
      </c>
      <c r="C535" s="20">
        <v>85</v>
      </c>
      <c r="D535" s="20">
        <f t="shared" si="148"/>
        <v>85</v>
      </c>
      <c r="E535" s="20">
        <f t="shared" si="149"/>
        <v>85</v>
      </c>
      <c r="F535" s="20">
        <f t="shared" si="150"/>
        <v>85</v>
      </c>
      <c r="G535" s="20">
        <f t="shared" si="151"/>
        <v>85</v>
      </c>
      <c r="H535" s="20">
        <f t="shared" si="152"/>
        <v>85</v>
      </c>
      <c r="I535" s="26">
        <f t="shared" si="146"/>
        <v>6.875</v>
      </c>
      <c r="J535" s="20">
        <v>87</v>
      </c>
      <c r="K535" s="20">
        <f t="shared" si="143"/>
        <v>87</v>
      </c>
      <c r="L535" s="20">
        <f t="shared" si="134"/>
        <v>87</v>
      </c>
      <c r="M535" s="20">
        <f t="shared" si="135"/>
        <v>87</v>
      </c>
      <c r="N535" s="20">
        <f t="shared" si="136"/>
        <v>87</v>
      </c>
      <c r="O535" s="20">
        <f t="shared" si="137"/>
        <v>87</v>
      </c>
      <c r="P535" s="26"/>
      <c r="Q535" s="20"/>
      <c r="R535" s="20"/>
      <c r="S535" s="20"/>
      <c r="T535" s="20"/>
      <c r="U535" s="20"/>
      <c r="V535" s="50"/>
    </row>
    <row r="536" spans="2:22" s="445" customFormat="1" ht="21.95" customHeight="1" x14ac:dyDescent="0.2">
      <c r="B536" s="26">
        <f t="shared" si="145"/>
        <v>6.25</v>
      </c>
      <c r="C536" s="20">
        <v>85</v>
      </c>
      <c r="D536" s="20">
        <f t="shared" si="148"/>
        <v>85</v>
      </c>
      <c r="E536" s="20">
        <f t="shared" si="149"/>
        <v>85</v>
      </c>
      <c r="F536" s="20">
        <f t="shared" si="150"/>
        <v>85</v>
      </c>
      <c r="G536" s="20">
        <f t="shared" si="151"/>
        <v>85</v>
      </c>
      <c r="H536" s="20">
        <f t="shared" si="152"/>
        <v>85</v>
      </c>
      <c r="I536" s="26">
        <f t="shared" si="146"/>
        <v>7</v>
      </c>
      <c r="J536" s="20">
        <v>88</v>
      </c>
      <c r="K536" s="20">
        <f t="shared" si="143"/>
        <v>88</v>
      </c>
      <c r="L536" s="20">
        <f t="shared" si="134"/>
        <v>88</v>
      </c>
      <c r="M536" s="20">
        <f t="shared" si="135"/>
        <v>88</v>
      </c>
      <c r="N536" s="20">
        <f t="shared" si="136"/>
        <v>88</v>
      </c>
      <c r="O536" s="20">
        <f t="shared" si="137"/>
        <v>88</v>
      </c>
      <c r="P536" s="26"/>
      <c r="Q536" s="20"/>
      <c r="R536" s="20"/>
      <c r="S536" s="20"/>
      <c r="T536" s="20"/>
      <c r="U536" s="20"/>
      <c r="V536" s="50"/>
    </row>
    <row r="537" spans="2:22" s="445" customFormat="1" ht="21.95" customHeight="1" x14ac:dyDescent="0.2">
      <c r="B537" s="26">
        <f t="shared" si="145"/>
        <v>6.375</v>
      </c>
      <c r="C537" s="20">
        <v>85</v>
      </c>
      <c r="D537" s="20">
        <f t="shared" si="148"/>
        <v>85</v>
      </c>
      <c r="E537" s="20">
        <f t="shared" si="149"/>
        <v>85</v>
      </c>
      <c r="F537" s="20">
        <f t="shared" si="150"/>
        <v>85</v>
      </c>
      <c r="G537" s="20">
        <f t="shared" si="151"/>
        <v>85</v>
      </c>
      <c r="H537" s="20">
        <f t="shared" si="152"/>
        <v>85</v>
      </c>
      <c r="I537" s="26"/>
      <c r="J537" s="20"/>
      <c r="K537" s="20"/>
      <c r="L537" s="20"/>
      <c r="M537" s="20"/>
      <c r="N537" s="20"/>
      <c r="O537" s="20"/>
      <c r="P537" s="26"/>
      <c r="Q537" s="20"/>
      <c r="R537" s="20"/>
      <c r="S537" s="20"/>
      <c r="T537" s="20"/>
      <c r="U537" s="20"/>
      <c r="V537" s="50"/>
    </row>
    <row r="538" spans="2:22" ht="21.95" customHeight="1" thickBot="1" x14ac:dyDescent="0.25">
      <c r="B538" s="394"/>
      <c r="C538" s="126"/>
      <c r="D538" s="126"/>
      <c r="E538" s="126"/>
      <c r="F538" s="126"/>
      <c r="G538" s="126"/>
      <c r="H538" s="375"/>
      <c r="I538" s="394"/>
      <c r="J538" s="126"/>
      <c r="K538" s="126"/>
      <c r="L538" s="126"/>
      <c r="M538" s="126"/>
      <c r="N538" s="126"/>
      <c r="O538" s="375"/>
      <c r="P538" s="395"/>
      <c r="Q538" s="396"/>
      <c r="R538" s="396"/>
      <c r="S538" s="396"/>
      <c r="T538" s="396"/>
      <c r="U538" s="396"/>
      <c r="V538" s="397"/>
    </row>
    <row r="539" spans="2:22" ht="21.95" customHeight="1" x14ac:dyDescent="0.2">
      <c r="B539" s="793" t="s">
        <v>318</v>
      </c>
      <c r="C539" s="794"/>
      <c r="D539" s="794"/>
      <c r="E539" s="794"/>
      <c r="F539" s="794"/>
      <c r="G539" s="794"/>
      <c r="H539" s="910"/>
      <c r="I539" s="793" t="s">
        <v>319</v>
      </c>
      <c r="J539" s="794"/>
      <c r="K539" s="794"/>
      <c r="L539" s="794"/>
      <c r="M539" s="794"/>
      <c r="N539" s="794"/>
      <c r="O539" s="910"/>
      <c r="P539" s="793" t="s">
        <v>320</v>
      </c>
      <c r="Q539" s="794"/>
      <c r="R539" s="794"/>
      <c r="S539" s="794"/>
      <c r="T539" s="794"/>
      <c r="U539" s="794"/>
      <c r="V539" s="910"/>
    </row>
    <row r="540" spans="2:22" ht="21.95" customHeight="1" x14ac:dyDescent="0.2">
      <c r="B540" s="352" t="s">
        <v>4</v>
      </c>
      <c r="C540" s="353" t="s">
        <v>434</v>
      </c>
      <c r="D540" s="353" t="s">
        <v>5</v>
      </c>
      <c r="E540" s="353" t="s">
        <v>6</v>
      </c>
      <c r="F540" s="353" t="s">
        <v>75</v>
      </c>
      <c r="G540" s="353" t="s">
        <v>302</v>
      </c>
      <c r="H540" s="354" t="s">
        <v>303</v>
      </c>
      <c r="I540" s="355" t="s">
        <v>4</v>
      </c>
      <c r="J540" s="356" t="s">
        <v>434</v>
      </c>
      <c r="K540" s="356" t="s">
        <v>5</v>
      </c>
      <c r="L540" s="356" t="s">
        <v>6</v>
      </c>
      <c r="M540" s="356" t="s">
        <v>75</v>
      </c>
      <c r="N540" s="356" t="s">
        <v>302</v>
      </c>
      <c r="O540" s="354" t="s">
        <v>303</v>
      </c>
      <c r="P540" s="352" t="s">
        <v>4</v>
      </c>
      <c r="Q540" s="353" t="s">
        <v>434</v>
      </c>
      <c r="R540" s="353" t="s">
        <v>5</v>
      </c>
      <c r="S540" s="353" t="s">
        <v>6</v>
      </c>
      <c r="T540" s="353" t="s">
        <v>75</v>
      </c>
      <c r="U540" s="353" t="s">
        <v>302</v>
      </c>
      <c r="V540" s="354" t="s">
        <v>303</v>
      </c>
    </row>
    <row r="541" spans="2:22" s="445" customFormat="1" ht="21.95" customHeight="1" x14ac:dyDescent="0.2">
      <c r="B541" s="26">
        <v>4.875</v>
      </c>
      <c r="C541" s="20">
        <v>85</v>
      </c>
      <c r="D541" s="20">
        <f>C541</f>
        <v>85</v>
      </c>
      <c r="E541" s="20">
        <f t="shared" ref="E541:E550" si="158">D541</f>
        <v>85</v>
      </c>
      <c r="F541" s="20">
        <f t="shared" ref="F541:F550" si="159">E541</f>
        <v>85</v>
      </c>
      <c r="G541" s="20">
        <f t="shared" ref="G541:G550" si="160">F541</f>
        <v>85</v>
      </c>
      <c r="H541" s="20">
        <f t="shared" ref="H541:H550" si="161">G541</f>
        <v>85</v>
      </c>
      <c r="I541" s="26">
        <v>5.5</v>
      </c>
      <c r="J541" s="20">
        <v>85</v>
      </c>
      <c r="K541" s="20">
        <f>J541</f>
        <v>85</v>
      </c>
      <c r="L541" s="20">
        <f t="shared" ref="L541:O541" si="162">K541</f>
        <v>85</v>
      </c>
      <c r="M541" s="20">
        <f t="shared" si="162"/>
        <v>85</v>
      </c>
      <c r="N541" s="20">
        <f t="shared" si="162"/>
        <v>85</v>
      </c>
      <c r="O541" s="20">
        <f t="shared" si="162"/>
        <v>85</v>
      </c>
      <c r="P541" s="26">
        <v>5</v>
      </c>
      <c r="Q541" s="20">
        <v>85</v>
      </c>
      <c r="R541" s="20">
        <f>Q541</f>
        <v>85</v>
      </c>
      <c r="S541" s="20">
        <f t="shared" ref="S541:S545" si="163">R541</f>
        <v>85</v>
      </c>
      <c r="T541" s="20">
        <f t="shared" ref="T541:T545" si="164">S541</f>
        <v>85</v>
      </c>
      <c r="U541" s="20">
        <f t="shared" ref="U541:U545" si="165">T541</f>
        <v>85</v>
      </c>
      <c r="V541" s="50">
        <f t="shared" ref="V541:V545" si="166">U541</f>
        <v>85</v>
      </c>
    </row>
    <row r="542" spans="2:22" s="445" customFormat="1" ht="21.95" customHeight="1" x14ac:dyDescent="0.2">
      <c r="B542" s="26">
        <f>B541+0.125</f>
        <v>5</v>
      </c>
      <c r="C542" s="20">
        <v>85</v>
      </c>
      <c r="D542" s="20">
        <f t="shared" ref="D542:D550" si="167">C542</f>
        <v>85</v>
      </c>
      <c r="E542" s="20">
        <f t="shared" si="158"/>
        <v>85</v>
      </c>
      <c r="F542" s="20">
        <f t="shared" si="159"/>
        <v>85</v>
      </c>
      <c r="G542" s="20">
        <f t="shared" si="160"/>
        <v>85</v>
      </c>
      <c r="H542" s="20">
        <f t="shared" si="161"/>
        <v>85</v>
      </c>
      <c r="I542" s="26">
        <f>I541+0.125</f>
        <v>5.625</v>
      </c>
      <c r="J542" s="20">
        <v>85</v>
      </c>
      <c r="K542" s="20">
        <f t="shared" ref="K542:O550" si="168">J542</f>
        <v>85</v>
      </c>
      <c r="L542" s="20">
        <f t="shared" si="168"/>
        <v>85</v>
      </c>
      <c r="M542" s="20">
        <f t="shared" si="168"/>
        <v>85</v>
      </c>
      <c r="N542" s="20">
        <f t="shared" si="168"/>
        <v>85</v>
      </c>
      <c r="O542" s="20">
        <f t="shared" si="168"/>
        <v>85</v>
      </c>
      <c r="P542" s="26">
        <f>P541+0.125</f>
        <v>5.125</v>
      </c>
      <c r="Q542" s="20">
        <v>85</v>
      </c>
      <c r="R542" s="20">
        <f t="shared" ref="R542:R545" si="169">Q542</f>
        <v>85</v>
      </c>
      <c r="S542" s="20">
        <f t="shared" si="163"/>
        <v>85</v>
      </c>
      <c r="T542" s="20">
        <f t="shared" si="164"/>
        <v>85</v>
      </c>
      <c r="U542" s="20">
        <f t="shared" si="165"/>
        <v>85</v>
      </c>
      <c r="V542" s="50">
        <f t="shared" si="166"/>
        <v>85</v>
      </c>
    </row>
    <row r="543" spans="2:22" s="445" customFormat="1" ht="21.95" customHeight="1" x14ac:dyDescent="0.2">
      <c r="B543" s="26">
        <f t="shared" ref="B543:B550" si="170">B542+0.125</f>
        <v>5.125</v>
      </c>
      <c r="C543" s="20">
        <v>85</v>
      </c>
      <c r="D543" s="20">
        <f t="shared" si="167"/>
        <v>85</v>
      </c>
      <c r="E543" s="20">
        <f t="shared" si="158"/>
        <v>85</v>
      </c>
      <c r="F543" s="20">
        <f t="shared" si="159"/>
        <v>85</v>
      </c>
      <c r="G543" s="20">
        <f t="shared" si="160"/>
        <v>85</v>
      </c>
      <c r="H543" s="20">
        <f t="shared" si="161"/>
        <v>85</v>
      </c>
      <c r="I543" s="26">
        <f t="shared" ref="I543:I550" si="171">I542+0.125</f>
        <v>5.75</v>
      </c>
      <c r="J543" s="20">
        <v>85</v>
      </c>
      <c r="K543" s="20">
        <f t="shared" si="168"/>
        <v>85</v>
      </c>
      <c r="L543" s="20">
        <f t="shared" si="168"/>
        <v>85</v>
      </c>
      <c r="M543" s="20">
        <f t="shared" si="168"/>
        <v>85</v>
      </c>
      <c r="N543" s="20">
        <f t="shared" si="168"/>
        <v>85</v>
      </c>
      <c r="O543" s="20">
        <f t="shared" si="168"/>
        <v>85</v>
      </c>
      <c r="P543" s="26">
        <f t="shared" ref="P543:P550" si="172">P542+0.125</f>
        <v>5.25</v>
      </c>
      <c r="Q543" s="20">
        <v>85</v>
      </c>
      <c r="R543" s="20">
        <f t="shared" si="169"/>
        <v>85</v>
      </c>
      <c r="S543" s="20">
        <f t="shared" si="163"/>
        <v>85</v>
      </c>
      <c r="T543" s="20">
        <f t="shared" si="164"/>
        <v>85</v>
      </c>
      <c r="U543" s="20">
        <f t="shared" si="165"/>
        <v>85</v>
      </c>
      <c r="V543" s="50">
        <f t="shared" si="166"/>
        <v>85</v>
      </c>
    </row>
    <row r="544" spans="2:22" s="445" customFormat="1" ht="21.95" customHeight="1" x14ac:dyDescent="0.2">
      <c r="B544" s="26">
        <f t="shared" si="170"/>
        <v>5.25</v>
      </c>
      <c r="C544" s="20">
        <v>85</v>
      </c>
      <c r="D544" s="20">
        <f t="shared" si="167"/>
        <v>85</v>
      </c>
      <c r="E544" s="20">
        <f t="shared" si="158"/>
        <v>85</v>
      </c>
      <c r="F544" s="20">
        <f t="shared" si="159"/>
        <v>85</v>
      </c>
      <c r="G544" s="20">
        <f t="shared" si="160"/>
        <v>85</v>
      </c>
      <c r="H544" s="20">
        <f t="shared" si="161"/>
        <v>85</v>
      </c>
      <c r="I544" s="26">
        <f t="shared" si="171"/>
        <v>5.875</v>
      </c>
      <c r="J544" s="20">
        <v>85</v>
      </c>
      <c r="K544" s="20">
        <f t="shared" si="168"/>
        <v>85</v>
      </c>
      <c r="L544" s="20">
        <f t="shared" si="168"/>
        <v>85</v>
      </c>
      <c r="M544" s="20">
        <f t="shared" si="168"/>
        <v>85</v>
      </c>
      <c r="N544" s="20">
        <f t="shared" si="168"/>
        <v>85</v>
      </c>
      <c r="O544" s="20">
        <f t="shared" si="168"/>
        <v>85</v>
      </c>
      <c r="P544" s="26">
        <f t="shared" si="172"/>
        <v>5.375</v>
      </c>
      <c r="Q544" s="20">
        <v>85</v>
      </c>
      <c r="R544" s="20">
        <f t="shared" si="169"/>
        <v>85</v>
      </c>
      <c r="S544" s="20">
        <f t="shared" si="163"/>
        <v>85</v>
      </c>
      <c r="T544" s="20">
        <f t="shared" si="164"/>
        <v>85</v>
      </c>
      <c r="U544" s="20">
        <f t="shared" si="165"/>
        <v>85</v>
      </c>
      <c r="V544" s="50">
        <f t="shared" si="166"/>
        <v>85</v>
      </c>
    </row>
    <row r="545" spans="2:22" s="445" customFormat="1" ht="21.95" customHeight="1" x14ac:dyDescent="0.2">
      <c r="B545" s="26">
        <f t="shared" si="170"/>
        <v>5.375</v>
      </c>
      <c r="C545" s="20">
        <v>85</v>
      </c>
      <c r="D545" s="20">
        <f t="shared" si="167"/>
        <v>85</v>
      </c>
      <c r="E545" s="20">
        <f t="shared" si="158"/>
        <v>85</v>
      </c>
      <c r="F545" s="20">
        <f t="shared" si="159"/>
        <v>85</v>
      </c>
      <c r="G545" s="20">
        <f t="shared" si="160"/>
        <v>85</v>
      </c>
      <c r="H545" s="20">
        <f t="shared" si="161"/>
        <v>85</v>
      </c>
      <c r="I545" s="26">
        <f t="shared" si="171"/>
        <v>6</v>
      </c>
      <c r="J545" s="20">
        <v>85</v>
      </c>
      <c r="K545" s="20">
        <f t="shared" si="168"/>
        <v>85</v>
      </c>
      <c r="L545" s="20">
        <f t="shared" si="168"/>
        <v>85</v>
      </c>
      <c r="M545" s="20">
        <f t="shared" si="168"/>
        <v>85</v>
      </c>
      <c r="N545" s="20">
        <f t="shared" si="168"/>
        <v>85</v>
      </c>
      <c r="O545" s="20">
        <f t="shared" si="168"/>
        <v>85</v>
      </c>
      <c r="P545" s="26">
        <f t="shared" si="172"/>
        <v>5.5</v>
      </c>
      <c r="Q545" s="20">
        <v>85</v>
      </c>
      <c r="R545" s="20">
        <f t="shared" si="169"/>
        <v>85</v>
      </c>
      <c r="S545" s="20">
        <f t="shared" si="163"/>
        <v>85</v>
      </c>
      <c r="T545" s="20">
        <f t="shared" si="164"/>
        <v>85</v>
      </c>
      <c r="U545" s="20">
        <f t="shared" si="165"/>
        <v>85</v>
      </c>
      <c r="V545" s="50">
        <f t="shared" si="166"/>
        <v>85</v>
      </c>
    </row>
    <row r="546" spans="2:22" s="445" customFormat="1" ht="21.95" customHeight="1" x14ac:dyDescent="0.2">
      <c r="B546" s="26">
        <f t="shared" si="170"/>
        <v>5.5</v>
      </c>
      <c r="C546" s="20">
        <v>85</v>
      </c>
      <c r="D546" s="20">
        <f t="shared" si="167"/>
        <v>85</v>
      </c>
      <c r="E546" s="20">
        <f t="shared" si="158"/>
        <v>85</v>
      </c>
      <c r="F546" s="20">
        <f t="shared" si="159"/>
        <v>85</v>
      </c>
      <c r="G546" s="20">
        <f t="shared" si="160"/>
        <v>85</v>
      </c>
      <c r="H546" s="20">
        <f t="shared" si="161"/>
        <v>85</v>
      </c>
      <c r="I546" s="26">
        <f t="shared" si="171"/>
        <v>6.125</v>
      </c>
      <c r="J546" s="20">
        <v>85</v>
      </c>
      <c r="K546" s="20">
        <f t="shared" si="168"/>
        <v>85</v>
      </c>
      <c r="L546" s="20">
        <f t="shared" si="168"/>
        <v>85</v>
      </c>
      <c r="M546" s="20">
        <f t="shared" si="168"/>
        <v>85</v>
      </c>
      <c r="N546" s="20">
        <f t="shared" si="168"/>
        <v>85</v>
      </c>
      <c r="O546" s="20">
        <f t="shared" si="168"/>
        <v>85</v>
      </c>
      <c r="P546" s="26">
        <f t="shared" si="172"/>
        <v>5.625</v>
      </c>
      <c r="Q546" s="20">
        <v>85</v>
      </c>
      <c r="R546" s="20">
        <f t="shared" ref="R546:R550" si="173">Q546</f>
        <v>85</v>
      </c>
      <c r="S546" s="20">
        <f t="shared" ref="S546:S550" si="174">R546</f>
        <v>85</v>
      </c>
      <c r="T546" s="20">
        <f t="shared" ref="T546:T550" si="175">S546</f>
        <v>85</v>
      </c>
      <c r="U546" s="20">
        <f t="shared" ref="U546:U550" si="176">T546</f>
        <v>85</v>
      </c>
      <c r="V546" s="50">
        <f t="shared" ref="V546:V550" si="177">U546</f>
        <v>85</v>
      </c>
    </row>
    <row r="547" spans="2:22" s="445" customFormat="1" ht="21.95" customHeight="1" x14ac:dyDescent="0.2">
      <c r="B547" s="26">
        <f t="shared" si="170"/>
        <v>5.625</v>
      </c>
      <c r="C547" s="20">
        <v>85</v>
      </c>
      <c r="D547" s="20">
        <f t="shared" si="167"/>
        <v>85</v>
      </c>
      <c r="E547" s="20">
        <f t="shared" si="158"/>
        <v>85</v>
      </c>
      <c r="F547" s="20">
        <f t="shared" si="159"/>
        <v>85</v>
      </c>
      <c r="G547" s="20">
        <f t="shared" si="160"/>
        <v>85</v>
      </c>
      <c r="H547" s="20">
        <f t="shared" si="161"/>
        <v>85</v>
      </c>
      <c r="I547" s="26">
        <f t="shared" si="171"/>
        <v>6.25</v>
      </c>
      <c r="J547" s="20">
        <v>85</v>
      </c>
      <c r="K547" s="20">
        <f t="shared" si="168"/>
        <v>85</v>
      </c>
      <c r="L547" s="20">
        <f t="shared" si="168"/>
        <v>85</v>
      </c>
      <c r="M547" s="20">
        <f t="shared" si="168"/>
        <v>85</v>
      </c>
      <c r="N547" s="20">
        <f t="shared" si="168"/>
        <v>85</v>
      </c>
      <c r="O547" s="20">
        <f t="shared" si="168"/>
        <v>85</v>
      </c>
      <c r="P547" s="26">
        <f t="shared" si="172"/>
        <v>5.75</v>
      </c>
      <c r="Q547" s="20">
        <v>85</v>
      </c>
      <c r="R547" s="20">
        <f t="shared" si="173"/>
        <v>85</v>
      </c>
      <c r="S547" s="20">
        <f t="shared" si="174"/>
        <v>85</v>
      </c>
      <c r="T547" s="20">
        <f t="shared" si="175"/>
        <v>85</v>
      </c>
      <c r="U547" s="20">
        <f t="shared" si="176"/>
        <v>85</v>
      </c>
      <c r="V547" s="50">
        <f t="shared" si="177"/>
        <v>85</v>
      </c>
    </row>
    <row r="548" spans="2:22" s="445" customFormat="1" ht="21.95" customHeight="1" x14ac:dyDescent="0.2">
      <c r="B548" s="26">
        <f t="shared" si="170"/>
        <v>5.75</v>
      </c>
      <c r="C548" s="20">
        <v>85</v>
      </c>
      <c r="D548" s="20">
        <f t="shared" si="167"/>
        <v>85</v>
      </c>
      <c r="E548" s="20">
        <f t="shared" si="158"/>
        <v>85</v>
      </c>
      <c r="F548" s="20">
        <f t="shared" si="159"/>
        <v>85</v>
      </c>
      <c r="G548" s="20">
        <f t="shared" si="160"/>
        <v>85</v>
      </c>
      <c r="H548" s="20">
        <f t="shared" si="161"/>
        <v>85</v>
      </c>
      <c r="I548" s="26">
        <f t="shared" si="171"/>
        <v>6.375</v>
      </c>
      <c r="J548" s="20">
        <v>85</v>
      </c>
      <c r="K548" s="20">
        <f t="shared" si="168"/>
        <v>85</v>
      </c>
      <c r="L548" s="20">
        <f t="shared" si="168"/>
        <v>85</v>
      </c>
      <c r="M548" s="20">
        <f t="shared" si="168"/>
        <v>85</v>
      </c>
      <c r="N548" s="20">
        <f t="shared" si="168"/>
        <v>85</v>
      </c>
      <c r="O548" s="20">
        <f t="shared" si="168"/>
        <v>85</v>
      </c>
      <c r="P548" s="26">
        <f t="shared" si="172"/>
        <v>5.875</v>
      </c>
      <c r="Q548" s="20">
        <v>85</v>
      </c>
      <c r="R548" s="20">
        <f t="shared" si="173"/>
        <v>85</v>
      </c>
      <c r="S548" s="20">
        <f t="shared" si="174"/>
        <v>85</v>
      </c>
      <c r="T548" s="20">
        <f t="shared" si="175"/>
        <v>85</v>
      </c>
      <c r="U548" s="20">
        <f t="shared" si="176"/>
        <v>85</v>
      </c>
      <c r="V548" s="50">
        <f t="shared" si="177"/>
        <v>85</v>
      </c>
    </row>
    <row r="549" spans="2:22" s="445" customFormat="1" ht="21.95" customHeight="1" x14ac:dyDescent="0.2">
      <c r="B549" s="26">
        <f t="shared" si="170"/>
        <v>5.875</v>
      </c>
      <c r="C549" s="20">
        <v>85</v>
      </c>
      <c r="D549" s="20">
        <f t="shared" si="167"/>
        <v>85</v>
      </c>
      <c r="E549" s="20">
        <f t="shared" si="158"/>
        <v>85</v>
      </c>
      <c r="F549" s="20">
        <f t="shared" si="159"/>
        <v>85</v>
      </c>
      <c r="G549" s="20">
        <f t="shared" si="160"/>
        <v>85</v>
      </c>
      <c r="H549" s="20">
        <f t="shared" si="161"/>
        <v>85</v>
      </c>
      <c r="I549" s="26">
        <f t="shared" si="171"/>
        <v>6.5</v>
      </c>
      <c r="J549" s="20">
        <v>85</v>
      </c>
      <c r="K549" s="20">
        <f t="shared" si="168"/>
        <v>85</v>
      </c>
      <c r="L549" s="20">
        <f t="shared" si="168"/>
        <v>85</v>
      </c>
      <c r="M549" s="20">
        <f t="shared" si="168"/>
        <v>85</v>
      </c>
      <c r="N549" s="20">
        <f t="shared" si="168"/>
        <v>85</v>
      </c>
      <c r="O549" s="20">
        <f t="shared" si="168"/>
        <v>85</v>
      </c>
      <c r="P549" s="26">
        <f t="shared" si="172"/>
        <v>6</v>
      </c>
      <c r="Q549" s="20">
        <v>85</v>
      </c>
      <c r="R549" s="20">
        <f t="shared" si="173"/>
        <v>85</v>
      </c>
      <c r="S549" s="20">
        <f t="shared" si="174"/>
        <v>85</v>
      </c>
      <c r="T549" s="20">
        <f t="shared" si="175"/>
        <v>85</v>
      </c>
      <c r="U549" s="20">
        <f t="shared" si="176"/>
        <v>85</v>
      </c>
      <c r="V549" s="50">
        <f t="shared" si="177"/>
        <v>85</v>
      </c>
    </row>
    <row r="550" spans="2:22" s="445" customFormat="1" ht="21.95" customHeight="1" x14ac:dyDescent="0.2">
      <c r="B550" s="26">
        <f t="shared" si="170"/>
        <v>6</v>
      </c>
      <c r="C550" s="20">
        <v>85</v>
      </c>
      <c r="D550" s="20">
        <f t="shared" si="167"/>
        <v>85</v>
      </c>
      <c r="E550" s="20">
        <f t="shared" si="158"/>
        <v>85</v>
      </c>
      <c r="F550" s="20">
        <f t="shared" si="159"/>
        <v>85</v>
      </c>
      <c r="G550" s="20">
        <f t="shared" si="160"/>
        <v>85</v>
      </c>
      <c r="H550" s="20">
        <f t="shared" si="161"/>
        <v>85</v>
      </c>
      <c r="I550" s="26">
        <f t="shared" si="171"/>
        <v>6.625</v>
      </c>
      <c r="J550" s="20">
        <v>85</v>
      </c>
      <c r="K550" s="20">
        <f t="shared" si="168"/>
        <v>85</v>
      </c>
      <c r="L550" s="20">
        <f t="shared" si="168"/>
        <v>85</v>
      </c>
      <c r="M550" s="20">
        <f t="shared" si="168"/>
        <v>85</v>
      </c>
      <c r="N550" s="20">
        <f t="shared" si="168"/>
        <v>85</v>
      </c>
      <c r="O550" s="20">
        <f t="shared" si="168"/>
        <v>85</v>
      </c>
      <c r="P550" s="26">
        <f t="shared" si="172"/>
        <v>6.125</v>
      </c>
      <c r="Q550" s="20">
        <v>85</v>
      </c>
      <c r="R550" s="20">
        <f t="shared" si="173"/>
        <v>85</v>
      </c>
      <c r="S550" s="20">
        <f t="shared" si="174"/>
        <v>85</v>
      </c>
      <c r="T550" s="20">
        <f t="shared" si="175"/>
        <v>85</v>
      </c>
      <c r="U550" s="20">
        <f t="shared" si="176"/>
        <v>85</v>
      </c>
      <c r="V550" s="50">
        <f t="shared" si="177"/>
        <v>85</v>
      </c>
    </row>
    <row r="551" spans="2:22" s="445" customFormat="1" ht="21.95" customHeight="1" x14ac:dyDescent="0.2">
      <c r="B551" s="26"/>
      <c r="C551" s="20"/>
      <c r="D551" s="20"/>
      <c r="E551" s="20"/>
      <c r="F551" s="20"/>
      <c r="G551" s="20"/>
      <c r="H551" s="20"/>
      <c r="I551" s="26"/>
      <c r="J551" s="20"/>
      <c r="K551" s="20"/>
      <c r="L551" s="20"/>
      <c r="M551" s="20"/>
      <c r="N551" s="20"/>
      <c r="O551" s="20"/>
      <c r="P551" s="26"/>
      <c r="Q551" s="20"/>
      <c r="R551" s="20"/>
      <c r="S551" s="20"/>
      <c r="T551" s="20"/>
      <c r="U551" s="20"/>
      <c r="V551" s="50"/>
    </row>
    <row r="552" spans="2:22" s="445" customFormat="1" ht="21.95" customHeight="1" x14ac:dyDescent="0.2">
      <c r="B552" s="26"/>
      <c r="C552" s="20"/>
      <c r="D552" s="20"/>
      <c r="E552" s="20"/>
      <c r="F552" s="20"/>
      <c r="G552" s="20"/>
      <c r="H552" s="20"/>
      <c r="I552" s="26"/>
      <c r="J552" s="20"/>
      <c r="K552" s="20"/>
      <c r="L552" s="20"/>
      <c r="M552" s="20"/>
      <c r="N552" s="20"/>
      <c r="O552" s="20"/>
      <c r="P552" s="26"/>
      <c r="Q552" s="20"/>
      <c r="R552" s="20"/>
      <c r="S552" s="20"/>
      <c r="T552" s="20"/>
      <c r="U552" s="20"/>
      <c r="V552" s="50"/>
    </row>
    <row r="553" spans="2:22" s="445" customFormat="1" ht="21.95" customHeight="1" x14ac:dyDescent="0.2">
      <c r="B553" s="26"/>
      <c r="C553" s="20"/>
      <c r="D553" s="20"/>
      <c r="E553" s="20"/>
      <c r="F553" s="20"/>
      <c r="G553" s="20"/>
      <c r="H553" s="20"/>
      <c r="I553" s="26"/>
      <c r="J553" s="20"/>
      <c r="K553" s="20"/>
      <c r="L553" s="20"/>
      <c r="M553" s="20"/>
      <c r="N553" s="20"/>
      <c r="O553" s="20"/>
      <c r="P553" s="26"/>
      <c r="Q553" s="20"/>
      <c r="R553" s="20"/>
      <c r="S553" s="20"/>
      <c r="T553" s="20"/>
      <c r="U553" s="20"/>
      <c r="V553" s="50"/>
    </row>
    <row r="554" spans="2:22" s="445" customFormat="1" ht="21.95" customHeight="1" x14ac:dyDescent="0.2">
      <c r="B554" s="37"/>
      <c r="C554" s="20"/>
      <c r="D554" s="20"/>
      <c r="E554" s="20"/>
      <c r="F554" s="20"/>
      <c r="G554" s="20"/>
      <c r="H554" s="20"/>
      <c r="I554" s="37"/>
      <c r="J554" s="38"/>
      <c r="K554" s="38"/>
      <c r="L554" s="38"/>
      <c r="M554" s="38"/>
      <c r="N554" s="38"/>
      <c r="O554" s="38"/>
      <c r="P554" s="754"/>
      <c r="Q554" s="747"/>
      <c r="R554" s="747"/>
      <c r="S554" s="747"/>
      <c r="T554" s="747"/>
      <c r="U554" s="747"/>
      <c r="V554" s="755"/>
    </row>
    <row r="555" spans="2:22" ht="21.95" customHeight="1" x14ac:dyDescent="0.2">
      <c r="B555" s="953" t="s">
        <v>475</v>
      </c>
      <c r="C555" s="954"/>
      <c r="D555" s="954"/>
      <c r="E555" s="954"/>
      <c r="F555" s="954"/>
      <c r="G555" s="954"/>
      <c r="H555" s="954"/>
      <c r="I555" s="954"/>
      <c r="J555" s="954"/>
      <c r="K555" s="954"/>
      <c r="L555" s="954"/>
      <c r="M555" s="954"/>
      <c r="N555" s="954"/>
      <c r="O555" s="954"/>
      <c r="P555" s="954"/>
      <c r="Q555" s="954"/>
      <c r="R555" s="954"/>
      <c r="S555" s="954"/>
      <c r="T555" s="954"/>
      <c r="U555" s="954"/>
      <c r="V555" s="955"/>
    </row>
    <row r="556" spans="2:22" s="44" customFormat="1" ht="21.95" customHeight="1" x14ac:dyDescent="0.2">
      <c r="B556" s="12" t="s">
        <v>82</v>
      </c>
      <c r="C556" s="13"/>
      <c r="D556" s="13"/>
      <c r="E556" s="14" t="s">
        <v>80</v>
      </c>
      <c r="F556" s="15" t="s">
        <v>81</v>
      </c>
      <c r="G556" s="16"/>
      <c r="H556" s="17" t="s">
        <v>475</v>
      </c>
      <c r="I556" s="13"/>
      <c r="J556" s="13"/>
      <c r="K556" s="13"/>
      <c r="L556" s="18"/>
      <c r="M556" s="56" t="s">
        <v>48</v>
      </c>
      <c r="N556" s="57"/>
      <c r="O556" s="57"/>
      <c r="P556" s="58"/>
      <c r="Q556" s="59"/>
      <c r="R556" s="59"/>
      <c r="S556" s="60"/>
      <c r="T556" s="58"/>
      <c r="U556" s="59"/>
      <c r="V556" s="398"/>
    </row>
    <row r="557" spans="2:22" s="44" customFormat="1" ht="21.95" customHeight="1" x14ac:dyDescent="0.2">
      <c r="B557" s="21" t="s">
        <v>93</v>
      </c>
      <c r="C557" s="24"/>
      <c r="D557" s="24"/>
      <c r="E557" s="361">
        <v>-0.5</v>
      </c>
      <c r="F557" s="22">
        <v>-0.5</v>
      </c>
      <c r="G557" s="23"/>
      <c r="H557" s="24"/>
      <c r="I557" s="24"/>
      <c r="J557" s="24"/>
      <c r="K557" s="24"/>
      <c r="L557" s="25"/>
      <c r="M557" s="956"/>
      <c r="N557" s="957"/>
      <c r="O557" s="957"/>
      <c r="P557" s="958"/>
      <c r="Q557" s="958"/>
      <c r="R557" s="63"/>
      <c r="S557" s="64"/>
      <c r="T557" s="958"/>
      <c r="U557" s="958"/>
      <c r="V557" s="399"/>
    </row>
    <row r="558" spans="2:22" s="44" customFormat="1" ht="21.95" customHeight="1" x14ac:dyDescent="0.2">
      <c r="B558" s="21" t="s">
        <v>94</v>
      </c>
      <c r="C558" s="24"/>
      <c r="D558" s="24"/>
      <c r="E558" s="361">
        <v>0</v>
      </c>
      <c r="F558" s="22">
        <v>0</v>
      </c>
      <c r="G558" s="23"/>
      <c r="H558" s="24"/>
      <c r="I558" s="24"/>
      <c r="J558" s="24"/>
      <c r="K558" s="24"/>
      <c r="L558" s="25"/>
      <c r="M558" s="846"/>
      <c r="N558" s="847"/>
      <c r="O558" s="847"/>
      <c r="P558" s="847"/>
      <c r="Q558" s="847"/>
      <c r="R558" s="41"/>
      <c r="S558" s="25"/>
      <c r="T558" s="847"/>
      <c r="U558" s="847"/>
      <c r="V558" s="25"/>
    </row>
    <row r="559" spans="2:22" s="44" customFormat="1" ht="21.95" customHeight="1" x14ac:dyDescent="0.2">
      <c r="B559" s="21" t="s">
        <v>79</v>
      </c>
      <c r="C559" s="24"/>
      <c r="D559" s="24"/>
      <c r="E559" s="361">
        <v>2.5000000000000001E-2</v>
      </c>
      <c r="F559" s="22">
        <v>2.5000000000000001E-2</v>
      </c>
      <c r="G559" s="23"/>
      <c r="H559" s="24"/>
      <c r="I559" s="24"/>
      <c r="J559" s="24"/>
      <c r="K559" s="24"/>
      <c r="L559" s="25"/>
      <c r="M559" s="846"/>
      <c r="N559" s="847"/>
      <c r="O559" s="847"/>
      <c r="P559" s="847"/>
      <c r="Q559" s="847"/>
      <c r="R559" s="41"/>
      <c r="S559" s="25"/>
      <c r="T559" s="847"/>
      <c r="U559" s="847"/>
      <c r="V559" s="25"/>
    </row>
    <row r="560" spans="2:22" s="44" customFormat="1" ht="21.95" customHeight="1" x14ac:dyDescent="0.2">
      <c r="B560" s="21" t="s">
        <v>164</v>
      </c>
      <c r="C560" s="24"/>
      <c r="D560" s="24"/>
      <c r="E560" s="361">
        <v>0.05</v>
      </c>
      <c r="F560" s="22">
        <v>0.05</v>
      </c>
      <c r="G560" s="28"/>
      <c r="H560" s="24"/>
      <c r="I560" s="24"/>
      <c r="J560" s="24"/>
      <c r="K560" s="24"/>
      <c r="L560" s="25"/>
      <c r="M560" s="846"/>
      <c r="N560" s="847"/>
      <c r="O560" s="847"/>
      <c r="P560" s="847"/>
      <c r="Q560" s="847"/>
      <c r="R560" s="41"/>
      <c r="S560" s="25"/>
      <c r="T560" s="847"/>
      <c r="U560" s="847"/>
      <c r="V560" s="25"/>
    </row>
    <row r="561" spans="2:22" s="44" customFormat="1" ht="21.95" customHeight="1" x14ac:dyDescent="0.2">
      <c r="B561" s="21" t="s">
        <v>102</v>
      </c>
      <c r="C561" s="362"/>
      <c r="D561" s="362"/>
      <c r="E561" s="363">
        <v>7.4999999999999997E-2</v>
      </c>
      <c r="F561" s="29">
        <v>7.4999999999999997E-2</v>
      </c>
      <c r="G561" s="30"/>
      <c r="H561" s="24"/>
      <c r="I561" s="24"/>
      <c r="J561" s="24"/>
      <c r="K561" s="24"/>
      <c r="L561" s="25"/>
      <c r="M561" s="846"/>
      <c r="N561" s="847"/>
      <c r="O561" s="847"/>
      <c r="P561" s="847"/>
      <c r="Q561" s="847"/>
      <c r="R561" s="41"/>
      <c r="S561" s="31"/>
      <c r="T561" s="847"/>
      <c r="U561" s="847"/>
      <c r="V561" s="25"/>
    </row>
    <row r="562" spans="2:22" s="44" customFormat="1" ht="21.95" customHeight="1" x14ac:dyDescent="0.2">
      <c r="B562" s="21" t="s">
        <v>482</v>
      </c>
      <c r="C562" s="24"/>
      <c r="D562" s="24"/>
      <c r="E562" s="363">
        <v>0.1</v>
      </c>
      <c r="F562" s="22">
        <v>0.1</v>
      </c>
      <c r="G562" s="32"/>
      <c r="H562" s="33"/>
      <c r="I562" s="33"/>
      <c r="J562" s="33"/>
      <c r="K562" s="33"/>
      <c r="L562" s="31"/>
      <c r="M562" s="846"/>
      <c r="N562" s="847"/>
      <c r="O562" s="847"/>
      <c r="P562" s="847"/>
      <c r="Q562" s="847"/>
      <c r="R562" s="41"/>
      <c r="S562" s="25"/>
      <c r="T562" s="847"/>
      <c r="U562" s="847"/>
      <c r="V562" s="25"/>
    </row>
    <row r="563" spans="2:22" s="44" customFormat="1" ht="21.95" customHeight="1" x14ac:dyDescent="0.2">
      <c r="B563" s="12" t="s">
        <v>83</v>
      </c>
      <c r="C563" s="13"/>
      <c r="D563" s="13"/>
      <c r="E563" s="14" t="s">
        <v>80</v>
      </c>
      <c r="F563" s="15" t="s">
        <v>81</v>
      </c>
      <c r="G563" s="34" t="s">
        <v>40</v>
      </c>
      <c r="H563" s="17" t="s">
        <v>475</v>
      </c>
      <c r="I563" s="13"/>
      <c r="J563" s="13"/>
      <c r="K563" s="13"/>
      <c r="L563" s="35"/>
      <c r="M563" s="400"/>
      <c r="N563" s="401"/>
      <c r="O563" s="401"/>
      <c r="P563" s="402"/>
      <c r="Q563" s="403"/>
      <c r="R563" s="404"/>
      <c r="S563" s="405"/>
      <c r="T563" s="68"/>
      <c r="U563" s="69"/>
      <c r="V563" s="25"/>
    </row>
    <row r="564" spans="2:22" s="44" customFormat="1" ht="21.95" customHeight="1" x14ac:dyDescent="0.2">
      <c r="B564" s="154" t="str">
        <f t="shared" ref="B564:B569" si="178">P19</f>
        <v>PA FL TX</v>
      </c>
      <c r="C564" s="24"/>
      <c r="D564" s="24"/>
      <c r="E564" s="361">
        <v>7.4999999999999997E-2</v>
      </c>
      <c r="F564" s="22">
        <v>0.05</v>
      </c>
      <c r="G564" s="406"/>
      <c r="H564" s="24"/>
      <c r="I564" s="24"/>
      <c r="J564" s="24"/>
      <c r="K564" s="24"/>
      <c r="L564" s="25"/>
      <c r="M564" s="863" t="s">
        <v>41</v>
      </c>
      <c r="N564" s="864"/>
      <c r="O564" s="864"/>
      <c r="P564" s="865"/>
      <c r="V564" s="45"/>
    </row>
    <row r="565" spans="2:22" s="44" customFormat="1" ht="21.95" customHeight="1" x14ac:dyDescent="0.2">
      <c r="B565" s="154" t="str">
        <f t="shared" si="178"/>
        <v>DC DE VA MD TN WV</v>
      </c>
      <c r="C565" s="24"/>
      <c r="D565" s="24"/>
      <c r="E565" s="361">
        <v>2.5000000000000001E-2</v>
      </c>
      <c r="F565" s="22">
        <v>0</v>
      </c>
      <c r="G565" s="28"/>
      <c r="H565" s="24"/>
      <c r="I565" s="24"/>
      <c r="J565" s="24"/>
      <c r="K565" s="24"/>
      <c r="L565" s="25"/>
      <c r="M565" s="42"/>
      <c r="N565" s="43"/>
      <c r="O565" s="43"/>
      <c r="P565" s="407"/>
      <c r="Q565" s="408"/>
      <c r="R565" s="408"/>
      <c r="S565" s="408"/>
      <c r="T565" s="847"/>
      <c r="U565" s="847"/>
      <c r="V565" s="25"/>
    </row>
    <row r="566" spans="2:22" s="44" customFormat="1" ht="21.95" customHeight="1" x14ac:dyDescent="0.2">
      <c r="B566" s="154" t="str">
        <f t="shared" si="178"/>
        <v>CT NC NJ NH OR SC GA WA MN</v>
      </c>
      <c r="C566" s="24"/>
      <c r="D566" s="24"/>
      <c r="E566" s="361">
        <v>0</v>
      </c>
      <c r="F566" s="22">
        <v>0</v>
      </c>
      <c r="G566" s="28"/>
      <c r="H566" s="24"/>
      <c r="I566" s="24"/>
      <c r="J566" s="24"/>
      <c r="K566" s="24"/>
      <c r="L566" s="25"/>
      <c r="M566" s="150"/>
      <c r="N566" s="41"/>
      <c r="O566" s="41"/>
      <c r="P566" s="22"/>
      <c r="Q566" s="67"/>
      <c r="R566" s="67"/>
      <c r="S566" s="67"/>
      <c r="T566" s="68"/>
      <c r="U566" s="69"/>
      <c r="V566" s="25"/>
    </row>
    <row r="567" spans="2:22" s="44" customFormat="1" ht="21.95" customHeight="1" x14ac:dyDescent="0.2">
      <c r="B567" s="154" t="str">
        <f t="shared" si="178"/>
        <v>AL CO</v>
      </c>
      <c r="E567" s="361">
        <v>-0.05</v>
      </c>
      <c r="F567" s="22">
        <v>-2.5000000000000001E-2</v>
      </c>
      <c r="L567" s="25"/>
      <c r="M567" s="151"/>
      <c r="N567" s="41"/>
      <c r="O567" s="41"/>
      <c r="P567" s="22"/>
      <c r="V567" s="45"/>
    </row>
    <row r="568" spans="2:22" s="44" customFormat="1" ht="21.95" customHeight="1" x14ac:dyDescent="0.2">
      <c r="B568" s="154" t="str">
        <f t="shared" si="178"/>
        <v>AZ MA ND</v>
      </c>
      <c r="E568" s="361">
        <v>-0.1</v>
      </c>
      <c r="F568" s="22">
        <v>-7.4999999999999997E-2</v>
      </c>
      <c r="L568" s="25"/>
      <c r="M568" s="151"/>
      <c r="N568" s="41"/>
      <c r="O568" s="41"/>
      <c r="P568" s="22"/>
      <c r="V568" s="45"/>
    </row>
    <row r="569" spans="2:22" s="44" customFormat="1" ht="21.95" customHeight="1" x14ac:dyDescent="0.2">
      <c r="B569" s="154" t="str">
        <f t="shared" si="178"/>
        <v>CA</v>
      </c>
      <c r="E569" s="361">
        <f>S24</f>
        <v>-0.15</v>
      </c>
      <c r="F569" s="22">
        <f>T24</f>
        <v>-0.125</v>
      </c>
      <c r="L569" s="25"/>
      <c r="M569" s="150"/>
      <c r="N569" s="41"/>
      <c r="O569" s="41"/>
      <c r="P569" s="22"/>
      <c r="Q569" s="84"/>
      <c r="R569" s="84"/>
      <c r="S569" s="84"/>
      <c r="T569" s="84"/>
      <c r="U569" s="84"/>
      <c r="V569" s="91"/>
    </row>
    <row r="570" spans="2:22" s="44" customFormat="1" ht="21.95" customHeight="1" x14ac:dyDescent="0.2">
      <c r="B570" s="154"/>
      <c r="F570" s="22"/>
      <c r="L570" s="25"/>
      <c r="M570" s="150"/>
      <c r="N570" s="41"/>
      <c r="O570" s="41"/>
      <c r="P570" s="22"/>
      <c r="Q570" s="84"/>
      <c r="R570" s="84"/>
      <c r="S570" s="84"/>
      <c r="T570" s="84"/>
      <c r="U570" s="84"/>
      <c r="V570" s="91"/>
    </row>
    <row r="571" spans="2:22" s="44" customFormat="1" ht="21.95" customHeight="1" x14ac:dyDescent="0.2">
      <c r="B571" s="12" t="s">
        <v>475</v>
      </c>
      <c r="C571" s="13"/>
      <c r="D571" s="13"/>
      <c r="E571" s="14"/>
      <c r="F571" s="15"/>
      <c r="G571" s="36"/>
      <c r="H571" s="13"/>
      <c r="I571" s="13"/>
      <c r="J571" s="13"/>
      <c r="K571" s="13"/>
      <c r="L571" s="221"/>
      <c r="M571" s="150"/>
      <c r="N571" s="41"/>
      <c r="O571" s="41"/>
      <c r="P571" s="22"/>
      <c r="Q571" s="84"/>
      <c r="R571" s="84"/>
      <c r="S571" s="84"/>
      <c r="T571" s="84"/>
      <c r="U571" s="84"/>
      <c r="V571" s="91"/>
    </row>
    <row r="572" spans="2:22" ht="21.95" customHeight="1" x14ac:dyDescent="0.2">
      <c r="B572" s="153"/>
      <c r="F572" s="364"/>
      <c r="G572" s="364"/>
      <c r="H572" s="364"/>
      <c r="I572" s="364"/>
      <c r="J572" s="364"/>
      <c r="K572" s="364"/>
      <c r="L572" s="409"/>
      <c r="M572" s="150"/>
      <c r="N572" s="41"/>
      <c r="O572" s="41"/>
      <c r="P572" s="22"/>
      <c r="Q572" s="84"/>
      <c r="R572" s="84"/>
      <c r="S572" s="84"/>
      <c r="T572" s="84"/>
      <c r="U572" s="84"/>
      <c r="V572" s="91"/>
    </row>
    <row r="573" spans="2:22" ht="21.95" customHeight="1" x14ac:dyDescent="0.2">
      <c r="B573" s="154"/>
      <c r="F573" s="222"/>
      <c r="G573" s="222"/>
      <c r="H573" s="222"/>
      <c r="I573" s="222"/>
      <c r="J573" s="222"/>
      <c r="K573" s="222"/>
      <c r="L573" s="410"/>
      <c r="M573" s="150"/>
      <c r="N573" s="41"/>
      <c r="O573" s="41"/>
      <c r="P573" s="22"/>
      <c r="Q573" s="84"/>
      <c r="R573" s="84"/>
      <c r="S573" s="84"/>
      <c r="T573" s="84"/>
      <c r="U573" s="84"/>
      <c r="V573" s="91"/>
    </row>
    <row r="574" spans="2:22" ht="21.95" customHeight="1" x14ac:dyDescent="0.2">
      <c r="B574" s="153"/>
      <c r="F574" s="222"/>
      <c r="G574" s="222"/>
      <c r="H574" s="222"/>
      <c r="I574" s="222"/>
      <c r="J574" s="222"/>
      <c r="K574" s="222"/>
      <c r="L574" s="410"/>
      <c r="M574" s="150"/>
      <c r="N574" s="41"/>
      <c r="O574" s="41"/>
      <c r="P574" s="22"/>
      <c r="Q574" s="84"/>
      <c r="R574" s="84"/>
      <c r="S574" s="84"/>
      <c r="T574" s="84"/>
      <c r="U574" s="84"/>
      <c r="V574" s="91"/>
    </row>
    <row r="575" spans="2:22" ht="21.95" customHeight="1" x14ac:dyDescent="0.2">
      <c r="B575" s="153"/>
      <c r="C575" s="360"/>
      <c r="D575" s="360"/>
      <c r="E575" s="360"/>
      <c r="F575" s="222"/>
      <c r="G575" s="222"/>
      <c r="H575" s="222"/>
      <c r="I575" s="222"/>
      <c r="J575" s="222"/>
      <c r="K575" s="222"/>
      <c r="L575" s="410"/>
      <c r="M575" s="411"/>
      <c r="N575" s="20"/>
      <c r="O575" s="20"/>
      <c r="P575" s="412"/>
      <c r="Q575" s="84"/>
      <c r="R575" s="84"/>
      <c r="S575" s="84"/>
      <c r="T575" s="84"/>
      <c r="U575" s="84"/>
      <c r="V575" s="91"/>
    </row>
    <row r="576" spans="2:22" ht="21.95" customHeight="1" x14ac:dyDescent="0.2">
      <c r="B576" s="153"/>
      <c r="C576" s="20"/>
      <c r="D576" s="20"/>
      <c r="E576" s="20"/>
      <c r="F576" s="222"/>
      <c r="G576" s="222"/>
      <c r="H576" s="222"/>
      <c r="I576" s="222"/>
      <c r="J576" s="222"/>
      <c r="K576" s="222"/>
      <c r="L576" s="410"/>
      <c r="M576" s="411"/>
      <c r="N576" s="20"/>
      <c r="O576" s="20"/>
      <c r="P576" s="412"/>
      <c r="Q576" s="84"/>
      <c r="R576" s="84"/>
      <c r="S576" s="84"/>
      <c r="T576" s="84"/>
      <c r="U576" s="84"/>
      <c r="V576" s="91"/>
    </row>
    <row r="577" spans="2:22" ht="21.95" customHeight="1" x14ac:dyDescent="0.2">
      <c r="B577" s="37"/>
      <c r="C577" s="20"/>
      <c r="D577" s="20"/>
      <c r="E577" s="20"/>
      <c r="F577" s="20"/>
      <c r="G577" s="20"/>
      <c r="H577" s="20"/>
      <c r="I577" s="413"/>
      <c r="J577" s="38"/>
      <c r="K577" s="38"/>
      <c r="L577" s="358"/>
      <c r="M577" s="414"/>
      <c r="N577" s="38"/>
      <c r="O577" s="38"/>
      <c r="P577" s="415"/>
      <c r="Q577" s="84"/>
      <c r="R577" s="84"/>
      <c r="S577" s="84"/>
      <c r="T577" s="84"/>
      <c r="U577" s="84"/>
      <c r="V577" s="91"/>
    </row>
    <row r="578" spans="2:22" ht="21.95" hidden="1" customHeight="1" thickBot="1" x14ac:dyDescent="0.25">
      <c r="B578" s="100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416"/>
      <c r="R578" s="417"/>
      <c r="S578" s="417"/>
      <c r="T578" s="416"/>
      <c r="U578" s="416"/>
      <c r="V578" s="418"/>
    </row>
    <row r="579" spans="2:22" ht="21.95" hidden="1" customHeight="1" thickBot="1" x14ac:dyDescent="0.25">
      <c r="B579" s="866" t="s">
        <v>366</v>
      </c>
      <c r="C579" s="867"/>
      <c r="D579" s="867"/>
      <c r="E579" s="867"/>
      <c r="F579" s="867"/>
      <c r="G579" s="867"/>
      <c r="H579" s="867"/>
      <c r="I579" s="867"/>
      <c r="J579" s="867"/>
      <c r="K579" s="867"/>
      <c r="L579" s="867"/>
      <c r="M579" s="867"/>
      <c r="N579" s="867"/>
      <c r="O579" s="867"/>
      <c r="P579" s="867"/>
      <c r="Q579" s="867"/>
      <c r="R579" s="867"/>
      <c r="S579" s="867"/>
      <c r="T579" s="867"/>
      <c r="U579" s="867"/>
      <c r="V579" s="868"/>
    </row>
    <row r="580" spans="2:22" ht="21.95" hidden="1" customHeight="1" x14ac:dyDescent="0.2">
      <c r="B580" s="419"/>
      <c r="C580" s="420" t="s">
        <v>321</v>
      </c>
      <c r="D580" s="421" t="s">
        <v>322</v>
      </c>
      <c r="E580" s="796" t="s">
        <v>323</v>
      </c>
      <c r="F580" s="794"/>
      <c r="G580" s="794"/>
      <c r="H580" s="794"/>
      <c r="I580" s="794"/>
      <c r="J580" s="794" t="s">
        <v>82</v>
      </c>
      <c r="K580" s="794"/>
      <c r="L580" s="794"/>
      <c r="M580" s="422"/>
      <c r="N580" s="794" t="s">
        <v>324</v>
      </c>
      <c r="O580" s="794"/>
      <c r="P580" s="794"/>
      <c r="Q580" s="794"/>
      <c r="R580" s="794"/>
      <c r="S580" s="794"/>
      <c r="T580" s="794"/>
      <c r="U580" s="422"/>
      <c r="V580" s="423"/>
    </row>
    <row r="581" spans="2:22" ht="21.95" hidden="1" customHeight="1" x14ac:dyDescent="0.2">
      <c r="B581" s="359" t="s">
        <v>428</v>
      </c>
      <c r="C581" s="353" t="s">
        <v>298</v>
      </c>
      <c r="D581" s="424" t="s">
        <v>298</v>
      </c>
      <c r="E581" s="1109" t="s">
        <v>15</v>
      </c>
      <c r="F581" s="1110"/>
      <c r="G581" s="1110"/>
      <c r="H581" s="1110" t="s">
        <v>49</v>
      </c>
      <c r="I581" s="1113"/>
      <c r="J581" s="1125" t="s">
        <v>363</v>
      </c>
      <c r="K581" s="1126"/>
      <c r="L581" s="453">
        <v>-0.125</v>
      </c>
      <c r="N581" s="425" t="s">
        <v>325</v>
      </c>
      <c r="O581" s="425"/>
      <c r="P581" s="425"/>
      <c r="Q581" s="425"/>
      <c r="R581" s="425"/>
      <c r="S581" s="425"/>
      <c r="T581" s="425"/>
      <c r="U581" s="426"/>
      <c r="V581" s="427"/>
    </row>
    <row r="582" spans="2:22" ht="21.95" hidden="1" customHeight="1" x14ac:dyDescent="0.25">
      <c r="B582" s="26">
        <v>5.375</v>
      </c>
      <c r="C582" s="20">
        <v>77.75</v>
      </c>
      <c r="D582" s="27">
        <v>78.125</v>
      </c>
      <c r="E582" s="1111"/>
      <c r="F582" s="1112"/>
      <c r="G582" s="1112"/>
      <c r="H582" s="590" t="s">
        <v>326</v>
      </c>
      <c r="I582" s="591" t="s">
        <v>327</v>
      </c>
      <c r="J582" s="1125" t="s">
        <v>364</v>
      </c>
      <c r="K582" s="1126"/>
      <c r="L582" s="453">
        <v>-0.25</v>
      </c>
      <c r="N582" s="425" t="s">
        <v>42</v>
      </c>
      <c r="O582" s="425"/>
      <c r="P582" s="1114" t="s">
        <v>253</v>
      </c>
      <c r="Q582" s="1115"/>
      <c r="R582" s="429" t="s">
        <v>328</v>
      </c>
      <c r="S582" s="429" t="s">
        <v>15</v>
      </c>
      <c r="T582" s="429" t="s">
        <v>329</v>
      </c>
      <c r="U582" s="41"/>
      <c r="V582" s="25"/>
    </row>
    <row r="583" spans="2:22" ht="21.95" hidden="1" customHeight="1" x14ac:dyDescent="0.2">
      <c r="B583" s="26">
        <v>5.5</v>
      </c>
      <c r="C583" s="20">
        <v>78.125</v>
      </c>
      <c r="D583" s="27">
        <v>78.5</v>
      </c>
      <c r="E583" s="1190" t="s">
        <v>330</v>
      </c>
      <c r="F583" s="1191"/>
      <c r="G583" s="430"/>
      <c r="H583" s="431">
        <v>0</v>
      </c>
      <c r="I583" s="432">
        <v>-0.5</v>
      </c>
      <c r="J583" s="1125" t="s">
        <v>365</v>
      </c>
      <c r="K583" s="1126"/>
      <c r="L583" s="453">
        <v>-0.25</v>
      </c>
      <c r="N583" s="433" t="s">
        <v>331</v>
      </c>
      <c r="O583" s="433"/>
      <c r="P583" s="1123">
        <v>1000000</v>
      </c>
      <c r="Q583" s="1124"/>
      <c r="R583" s="434">
        <v>1</v>
      </c>
      <c r="S583" s="435">
        <v>720</v>
      </c>
      <c r="T583" s="436">
        <v>0.43</v>
      </c>
      <c r="U583" s="41"/>
      <c r="V583" s="25"/>
    </row>
    <row r="584" spans="2:22" ht="21.95" hidden="1" customHeight="1" x14ac:dyDescent="0.2">
      <c r="B584" s="26">
        <v>5.625</v>
      </c>
      <c r="C584" s="20">
        <v>78.5</v>
      </c>
      <c r="D584" s="27">
        <v>78.875</v>
      </c>
      <c r="E584" s="1127" t="s">
        <v>46</v>
      </c>
      <c r="F584" s="1128"/>
      <c r="G584" s="437"/>
      <c r="H584" s="438">
        <v>-0.125</v>
      </c>
      <c r="I584" s="439">
        <v>-0.625</v>
      </c>
      <c r="J584" s="428"/>
      <c r="N584" s="433" t="s">
        <v>331</v>
      </c>
      <c r="O584" s="433"/>
      <c r="P584" s="1123">
        <v>1500000</v>
      </c>
      <c r="Q584" s="1124"/>
      <c r="R584" s="434">
        <v>0.95</v>
      </c>
      <c r="S584" s="440"/>
      <c r="T584" s="441"/>
      <c r="U584" s="41"/>
      <c r="V584" s="25"/>
    </row>
    <row r="585" spans="2:22" ht="21.95" hidden="1" customHeight="1" x14ac:dyDescent="0.2">
      <c r="B585" s="26">
        <v>5.75</v>
      </c>
      <c r="C585" s="20">
        <v>78.875</v>
      </c>
      <c r="D585" s="27">
        <v>79.25</v>
      </c>
      <c r="E585" s="1027" t="s">
        <v>332</v>
      </c>
      <c r="F585" s="954"/>
      <c r="G585" s="954"/>
      <c r="H585" s="954"/>
      <c r="I585" s="954"/>
      <c r="J585" s="954"/>
      <c r="K585" s="954"/>
      <c r="L585" s="954"/>
      <c r="N585" s="442" t="s">
        <v>333</v>
      </c>
      <c r="O585" s="443"/>
      <c r="P585" s="443"/>
      <c r="Q585" s="443"/>
      <c r="R585" s="443"/>
      <c r="S585" s="443"/>
      <c r="T585" s="443"/>
      <c r="U585" s="444"/>
      <c r="V585" s="31"/>
    </row>
    <row r="586" spans="2:22" ht="21.95" hidden="1" customHeight="1" x14ac:dyDescent="0.25">
      <c r="B586" s="26">
        <v>5.875</v>
      </c>
      <c r="C586" s="20">
        <v>79.25</v>
      </c>
      <c r="D586" s="27">
        <v>79.625</v>
      </c>
      <c r="E586" s="1129" t="s">
        <v>334</v>
      </c>
      <c r="F586" s="1129"/>
      <c r="G586" s="1130" t="s">
        <v>335</v>
      </c>
      <c r="H586" s="1130"/>
      <c r="I586" s="1176" t="s">
        <v>336</v>
      </c>
      <c r="J586" s="1176"/>
      <c r="K586" s="1176" t="s">
        <v>337</v>
      </c>
      <c r="L586" s="1176"/>
      <c r="N586" s="445" t="s">
        <v>338</v>
      </c>
      <c r="P586" s="442"/>
      <c r="Q586" s="446"/>
      <c r="R586" s="442"/>
      <c r="S586" s="446"/>
      <c r="T586" s="446"/>
      <c r="U586" s="41"/>
      <c r="V586" s="25"/>
    </row>
    <row r="587" spans="2:22" ht="21.95" hidden="1" customHeight="1" x14ac:dyDescent="0.2">
      <c r="B587" s="26">
        <v>6</v>
      </c>
      <c r="C587" s="20">
        <v>79.625</v>
      </c>
      <c r="D587" s="27">
        <v>80</v>
      </c>
      <c r="E587" s="1119" t="s">
        <v>339</v>
      </c>
      <c r="F587" s="1119"/>
      <c r="G587" s="1120">
        <v>0.02</v>
      </c>
      <c r="H587" s="1121"/>
      <c r="I587" s="1116">
        <v>0.01</v>
      </c>
      <c r="J587" s="1117"/>
      <c r="K587" s="1116">
        <v>0.05</v>
      </c>
      <c r="L587" s="1117"/>
      <c r="M587" s="447"/>
      <c r="N587" s="447"/>
      <c r="O587" s="447"/>
      <c r="P587" s="447"/>
      <c r="Q587" s="447"/>
      <c r="R587" s="20"/>
      <c r="S587" s="20"/>
      <c r="T587" s="20"/>
      <c r="U587" s="20"/>
      <c r="V587" s="50"/>
    </row>
    <row r="588" spans="2:22" ht="21.95" hidden="1" customHeight="1" x14ac:dyDescent="0.2">
      <c r="B588" s="26">
        <v>6.125</v>
      </c>
      <c r="C588" s="20">
        <v>80</v>
      </c>
      <c r="D588" s="27">
        <v>80.375</v>
      </c>
      <c r="E588" s="1119" t="s">
        <v>340</v>
      </c>
      <c r="F588" s="1119"/>
      <c r="G588" s="1120">
        <v>0.05</v>
      </c>
      <c r="H588" s="1121"/>
      <c r="I588" s="1116">
        <v>0.01</v>
      </c>
      <c r="J588" s="1117"/>
      <c r="K588" s="1116">
        <v>0.05</v>
      </c>
      <c r="L588" s="1117"/>
      <c r="M588" s="447"/>
      <c r="N588" s="1177" t="s">
        <v>341</v>
      </c>
      <c r="O588" s="1178"/>
      <c r="P588" s="1178"/>
      <c r="Q588" s="1178"/>
      <c r="R588" s="1178"/>
      <c r="S588" s="1178"/>
      <c r="T588" s="1178"/>
      <c r="U588" s="1178"/>
      <c r="V588" s="50"/>
    </row>
    <row r="589" spans="2:22" ht="21.95" hidden="1" customHeight="1" x14ac:dyDescent="0.25">
      <c r="B589" s="26">
        <v>6.25</v>
      </c>
      <c r="C589" s="20">
        <v>80.375</v>
      </c>
      <c r="D589" s="27">
        <v>80.75</v>
      </c>
      <c r="E589" s="592"/>
      <c r="F589" s="593"/>
      <c r="G589" s="594"/>
      <c r="H589" s="594"/>
      <c r="I589" s="595"/>
      <c r="J589" s="595"/>
      <c r="K589" s="595"/>
      <c r="L589" s="595"/>
      <c r="M589" s="20"/>
      <c r="N589" s="448" t="s">
        <v>342</v>
      </c>
      <c r="O589" s="448"/>
      <c r="P589" s="448"/>
      <c r="Q589" s="448"/>
      <c r="R589" s="448" t="s">
        <v>343</v>
      </c>
      <c r="S589" s="448"/>
      <c r="T589" s="448"/>
      <c r="U589" s="447"/>
      <c r="V589" s="50"/>
    </row>
    <row r="590" spans="2:22" ht="21.95" hidden="1" customHeight="1" x14ac:dyDescent="0.2">
      <c r="B590" s="26">
        <v>6.375</v>
      </c>
      <c r="C590" s="20">
        <v>80.75</v>
      </c>
      <c r="D590" s="27">
        <v>81</v>
      </c>
      <c r="E590" s="596"/>
      <c r="F590" s="445"/>
      <c r="G590" s="597"/>
      <c r="H590" s="598"/>
      <c r="I590" s="599"/>
      <c r="K590" s="599"/>
      <c r="M590" s="20"/>
      <c r="N590" s="449" t="s">
        <v>344</v>
      </c>
      <c r="O590" s="449"/>
      <c r="P590" s="449"/>
      <c r="Q590" s="449"/>
      <c r="R590" s="449" t="s">
        <v>345</v>
      </c>
      <c r="S590" s="449"/>
      <c r="T590" s="449"/>
      <c r="U590" s="447"/>
      <c r="V590" s="50"/>
    </row>
    <row r="591" spans="2:22" ht="21.95" hidden="1" customHeight="1" x14ac:dyDescent="0.2">
      <c r="B591" s="26"/>
      <c r="C591" s="20"/>
      <c r="D591" s="27"/>
      <c r="E591" s="596"/>
      <c r="F591" s="445"/>
      <c r="G591" s="597"/>
      <c r="H591" s="598"/>
      <c r="I591" s="599"/>
      <c r="K591" s="599"/>
      <c r="M591" s="20"/>
      <c r="N591" s="449" t="s">
        <v>346</v>
      </c>
      <c r="O591" s="449"/>
      <c r="P591" s="449"/>
      <c r="Q591" s="449"/>
      <c r="R591" s="449" t="s">
        <v>347</v>
      </c>
      <c r="S591" s="449"/>
      <c r="T591" s="449"/>
      <c r="U591" s="20"/>
      <c r="V591" s="50"/>
    </row>
    <row r="592" spans="2:22" ht="21.95" hidden="1" customHeight="1" x14ac:dyDescent="0.2">
      <c r="B592" s="26"/>
      <c r="C592" s="20"/>
      <c r="D592" s="27"/>
      <c r="M592" s="20"/>
      <c r="N592" s="449" t="s">
        <v>348</v>
      </c>
      <c r="O592" s="449"/>
      <c r="P592" s="449"/>
      <c r="Q592" s="449"/>
      <c r="R592" s="449" t="s">
        <v>349</v>
      </c>
      <c r="S592" s="449"/>
      <c r="T592" s="449"/>
      <c r="U592" s="20"/>
      <c r="V592" s="50"/>
    </row>
    <row r="593" spans="2:26" ht="21.95" hidden="1" customHeight="1" x14ac:dyDescent="0.2">
      <c r="B593" s="26"/>
      <c r="C593" s="20"/>
      <c r="D593" s="27"/>
      <c r="M593" s="20"/>
      <c r="N593" s="449" t="s">
        <v>350</v>
      </c>
      <c r="O593" s="450"/>
      <c r="P593" s="450"/>
      <c r="Q593" s="450"/>
      <c r="R593" s="450" t="s">
        <v>351</v>
      </c>
      <c r="S593" s="450"/>
      <c r="T593" s="450"/>
      <c r="U593" s="20"/>
      <c r="V593" s="50"/>
    </row>
    <row r="594" spans="2:26" ht="21.95" hidden="1" customHeight="1" x14ac:dyDescent="0.2">
      <c r="B594" s="26"/>
      <c r="C594" s="20"/>
      <c r="D594" s="27"/>
      <c r="M594" s="20"/>
      <c r="N594" s="450" t="s">
        <v>352</v>
      </c>
      <c r="O594" s="449"/>
      <c r="P594" s="449"/>
      <c r="Q594" s="449"/>
      <c r="R594" s="449" t="s">
        <v>353</v>
      </c>
      <c r="S594" s="449"/>
      <c r="T594" s="449"/>
      <c r="U594" s="20"/>
      <c r="V594" s="50"/>
    </row>
    <row r="595" spans="2:26" ht="21.95" hidden="1" customHeight="1" x14ac:dyDescent="0.2">
      <c r="B595" s="26"/>
      <c r="C595" s="20"/>
      <c r="D595" s="27"/>
      <c r="M595" s="20"/>
      <c r="N595" s="449" t="s">
        <v>354</v>
      </c>
      <c r="O595" s="451"/>
      <c r="P595" s="451"/>
      <c r="Q595" s="451"/>
      <c r="R595" s="451" t="s">
        <v>355</v>
      </c>
      <c r="S595" s="451"/>
      <c r="T595" s="451"/>
      <c r="U595" s="20"/>
      <c r="V595" s="50"/>
    </row>
    <row r="596" spans="2:26" ht="21.95" hidden="1" customHeight="1" x14ac:dyDescent="0.2">
      <c r="B596" s="26"/>
      <c r="C596" s="20"/>
      <c r="D596" s="27"/>
      <c r="M596" s="20"/>
      <c r="N596" s="20"/>
      <c r="O596" s="20"/>
      <c r="P596" s="20"/>
      <c r="Q596" s="20"/>
      <c r="R596" s="20"/>
      <c r="S596" s="20"/>
      <c r="T596" s="20"/>
      <c r="U596" s="20"/>
      <c r="V596" s="50"/>
    </row>
    <row r="597" spans="2:26" ht="21.95" hidden="1" customHeight="1" x14ac:dyDescent="0.2">
      <c r="B597" s="26"/>
      <c r="C597" s="20"/>
      <c r="D597" s="27"/>
      <c r="M597" s="20"/>
      <c r="N597" s="20"/>
      <c r="O597" s="20"/>
      <c r="P597" s="20"/>
      <c r="Q597" s="20"/>
      <c r="R597" s="20"/>
      <c r="S597" s="20"/>
      <c r="T597" s="20"/>
      <c r="U597" s="20"/>
      <c r="V597" s="50"/>
    </row>
    <row r="598" spans="2:26" ht="21.95" hidden="1" customHeight="1" thickBot="1" x14ac:dyDescent="0.25">
      <c r="B598" s="26"/>
      <c r="C598" s="20"/>
      <c r="D598" s="27"/>
      <c r="E598" s="126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452"/>
    </row>
    <row r="599" spans="2:26" ht="21.95" customHeight="1" x14ac:dyDescent="0.2">
      <c r="B599" s="100"/>
      <c r="C599" s="74"/>
      <c r="D599" s="74"/>
      <c r="E599" s="74"/>
      <c r="F599" s="190"/>
      <c r="G599" s="190"/>
      <c r="H599" s="190"/>
      <c r="I599" s="190"/>
      <c r="J599" s="190"/>
      <c r="K599" s="190"/>
      <c r="L599" s="190"/>
      <c r="M599" s="190"/>
      <c r="N599" s="190"/>
      <c r="O599" s="190"/>
      <c r="P599" s="190"/>
      <c r="Q599" s="190"/>
      <c r="R599" s="1037" t="s">
        <v>90</v>
      </c>
      <c r="S599" s="1037"/>
      <c r="T599" s="190"/>
      <c r="U599" s="190"/>
      <c r="V599" s="191"/>
    </row>
    <row r="600" spans="2:26" s="44" customFormat="1" ht="21.95" customHeight="1" x14ac:dyDescent="0.2">
      <c r="B600" s="131"/>
      <c r="C600" s="80"/>
      <c r="D600" s="80"/>
      <c r="E600" s="81"/>
      <c r="F600" s="193"/>
      <c r="G600" s="84"/>
      <c r="H600" s="84"/>
      <c r="I600" s="84"/>
      <c r="J600" s="84"/>
      <c r="K600" s="711" t="s">
        <v>57</v>
      </c>
      <c r="L600" s="84"/>
      <c r="M600" s="84"/>
      <c r="N600" s="84"/>
      <c r="O600" s="84"/>
      <c r="P600" s="195"/>
      <c r="Q600" s="195"/>
      <c r="R600" s="1036" t="s">
        <v>91</v>
      </c>
      <c r="S600" s="1036"/>
      <c r="T600" s="210">
        <v>1595</v>
      </c>
      <c r="U600" s="84"/>
      <c r="V600" s="196"/>
    </row>
    <row r="601" spans="2:26" s="44" customFormat="1" ht="28.5" customHeight="1" x14ac:dyDescent="0.2">
      <c r="B601" s="135"/>
      <c r="C601" s="80"/>
      <c r="D601" s="80"/>
      <c r="E601" s="81"/>
      <c r="F601" s="85"/>
      <c r="G601" s="84"/>
      <c r="H601" s="84"/>
      <c r="I601" s="84"/>
      <c r="J601" s="84"/>
      <c r="K601" s="711" t="s">
        <v>58</v>
      </c>
      <c r="L601" s="84"/>
      <c r="M601" s="84"/>
      <c r="N601" s="84"/>
      <c r="O601" s="84"/>
      <c r="P601" s="84"/>
      <c r="Q601" s="84"/>
      <c r="R601" s="1118" t="s">
        <v>156</v>
      </c>
      <c r="S601" s="1118"/>
      <c r="T601" s="201">
        <v>700</v>
      </c>
      <c r="U601" s="192"/>
      <c r="V601" s="199"/>
    </row>
    <row r="602" spans="2:26" s="44" customFormat="1" ht="21.95" customHeight="1" x14ac:dyDescent="0.2">
      <c r="B602" s="135"/>
      <c r="C602" s="80"/>
      <c r="D602" s="80"/>
      <c r="E602" s="81"/>
      <c r="F602" s="85"/>
      <c r="G602" s="84"/>
      <c r="H602" s="84"/>
      <c r="I602" s="84"/>
      <c r="J602" s="84"/>
      <c r="K602" s="712" t="s">
        <v>67</v>
      </c>
      <c r="L602" s="84"/>
      <c r="M602" s="84"/>
      <c r="N602" s="84"/>
      <c r="O602" s="84"/>
      <c r="P602" s="84"/>
      <c r="Q602" s="84"/>
      <c r="R602" s="209"/>
      <c r="S602" s="200" t="s">
        <v>157</v>
      </c>
      <c r="T602" s="201">
        <v>295</v>
      </c>
      <c r="U602" s="192"/>
      <c r="V602" s="202"/>
    </row>
    <row r="603" spans="2:26" s="44" customFormat="1" ht="21.95" customHeight="1" thickBot="1" x14ac:dyDescent="0.25">
      <c r="B603" s="135"/>
      <c r="C603" s="80"/>
      <c r="D603" s="80"/>
      <c r="E603" s="81"/>
      <c r="F603" s="85"/>
      <c r="G603" s="84"/>
      <c r="H603" s="84"/>
      <c r="I603" s="84"/>
      <c r="J603" s="84"/>
      <c r="K603" s="712" t="s">
        <v>59</v>
      </c>
      <c r="L603" s="84"/>
      <c r="M603" s="84"/>
      <c r="N603" s="84"/>
      <c r="O603" s="84"/>
      <c r="P603" s="195"/>
      <c r="Q603" s="1020" t="s">
        <v>158</v>
      </c>
      <c r="R603" s="1020"/>
      <c r="S603" s="1020"/>
      <c r="T603" s="201">
        <v>0</v>
      </c>
      <c r="U603" s="192"/>
      <c r="V603" s="199"/>
    </row>
    <row r="604" spans="2:26" s="651" customFormat="1" ht="21.95" customHeight="1" x14ac:dyDescent="0.3">
      <c r="B604" s="655" t="s">
        <v>515</v>
      </c>
      <c r="C604" s="656"/>
      <c r="D604" s="656"/>
      <c r="E604" s="656"/>
      <c r="F604" s="656"/>
      <c r="G604" s="656"/>
      <c r="H604" s="656"/>
      <c r="I604" s="656"/>
      <c r="J604" s="656"/>
      <c r="K604" s="656"/>
      <c r="L604" s="656"/>
      <c r="M604" s="656"/>
      <c r="N604" s="656"/>
      <c r="O604" s="656"/>
      <c r="P604" s="656"/>
      <c r="Q604" s="656"/>
      <c r="R604" s="656"/>
      <c r="S604" s="656"/>
      <c r="T604" s="656"/>
      <c r="U604" s="656"/>
      <c r="V604" s="656"/>
      <c r="W604" s="656"/>
      <c r="X604" s="962" t="s">
        <v>0</v>
      </c>
      <c r="Y604" s="962"/>
      <c r="Z604" s="963"/>
    </row>
    <row r="605" spans="2:26" s="651" customFormat="1" ht="21.95" customHeight="1" x14ac:dyDescent="0.3">
      <c r="B605" s="657" t="s">
        <v>68</v>
      </c>
      <c r="C605" s="658"/>
      <c r="D605" s="658"/>
      <c r="E605" s="658"/>
      <c r="F605" s="658"/>
      <c r="G605" s="658"/>
      <c r="H605" s="659"/>
      <c r="I605" s="659"/>
      <c r="J605" s="658"/>
      <c r="K605" s="658"/>
      <c r="L605" s="658"/>
      <c r="M605" s="658"/>
      <c r="N605" s="658"/>
      <c r="O605" s="658"/>
      <c r="P605" s="658"/>
      <c r="Q605" s="658"/>
      <c r="R605" s="658"/>
      <c r="S605" s="658"/>
      <c r="T605" s="658"/>
      <c r="U605" s="658"/>
      <c r="V605" s="658"/>
      <c r="W605" s="934">
        <f ca="1">TODAY()</f>
        <v>46101</v>
      </c>
      <c r="X605" s="934"/>
      <c r="Y605" s="935">
        <v>0.4375</v>
      </c>
      <c r="Z605" s="936"/>
    </row>
    <row r="606" spans="2:26" s="651" customFormat="1" ht="21.95" customHeight="1" x14ac:dyDescent="0.3">
      <c r="B606" s="657" t="s">
        <v>69</v>
      </c>
      <c r="C606" s="658"/>
      <c r="D606" s="658"/>
      <c r="E606" s="658"/>
      <c r="F606" s="658"/>
      <c r="G606" s="658"/>
      <c r="H606" s="658"/>
      <c r="I606" s="658"/>
      <c r="J606" s="658"/>
      <c r="K606" s="658"/>
      <c r="L606" s="658"/>
      <c r="M606" s="658"/>
      <c r="N606" s="658"/>
      <c r="O606" s="658"/>
      <c r="P606" s="658"/>
      <c r="Q606" s="658"/>
      <c r="R606" s="658"/>
      <c r="S606" s="658"/>
      <c r="T606" s="658"/>
      <c r="U606" s="658"/>
      <c r="V606" s="658"/>
      <c r="W606" s="658"/>
      <c r="X606" s="658"/>
      <c r="Y606" s="658"/>
      <c r="Z606" s="660"/>
    </row>
    <row r="607" spans="2:26" s="651" customFormat="1" ht="21.95" customHeight="1" x14ac:dyDescent="0.3">
      <c r="B607" s="661" t="s">
        <v>72</v>
      </c>
      <c r="C607" s="658"/>
      <c r="D607" s="658"/>
      <c r="E607" s="658"/>
      <c r="F607" s="658"/>
      <c r="G607" s="662"/>
      <c r="H607" s="662"/>
      <c r="I607" s="662"/>
      <c r="J607" s="662"/>
      <c r="K607" s="662"/>
      <c r="L607" s="662"/>
      <c r="M607" s="662"/>
      <c r="N607" s="662"/>
      <c r="O607" s="662"/>
      <c r="P607" s="662"/>
      <c r="Q607" s="662"/>
      <c r="R607" s="662"/>
      <c r="S607" s="662"/>
      <c r="T607" s="662"/>
      <c r="U607" s="662"/>
      <c r="V607" s="662"/>
      <c r="W607" s="658" t="s">
        <v>161</v>
      </c>
      <c r="X607" s="663"/>
      <c r="Y607" s="663"/>
      <c r="Z607" s="660"/>
    </row>
    <row r="608" spans="2:26" s="651" customFormat="1" ht="21.95" customHeight="1" x14ac:dyDescent="0.3">
      <c r="B608" s="657"/>
      <c r="C608" s="664"/>
      <c r="D608" s="664"/>
      <c r="E608" s="664"/>
      <c r="F608" s="664"/>
      <c r="G608" s="664"/>
      <c r="H608" s="664"/>
      <c r="I608" s="664"/>
      <c r="J608" s="664"/>
      <c r="K608" s="664"/>
      <c r="L608" s="664"/>
      <c r="M608" s="664"/>
      <c r="N608" s="664"/>
      <c r="O608" s="664"/>
      <c r="P608" s="664"/>
      <c r="Q608" s="664"/>
      <c r="R608" s="664"/>
      <c r="S608" s="664"/>
      <c r="T608" s="664"/>
      <c r="U608" s="664"/>
      <c r="V608" s="664"/>
      <c r="W608" s="663" t="s">
        <v>65</v>
      </c>
      <c r="X608" s="658"/>
      <c r="Y608" s="658"/>
      <c r="Z608" s="665"/>
    </row>
    <row r="609" spans="2:26" s="666" customFormat="1" ht="21.95" customHeight="1" thickBot="1" x14ac:dyDescent="0.35">
      <c r="B609" s="667" t="s">
        <v>73</v>
      </c>
      <c r="C609" s="668"/>
      <c r="D609" s="668"/>
      <c r="E609" s="668"/>
      <c r="F609" s="668"/>
      <c r="G609" s="668"/>
      <c r="H609" s="668"/>
      <c r="I609" s="668"/>
      <c r="J609" s="668"/>
      <c r="K609" s="668"/>
      <c r="L609" s="668"/>
      <c r="M609" s="668"/>
      <c r="N609" s="668"/>
      <c r="O609" s="668"/>
      <c r="P609" s="668"/>
      <c r="Q609" s="668"/>
      <c r="R609" s="668"/>
      <c r="S609" s="668"/>
      <c r="T609" s="668"/>
      <c r="U609" s="668"/>
      <c r="V609" s="668"/>
      <c r="W609" s="669"/>
      <c r="X609" s="670"/>
      <c r="Y609" s="670"/>
      <c r="Z609" s="671"/>
    </row>
    <row r="610" spans="2:26" ht="21.95" customHeight="1" x14ac:dyDescent="0.2">
      <c r="B610" s="509"/>
      <c r="C610" s="500"/>
      <c r="D610" s="500"/>
      <c r="E610" s="500"/>
      <c r="F610" s="500"/>
      <c r="G610" s="500"/>
      <c r="H610" s="500"/>
      <c r="I610" s="500"/>
      <c r="J610" s="500"/>
      <c r="K610" s="500"/>
      <c r="L610" s="500"/>
      <c r="M610" s="500"/>
      <c r="N610" s="500"/>
      <c r="O610" s="500"/>
      <c r="P610" s="500"/>
      <c r="Q610" s="500"/>
      <c r="R610" s="500"/>
      <c r="S610" s="500"/>
      <c r="T610" s="500"/>
      <c r="U610" s="500"/>
      <c r="V610" s="500"/>
      <c r="W610" s="500"/>
      <c r="X610" s="500"/>
      <c r="Y610" s="500"/>
      <c r="Z610" s="502"/>
    </row>
    <row r="611" spans="2:26" ht="21.95" customHeight="1" x14ac:dyDescent="0.2">
      <c r="B611" s="509"/>
      <c r="C611" s="500"/>
      <c r="D611" s="500"/>
      <c r="E611" s="500"/>
      <c r="F611" s="500"/>
      <c r="G611" s="500"/>
      <c r="H611" s="500"/>
      <c r="I611" s="500"/>
      <c r="J611" s="500"/>
      <c r="K611" s="500"/>
      <c r="L611" s="500"/>
      <c r="M611" s="500"/>
      <c r="N611" s="500"/>
      <c r="O611" s="500"/>
      <c r="P611" s="500"/>
      <c r="Q611" s="500"/>
      <c r="R611" s="500"/>
      <c r="S611" s="500"/>
      <c r="T611" s="500"/>
      <c r="U611" s="500"/>
      <c r="V611" s="500"/>
      <c r="W611" s="500"/>
      <c r="X611" s="500"/>
      <c r="Y611" s="500"/>
      <c r="Z611" s="502"/>
    </row>
    <row r="612" spans="2:26" ht="21.95" customHeight="1" thickBot="1" x14ac:dyDescent="0.25">
      <c r="B612" s="937" t="s">
        <v>356</v>
      </c>
      <c r="C612" s="938"/>
      <c r="D612" s="938"/>
      <c r="E612" s="938"/>
      <c r="F612" s="938"/>
      <c r="G612" s="938"/>
      <c r="H612" s="938"/>
      <c r="I612" s="938"/>
      <c r="J612" s="938"/>
      <c r="K612" s="938"/>
      <c r="L612" s="938"/>
      <c r="M612" s="938"/>
      <c r="N612" s="938"/>
      <c r="O612" s="938"/>
      <c r="P612" s="938"/>
      <c r="Q612" s="938"/>
      <c r="R612" s="938"/>
      <c r="S612" s="938"/>
      <c r="T612" s="938"/>
      <c r="U612" s="938"/>
      <c r="V612" s="938"/>
      <c r="W612" s="938"/>
      <c r="X612" s="938"/>
      <c r="Y612" s="938"/>
      <c r="Z612" s="939"/>
    </row>
    <row r="613" spans="2:26" ht="21.95" customHeight="1" x14ac:dyDescent="0.2">
      <c r="B613" s="793" t="s">
        <v>34</v>
      </c>
      <c r="C613" s="794"/>
      <c r="D613" s="794"/>
      <c r="E613" s="794"/>
      <c r="F613" s="794"/>
      <c r="G613" s="794"/>
      <c r="H613" s="795"/>
      <c r="I613" s="796" t="s">
        <v>36</v>
      </c>
      <c r="J613" s="794"/>
      <c r="K613" s="794"/>
      <c r="L613" s="794"/>
      <c r="M613" s="794"/>
      <c r="N613" s="794"/>
      <c r="O613" s="910"/>
      <c r="P613" s="940" t="s">
        <v>78</v>
      </c>
      <c r="Q613" s="941"/>
      <c r="R613" s="941"/>
      <c r="S613" s="941"/>
      <c r="T613" s="941"/>
      <c r="U613" s="941"/>
      <c r="V613" s="941"/>
      <c r="W613" s="941"/>
      <c r="X613" s="941"/>
      <c r="Y613" s="941"/>
      <c r="Z613" s="942"/>
    </row>
    <row r="614" spans="2:26" ht="21.95" customHeight="1" x14ac:dyDescent="0.2">
      <c r="B614" s="352" t="s">
        <v>4</v>
      </c>
      <c r="C614" s="353"/>
      <c r="D614" s="353"/>
      <c r="E614" s="353"/>
      <c r="F614" s="353" t="s">
        <v>75</v>
      </c>
      <c r="G614" s="353" t="s">
        <v>302</v>
      </c>
      <c r="H614" s="354" t="s">
        <v>303</v>
      </c>
      <c r="I614" s="355" t="s">
        <v>4</v>
      </c>
      <c r="J614" s="356"/>
      <c r="K614" s="356"/>
      <c r="L614" s="356"/>
      <c r="M614" s="356" t="s">
        <v>75</v>
      </c>
      <c r="N614" s="356" t="s">
        <v>302</v>
      </c>
      <c r="O614" s="354" t="s">
        <v>303</v>
      </c>
      <c r="P614" s="12" t="s">
        <v>82</v>
      </c>
      <c r="Q614" s="13"/>
      <c r="R614" s="13"/>
      <c r="S614" s="14" t="s">
        <v>80</v>
      </c>
      <c r="T614" s="15" t="s">
        <v>81</v>
      </c>
      <c r="U614" s="12" t="s">
        <v>488</v>
      </c>
      <c r="V614" s="13"/>
      <c r="W614" s="13"/>
      <c r="X614" s="14" t="s">
        <v>491</v>
      </c>
      <c r="Y614" s="1064" t="s">
        <v>492</v>
      </c>
      <c r="Z614" s="1065"/>
    </row>
    <row r="615" spans="2:26" ht="21.95" customHeight="1" x14ac:dyDescent="0.2">
      <c r="B615" s="26">
        <f t="shared" ref="B615:B628" si="179">B12</f>
        <v>4.99</v>
      </c>
      <c r="C615" s="20"/>
      <c r="D615" s="20"/>
      <c r="E615" s="20"/>
      <c r="F615" s="20">
        <v>95.014200000000002</v>
      </c>
      <c r="G615" s="20">
        <v>94.248500000000007</v>
      </c>
      <c r="H615" s="50">
        <v>94.181899999999999</v>
      </c>
      <c r="I615" s="360">
        <f t="shared" ref="I615:I628" si="180">I12</f>
        <v>4.625</v>
      </c>
      <c r="J615" s="20"/>
      <c r="K615" s="20"/>
      <c r="L615" s="20"/>
      <c r="M615" s="20">
        <v>93.688000000000002</v>
      </c>
      <c r="N615" s="20">
        <v>93.176600000000008</v>
      </c>
      <c r="O615" s="20">
        <v>93.029200000000003</v>
      </c>
      <c r="P615" s="21" t="s">
        <v>93</v>
      </c>
      <c r="Q615" s="24"/>
      <c r="R615" s="24"/>
      <c r="S615" s="361">
        <v>-0.5</v>
      </c>
      <c r="T615" s="22">
        <v>-0.5</v>
      </c>
      <c r="U615" s="685" t="s">
        <v>489</v>
      </c>
      <c r="V615" s="686"/>
      <c r="W615" s="686"/>
      <c r="X615" s="690">
        <v>0.15</v>
      </c>
      <c r="Y615" s="685"/>
      <c r="Z615" s="691">
        <v>0</v>
      </c>
    </row>
    <row r="616" spans="2:26" ht="21.95" customHeight="1" x14ac:dyDescent="0.2">
      <c r="B616" s="26">
        <f t="shared" si="179"/>
        <v>5.125</v>
      </c>
      <c r="C616" s="20"/>
      <c r="D616" s="20"/>
      <c r="E616" s="20"/>
      <c r="F616" s="20">
        <v>95.51400000000001</v>
      </c>
      <c r="G616" s="20">
        <v>94.748200000000011</v>
      </c>
      <c r="H616" s="50">
        <v>94.681600000000003</v>
      </c>
      <c r="I616" s="360">
        <f t="shared" si="180"/>
        <v>4.75</v>
      </c>
      <c r="J616" s="20"/>
      <c r="K616" s="20"/>
      <c r="L616" s="20"/>
      <c r="M616" s="20">
        <v>94.445099999999996</v>
      </c>
      <c r="N616" s="20">
        <v>93.934000000000012</v>
      </c>
      <c r="O616" s="20">
        <v>93.7971</v>
      </c>
      <c r="P616" s="21" t="s">
        <v>94</v>
      </c>
      <c r="Q616" s="24"/>
      <c r="R616" s="24"/>
      <c r="S616" s="361">
        <v>0</v>
      </c>
      <c r="T616" s="22">
        <v>0</v>
      </c>
      <c r="U616" s="685" t="s">
        <v>490</v>
      </c>
      <c r="V616" s="686"/>
      <c r="W616" s="686"/>
      <c r="X616" s="690">
        <v>0.15</v>
      </c>
      <c r="Y616" s="685"/>
      <c r="Z616" s="691">
        <v>0</v>
      </c>
    </row>
    <row r="617" spans="2:26" ht="21.95" customHeight="1" x14ac:dyDescent="0.2">
      <c r="B617" s="26">
        <f t="shared" si="179"/>
        <v>5.25</v>
      </c>
      <c r="C617" s="20"/>
      <c r="D617" s="20"/>
      <c r="E617" s="20"/>
      <c r="F617" s="20">
        <v>96.078500000000005</v>
      </c>
      <c r="G617" s="20">
        <v>95.440700000000007</v>
      </c>
      <c r="H617" s="50">
        <v>95.343299999999999</v>
      </c>
      <c r="I617" s="360">
        <f t="shared" si="180"/>
        <v>4.875</v>
      </c>
      <c r="J617" s="20"/>
      <c r="K617" s="20"/>
      <c r="L617" s="20"/>
      <c r="M617" s="20">
        <v>94.983800000000002</v>
      </c>
      <c r="N617" s="20">
        <v>94.473000000000013</v>
      </c>
      <c r="O617" s="20">
        <v>94.338200000000001</v>
      </c>
      <c r="P617" s="21" t="s">
        <v>79</v>
      </c>
      <c r="Q617" s="24"/>
      <c r="R617" s="24"/>
      <c r="S617" s="361">
        <v>2.5000000000000001E-2</v>
      </c>
      <c r="T617" s="22">
        <v>2.5000000000000001E-2</v>
      </c>
      <c r="U617" s="23"/>
      <c r="V617" s="24"/>
      <c r="W617" s="24"/>
      <c r="X617" s="24"/>
      <c r="Y617" s="24"/>
      <c r="Z617" s="25"/>
    </row>
    <row r="618" spans="2:26" ht="21.95" customHeight="1" x14ac:dyDescent="0.2">
      <c r="B618" s="26">
        <f t="shared" si="179"/>
        <v>5.375</v>
      </c>
      <c r="C618" s="20"/>
      <c r="D618" s="20"/>
      <c r="E618" s="20"/>
      <c r="F618" s="20">
        <v>96.667700000000011</v>
      </c>
      <c r="G618" s="20">
        <v>96.024000000000001</v>
      </c>
      <c r="H618" s="50">
        <v>95.93180000000001</v>
      </c>
      <c r="I618" s="360">
        <f t="shared" si="180"/>
        <v>4.99</v>
      </c>
      <c r="J618" s="20"/>
      <c r="K618" s="20"/>
      <c r="L618" s="20"/>
      <c r="M618" s="20">
        <v>95.479699999999994</v>
      </c>
      <c r="N618" s="20">
        <v>94.969200000000015</v>
      </c>
      <c r="O618" s="20">
        <v>94.834400000000002</v>
      </c>
      <c r="P618" s="21" t="s">
        <v>164</v>
      </c>
      <c r="Q618" s="24"/>
      <c r="R618" s="24"/>
      <c r="S618" s="361">
        <v>0.05</v>
      </c>
      <c r="T618" s="22">
        <v>0.05</v>
      </c>
      <c r="U618" s="28"/>
      <c r="V618" s="24"/>
      <c r="W618" s="24"/>
      <c r="X618" s="24"/>
      <c r="Y618" s="24"/>
      <c r="Z618" s="25"/>
    </row>
    <row r="619" spans="2:26" ht="21.95" customHeight="1" x14ac:dyDescent="0.2">
      <c r="B619" s="26">
        <f t="shared" si="179"/>
        <v>5.5</v>
      </c>
      <c r="C619" s="20"/>
      <c r="D619" s="20"/>
      <c r="E619" s="20"/>
      <c r="F619" s="20">
        <v>97.380600000000015</v>
      </c>
      <c r="G619" s="20">
        <v>96.751500000000007</v>
      </c>
      <c r="H619" s="50">
        <v>96.724100000000007</v>
      </c>
      <c r="I619" s="360">
        <f t="shared" si="180"/>
        <v>5.125</v>
      </c>
      <c r="J619" s="20"/>
      <c r="K619" s="20"/>
      <c r="L619" s="20"/>
      <c r="M619" s="20">
        <v>96.112099999999998</v>
      </c>
      <c r="N619" s="20">
        <v>95.657600000000016</v>
      </c>
      <c r="O619" s="20">
        <v>95.495199999999997</v>
      </c>
      <c r="P619" s="21" t="s">
        <v>102</v>
      </c>
      <c r="Q619" s="362"/>
      <c r="R619" s="362"/>
      <c r="S619" s="363">
        <v>7.4999999999999997E-2</v>
      </c>
      <c r="T619" s="29">
        <v>7.4999999999999997E-2</v>
      </c>
      <c r="U619" s="30"/>
      <c r="V619" s="24"/>
      <c r="W619" s="24"/>
      <c r="X619" s="24"/>
      <c r="Y619" s="24"/>
      <c r="Z619" s="25"/>
    </row>
    <row r="620" spans="2:26" ht="21.95" customHeight="1" x14ac:dyDescent="0.2">
      <c r="B620" s="26">
        <f t="shared" si="179"/>
        <v>5.625</v>
      </c>
      <c r="C620" s="20"/>
      <c r="D620" s="20"/>
      <c r="E620" s="20"/>
      <c r="F620" s="20">
        <v>97.837600000000009</v>
      </c>
      <c r="G620" s="20">
        <v>97.208600000000004</v>
      </c>
      <c r="H620" s="50">
        <v>97.181100000000001</v>
      </c>
      <c r="I620" s="360">
        <f t="shared" si="180"/>
        <v>5.25</v>
      </c>
      <c r="J620" s="20"/>
      <c r="K620" s="20"/>
      <c r="L620" s="20"/>
      <c r="M620" s="20">
        <v>96.822199999999995</v>
      </c>
      <c r="N620" s="20">
        <v>96.368500000000012</v>
      </c>
      <c r="O620" s="20">
        <v>96.211200000000005</v>
      </c>
      <c r="P620" s="21" t="s">
        <v>527</v>
      </c>
      <c r="Q620" s="24"/>
      <c r="R620" s="24"/>
      <c r="S620" s="363">
        <v>0.1</v>
      </c>
      <c r="T620" s="22">
        <v>0.1</v>
      </c>
      <c r="U620" s="32"/>
      <c r="V620" s="33"/>
      <c r="W620" s="33"/>
      <c r="X620" s="33"/>
      <c r="Y620" s="33"/>
      <c r="Z620" s="31"/>
    </row>
    <row r="621" spans="2:26" ht="21.95" customHeight="1" x14ac:dyDescent="0.2">
      <c r="B621" s="26">
        <f t="shared" si="179"/>
        <v>5.75</v>
      </c>
      <c r="C621" s="20"/>
      <c r="D621" s="20"/>
      <c r="E621" s="20"/>
      <c r="F621" s="20">
        <v>98.432800000000015</v>
      </c>
      <c r="G621" s="20">
        <v>97.964600000000004</v>
      </c>
      <c r="H621" s="50">
        <v>97.876300000000001</v>
      </c>
      <c r="I621" s="360">
        <f t="shared" si="180"/>
        <v>5.375</v>
      </c>
      <c r="J621" s="20"/>
      <c r="K621" s="20"/>
      <c r="L621" s="20"/>
      <c r="M621" s="20">
        <v>97.354799999999997</v>
      </c>
      <c r="N621" s="20">
        <v>96.901700000000005</v>
      </c>
      <c r="O621" s="20">
        <v>96.749700000000004</v>
      </c>
      <c r="P621" s="12" t="s">
        <v>83</v>
      </c>
      <c r="Q621" s="13"/>
      <c r="R621" s="13"/>
      <c r="S621" s="14" t="s">
        <v>80</v>
      </c>
      <c r="T621" s="15" t="s">
        <v>81</v>
      </c>
      <c r="U621" s="486" t="s">
        <v>510</v>
      </c>
      <c r="V621" s="487"/>
      <c r="W621" s="488"/>
      <c r="X621" s="13"/>
      <c r="Y621" s="13"/>
      <c r="Z621" s="35"/>
    </row>
    <row r="622" spans="2:26" ht="21.95" customHeight="1" x14ac:dyDescent="0.2">
      <c r="B622" s="26">
        <f t="shared" si="179"/>
        <v>5.875</v>
      </c>
      <c r="C622" s="20"/>
      <c r="D622" s="20"/>
      <c r="E622" s="20"/>
      <c r="F622" s="20">
        <v>98.944600000000008</v>
      </c>
      <c r="G622" s="20">
        <v>98.470500000000001</v>
      </c>
      <c r="H622" s="50">
        <v>98.417400000000001</v>
      </c>
      <c r="I622" s="360">
        <f t="shared" si="180"/>
        <v>5.5</v>
      </c>
      <c r="J622" s="20"/>
      <c r="K622" s="20"/>
      <c r="L622" s="20"/>
      <c r="M622" s="20">
        <v>97.848799999999997</v>
      </c>
      <c r="N622" s="20">
        <v>97.396200000000007</v>
      </c>
      <c r="O622" s="20">
        <v>97.247700000000009</v>
      </c>
      <c r="P622" s="154" t="str">
        <f t="shared" ref="P622:P627" si="181">P19</f>
        <v>PA FL TX</v>
      </c>
      <c r="Q622" s="24"/>
      <c r="R622" s="24"/>
      <c r="S622" s="361">
        <f t="shared" ref="S622:T627" si="182">S19</f>
        <v>7.4999999999999997E-2</v>
      </c>
      <c r="T622" s="22">
        <f t="shared" si="182"/>
        <v>0.05</v>
      </c>
      <c r="U622" s="695" t="s">
        <v>511</v>
      </c>
      <c r="V622" s="696"/>
      <c r="W622" s="697">
        <v>0.15</v>
      </c>
      <c r="X622" s="24"/>
      <c r="Y622" s="24"/>
      <c r="Z622" s="25"/>
    </row>
    <row r="623" spans="2:26" ht="21.95" customHeight="1" x14ac:dyDescent="0.2">
      <c r="B623" s="26">
        <f t="shared" si="179"/>
        <v>5.99</v>
      </c>
      <c r="C623" s="20"/>
      <c r="D623" s="20"/>
      <c r="E623" s="20"/>
      <c r="F623" s="20">
        <v>99.415200000000013</v>
      </c>
      <c r="G623" s="20">
        <v>98.935700000000011</v>
      </c>
      <c r="H623" s="50">
        <v>98.8874</v>
      </c>
      <c r="I623" s="360">
        <f t="shared" si="180"/>
        <v>5.625</v>
      </c>
      <c r="J623" s="20"/>
      <c r="K623" s="20"/>
      <c r="L623" s="20"/>
      <c r="M623" s="20">
        <v>98.243700000000004</v>
      </c>
      <c r="N623" s="20">
        <v>97.791100000000014</v>
      </c>
      <c r="O623" s="20">
        <v>97.642600000000002</v>
      </c>
      <c r="P623" s="154" t="str">
        <f t="shared" si="181"/>
        <v>DC DE VA MD TN WV</v>
      </c>
      <c r="Q623" s="24"/>
      <c r="R623" s="24"/>
      <c r="S623" s="361">
        <f t="shared" si="182"/>
        <v>2.5000000000000001E-2</v>
      </c>
      <c r="T623" s="22">
        <f t="shared" si="182"/>
        <v>0</v>
      </c>
      <c r="U623" s="28"/>
      <c r="V623" s="24"/>
      <c r="W623" s="24"/>
      <c r="X623" s="24"/>
      <c r="Y623" s="24"/>
      <c r="Z623" s="25"/>
    </row>
    <row r="624" spans="2:26" ht="21.95" customHeight="1" x14ac:dyDescent="0.2">
      <c r="B624" s="26">
        <f t="shared" si="179"/>
        <v>6.125</v>
      </c>
      <c r="C624" s="20"/>
      <c r="D624" s="20"/>
      <c r="E624" s="20"/>
      <c r="F624" s="20">
        <v>99.894700000000014</v>
      </c>
      <c r="G624" s="20">
        <v>99.41510000000001</v>
      </c>
      <c r="H624" s="50">
        <v>99.366800000000012</v>
      </c>
      <c r="I624" s="360">
        <f t="shared" si="180"/>
        <v>5.75</v>
      </c>
      <c r="J624" s="20"/>
      <c r="K624" s="20"/>
      <c r="L624" s="20"/>
      <c r="M624" s="20">
        <v>98.676299999999998</v>
      </c>
      <c r="N624" s="20">
        <v>98.295700000000011</v>
      </c>
      <c r="O624" s="20">
        <v>98.117599999999996</v>
      </c>
      <c r="P624" s="154" t="str">
        <f t="shared" si="181"/>
        <v>CT NC NJ NH OR SC GA WA MN</v>
      </c>
      <c r="Q624" s="24"/>
      <c r="R624" s="24"/>
      <c r="S624" s="361">
        <f t="shared" si="182"/>
        <v>0</v>
      </c>
      <c r="T624" s="22">
        <f t="shared" si="182"/>
        <v>0</v>
      </c>
      <c r="U624" s="28"/>
      <c r="V624" s="24"/>
      <c r="W624" s="24"/>
      <c r="X624" s="24"/>
      <c r="Y624" s="24"/>
      <c r="Z624" s="25"/>
    </row>
    <row r="625" spans="2:26" ht="21.95" customHeight="1" x14ac:dyDescent="0.2">
      <c r="B625" s="26">
        <f t="shared" si="179"/>
        <v>6.25</v>
      </c>
      <c r="C625" s="20"/>
      <c r="D625" s="20"/>
      <c r="E625" s="20"/>
      <c r="F625" s="20">
        <v>100.3199</v>
      </c>
      <c r="G625" s="20">
        <v>99.541600000000003</v>
      </c>
      <c r="H625" s="50">
        <v>99.390200000000007</v>
      </c>
      <c r="I625" s="360">
        <f t="shared" si="180"/>
        <v>5.875</v>
      </c>
      <c r="J625" s="20"/>
      <c r="K625" s="20"/>
      <c r="L625" s="20"/>
      <c r="M625" s="20">
        <v>99.134</v>
      </c>
      <c r="N625" s="20">
        <v>98.754100000000008</v>
      </c>
      <c r="O625" s="20">
        <v>98.58120000000001</v>
      </c>
      <c r="P625" s="154" t="str">
        <f t="shared" si="181"/>
        <v>AL CO</v>
      </c>
      <c r="Q625" s="756"/>
      <c r="R625" s="756"/>
      <c r="S625" s="361">
        <f t="shared" si="182"/>
        <v>0.05</v>
      </c>
      <c r="T625" s="22">
        <f t="shared" si="182"/>
        <v>0.05</v>
      </c>
      <c r="U625" s="44"/>
      <c r="V625" s="44"/>
      <c r="W625" s="44"/>
      <c r="X625" s="44"/>
      <c r="Y625" s="44"/>
      <c r="Z625" s="25"/>
    </row>
    <row r="626" spans="2:26" ht="21.95" customHeight="1" x14ac:dyDescent="0.2">
      <c r="B626" s="26">
        <f t="shared" si="179"/>
        <v>6.375</v>
      </c>
      <c r="C626" s="20"/>
      <c r="D626" s="20"/>
      <c r="E626" s="20"/>
      <c r="F626" s="20">
        <v>100.69130000000001</v>
      </c>
      <c r="G626" s="20">
        <v>99.9071</v>
      </c>
      <c r="H626" s="50">
        <v>99.760900000000007</v>
      </c>
      <c r="I626" s="360">
        <f t="shared" si="180"/>
        <v>5.99</v>
      </c>
      <c r="J626" s="20"/>
      <c r="K626" s="20"/>
      <c r="L626" s="20"/>
      <c r="M626" s="20">
        <v>99.552099999999996</v>
      </c>
      <c r="N626" s="20">
        <v>99.172700000000006</v>
      </c>
      <c r="O626" s="20">
        <v>99.003299999999996</v>
      </c>
      <c r="P626" s="154" t="str">
        <f t="shared" si="181"/>
        <v>AZ MA ND</v>
      </c>
      <c r="Q626" s="756"/>
      <c r="R626" s="756"/>
      <c r="S626" s="361">
        <f t="shared" si="182"/>
        <v>-0.1</v>
      </c>
      <c r="T626" s="22">
        <f t="shared" si="182"/>
        <v>-7.4999999999999997E-2</v>
      </c>
      <c r="U626" s="44"/>
      <c r="V626" s="44"/>
      <c r="W626" s="44"/>
      <c r="X626" s="44"/>
      <c r="Y626" s="44"/>
      <c r="Z626" s="25"/>
    </row>
    <row r="627" spans="2:26" ht="21.95" customHeight="1" x14ac:dyDescent="0.2">
      <c r="B627" s="26">
        <f t="shared" si="179"/>
        <v>6.5</v>
      </c>
      <c r="C627" s="20"/>
      <c r="D627" s="20"/>
      <c r="E627" s="20"/>
      <c r="F627" s="20">
        <v>101.17640000000002</v>
      </c>
      <c r="G627" s="20">
        <v>100.4059</v>
      </c>
      <c r="H627" s="50">
        <v>100.2475</v>
      </c>
      <c r="I627" s="360">
        <f t="shared" si="180"/>
        <v>6.125</v>
      </c>
      <c r="J627" s="20"/>
      <c r="K627" s="20"/>
      <c r="L627" s="20"/>
      <c r="M627" s="20">
        <v>99.932000000000002</v>
      </c>
      <c r="N627" s="20">
        <v>99.552600000000012</v>
      </c>
      <c r="O627" s="20">
        <v>99.383200000000002</v>
      </c>
      <c r="P627" s="154" t="str">
        <f t="shared" si="181"/>
        <v>CA</v>
      </c>
      <c r="Q627" s="756"/>
      <c r="R627" s="756"/>
      <c r="S627" s="361">
        <f t="shared" si="182"/>
        <v>-0.15</v>
      </c>
      <c r="T627" s="22">
        <f t="shared" si="182"/>
        <v>-0.125</v>
      </c>
      <c r="U627" s="44"/>
      <c r="V627" s="44"/>
      <c r="W627" s="44"/>
      <c r="X627" s="44"/>
      <c r="Y627" s="44"/>
      <c r="Z627" s="25"/>
    </row>
    <row r="628" spans="2:26" ht="21.95" customHeight="1" x14ac:dyDescent="0.2">
      <c r="B628" s="26">
        <f t="shared" si="179"/>
        <v>6.625</v>
      </c>
      <c r="C628" s="20"/>
      <c r="D628" s="20"/>
      <c r="E628" s="20"/>
      <c r="F628" s="20">
        <v>101.61190000000001</v>
      </c>
      <c r="G628" s="20">
        <v>101.05430000000001</v>
      </c>
      <c r="H628" s="50">
        <v>100.86120000000001</v>
      </c>
      <c r="I628" s="360">
        <f t="shared" si="180"/>
        <v>6.25</v>
      </c>
      <c r="J628" s="20"/>
      <c r="K628" s="20"/>
      <c r="L628" s="20"/>
      <c r="M628" s="20">
        <v>99.9255</v>
      </c>
      <c r="N628" s="20">
        <v>99.392500000000013</v>
      </c>
      <c r="O628" s="20">
        <v>99.187899999999999</v>
      </c>
      <c r="P628" s="694" t="s">
        <v>512</v>
      </c>
      <c r="Q628" s="44"/>
      <c r="R628" s="44"/>
      <c r="S628" s="361">
        <v>0.1</v>
      </c>
      <c r="T628" s="22">
        <v>0.1</v>
      </c>
      <c r="U628" s="16"/>
      <c r="V628" s="17" t="s">
        <v>437</v>
      </c>
      <c r="W628" s="13"/>
      <c r="X628" s="13"/>
      <c r="Y628" s="13"/>
      <c r="Z628" s="702"/>
    </row>
    <row r="629" spans="2:26" ht="21.95" customHeight="1" x14ac:dyDescent="0.2">
      <c r="B629" s="26"/>
      <c r="C629" s="20"/>
      <c r="D629" s="20"/>
      <c r="E629" s="20"/>
      <c r="F629" s="20"/>
      <c r="G629" s="20"/>
      <c r="H629" s="50"/>
      <c r="I629" s="360"/>
      <c r="J629" s="20"/>
      <c r="K629" s="20"/>
      <c r="L629" s="20"/>
      <c r="M629" s="20"/>
      <c r="N629" s="20"/>
      <c r="O629" s="20"/>
      <c r="P629" s="802" t="s">
        <v>531</v>
      </c>
      <c r="Q629" s="803"/>
      <c r="R629" s="803"/>
      <c r="S629" s="803"/>
      <c r="T629" s="803"/>
      <c r="U629" s="803"/>
      <c r="V629" s="803"/>
      <c r="W629" s="803"/>
      <c r="X629" s="803"/>
      <c r="Y629" s="803"/>
      <c r="Z629" s="804"/>
    </row>
    <row r="630" spans="2:26" ht="21.95" customHeight="1" x14ac:dyDescent="0.2">
      <c r="B630" s="26"/>
      <c r="C630" s="20"/>
      <c r="D630" s="20"/>
      <c r="E630" s="20"/>
      <c r="F630" s="20"/>
      <c r="G630" s="20"/>
      <c r="H630" s="50"/>
      <c r="I630" s="360"/>
      <c r="J630" s="20"/>
      <c r="K630" s="20"/>
      <c r="L630" s="20"/>
      <c r="M630" s="20"/>
      <c r="N630" s="20"/>
      <c r="O630" s="20"/>
      <c r="P630" s="703"/>
      <c r="Q630" s="43"/>
      <c r="R630" s="43"/>
      <c r="S630" s="43"/>
      <c r="T630" s="43"/>
      <c r="U630" s="43"/>
      <c r="V630" s="43"/>
      <c r="W630" s="43"/>
      <c r="X630" s="43"/>
      <c r="Y630" s="43"/>
      <c r="Z630" s="704"/>
    </row>
    <row r="631" spans="2:26" ht="21.95" customHeight="1" x14ac:dyDescent="0.2">
      <c r="B631" s="26"/>
      <c r="C631" s="20"/>
      <c r="D631" s="20"/>
      <c r="E631" s="20"/>
      <c r="F631" s="20"/>
      <c r="G631" s="20"/>
      <c r="H631" s="50"/>
      <c r="I631" s="360"/>
      <c r="J631" s="20"/>
      <c r="K631" s="20"/>
      <c r="L631" s="20"/>
      <c r="M631" s="20"/>
      <c r="N631" s="20"/>
      <c r="O631" s="20"/>
      <c r="P631" s="705"/>
      <c r="Q631" s="482"/>
      <c r="R631" s="483"/>
      <c r="S631" s="483"/>
      <c r="T631" s="483"/>
      <c r="U631" s="483"/>
      <c r="V631" s="483"/>
      <c r="W631" s="483"/>
      <c r="X631" s="706"/>
      <c r="Y631" s="365"/>
      <c r="Z631" s="22"/>
    </row>
    <row r="632" spans="2:26" ht="21.95" customHeight="1" thickBot="1" x14ac:dyDescent="0.25">
      <c r="B632" s="26"/>
      <c r="C632" s="20"/>
      <c r="D632" s="20"/>
      <c r="E632" s="20"/>
      <c r="F632" s="20"/>
      <c r="G632" s="20"/>
      <c r="H632" s="50"/>
      <c r="I632" s="360"/>
      <c r="J632" s="20"/>
      <c r="K632" s="20"/>
      <c r="L632" s="20"/>
      <c r="M632" s="20"/>
      <c r="N632" s="20"/>
      <c r="O632" s="20"/>
      <c r="P632" s="707"/>
      <c r="Q632" s="699"/>
      <c r="R632" s="699"/>
      <c r="S632" s="699"/>
      <c r="T632" s="699"/>
      <c r="U632" s="699"/>
      <c r="V632" s="699"/>
      <c r="W632" s="699"/>
      <c r="X632" s="699"/>
      <c r="Y632" s="40"/>
      <c r="Z632" s="142"/>
    </row>
    <row r="633" spans="2:26" ht="21.95" customHeight="1" x14ac:dyDescent="0.2">
      <c r="B633" s="793" t="s">
        <v>37</v>
      </c>
      <c r="C633" s="794"/>
      <c r="D633" s="794"/>
      <c r="E633" s="794"/>
      <c r="F633" s="794"/>
      <c r="G633" s="794"/>
      <c r="H633" s="910"/>
      <c r="I633" s="793" t="s">
        <v>39</v>
      </c>
      <c r="J633" s="794"/>
      <c r="K633" s="794"/>
      <c r="L633" s="794"/>
      <c r="M633" s="794"/>
      <c r="N633" s="794"/>
      <c r="O633" s="910"/>
      <c r="P633" s="1172" t="s">
        <v>475</v>
      </c>
      <c r="Q633" s="1173"/>
      <c r="R633" s="1173"/>
      <c r="S633" s="1173"/>
      <c r="T633" s="1173"/>
      <c r="U633" s="1173"/>
      <c r="V633" s="1173"/>
      <c r="W633" s="1173"/>
      <c r="X633" s="1173"/>
      <c r="Y633" s="1173"/>
      <c r="Z633" s="1174"/>
    </row>
    <row r="634" spans="2:26" ht="21.95" customHeight="1" x14ac:dyDescent="0.2">
      <c r="B634" s="352" t="s">
        <v>4</v>
      </c>
      <c r="C634" s="353"/>
      <c r="D634" s="353"/>
      <c r="E634" s="353"/>
      <c r="F634" s="353" t="s">
        <v>75</v>
      </c>
      <c r="G634" s="353" t="s">
        <v>302</v>
      </c>
      <c r="H634" s="354" t="s">
        <v>303</v>
      </c>
      <c r="I634" s="355" t="s">
        <v>4</v>
      </c>
      <c r="J634" s="353"/>
      <c r="K634" s="353"/>
      <c r="L634" s="353"/>
      <c r="M634" s="353" t="s">
        <v>75</v>
      </c>
      <c r="N634" s="353" t="s">
        <v>302</v>
      </c>
      <c r="O634" s="354" t="s">
        <v>303</v>
      </c>
      <c r="P634" s="42"/>
      <c r="Q634" s="211"/>
      <c r="R634" s="211"/>
      <c r="S634" s="211"/>
      <c r="T634" s="211"/>
      <c r="U634" s="212"/>
      <c r="V634" s="211"/>
      <c r="W634" s="211"/>
      <c r="X634" s="43"/>
      <c r="Y634" s="44"/>
      <c r="Z634" s="45"/>
    </row>
    <row r="635" spans="2:26" ht="21.95" customHeight="1" x14ac:dyDescent="0.2">
      <c r="B635" s="26">
        <f t="shared" ref="B635:B644" si="183">B32</f>
        <v>4.625</v>
      </c>
      <c r="C635" s="20"/>
      <c r="D635" s="20"/>
      <c r="E635" s="20"/>
      <c r="F635" s="20">
        <v>96.055500000000009</v>
      </c>
      <c r="G635" s="20">
        <v>95.724400000000017</v>
      </c>
      <c r="H635" s="20">
        <v>95.659300000000016</v>
      </c>
      <c r="I635" s="26">
        <f t="shared" ref="I635:I644" si="184">I32</f>
        <v>4.625</v>
      </c>
      <c r="J635" s="20"/>
      <c r="K635" s="20"/>
      <c r="L635" s="20"/>
      <c r="M635" s="20">
        <v>95.993600000000015</v>
      </c>
      <c r="N635" s="20">
        <v>95.917700000000011</v>
      </c>
      <c r="O635" s="20">
        <v>95.877700000000004</v>
      </c>
      <c r="P635" s="46"/>
      <c r="Q635" s="47"/>
      <c r="R635" s="47"/>
      <c r="S635" s="47"/>
      <c r="T635" s="47"/>
      <c r="U635" s="48"/>
      <c r="V635" s="47"/>
      <c r="W635" s="47"/>
      <c r="X635" s="41"/>
      <c r="Y635" s="44"/>
      <c r="Z635" s="45"/>
    </row>
    <row r="636" spans="2:26" ht="21.95" customHeight="1" x14ac:dyDescent="0.2">
      <c r="B636" s="26">
        <f t="shared" si="183"/>
        <v>4.75</v>
      </c>
      <c r="C636" s="20"/>
      <c r="D636" s="20"/>
      <c r="E636" s="20"/>
      <c r="F636" s="20">
        <v>96.60990000000001</v>
      </c>
      <c r="G636" s="20">
        <v>96.279500000000013</v>
      </c>
      <c r="H636" s="20">
        <v>96.219600000000014</v>
      </c>
      <c r="I636" s="26">
        <f t="shared" si="184"/>
        <v>4.75</v>
      </c>
      <c r="J636" s="20"/>
      <c r="K636" s="20"/>
      <c r="L636" s="20"/>
      <c r="M636" s="20">
        <v>96.284600000000012</v>
      </c>
      <c r="N636" s="20">
        <v>96.209400000000002</v>
      </c>
      <c r="O636" s="20">
        <v>96.174700000000016</v>
      </c>
      <c r="P636" s="46"/>
      <c r="Q636" s="47"/>
      <c r="R636" s="47"/>
      <c r="S636" s="47"/>
      <c r="T636" s="47"/>
      <c r="U636" s="48"/>
      <c r="V636" s="47"/>
      <c r="W636" s="47"/>
      <c r="X636" s="41"/>
      <c r="Y636" s="44"/>
      <c r="Z636" s="45"/>
    </row>
    <row r="637" spans="2:26" ht="21.95" customHeight="1" x14ac:dyDescent="0.2">
      <c r="B637" s="26">
        <f t="shared" si="183"/>
        <v>4.875</v>
      </c>
      <c r="C637" s="20"/>
      <c r="D637" s="20"/>
      <c r="E637" s="20"/>
      <c r="F637" s="20">
        <v>97.160100000000014</v>
      </c>
      <c r="G637" s="20">
        <v>96.830300000000008</v>
      </c>
      <c r="H637" s="20">
        <v>96.774900000000002</v>
      </c>
      <c r="I637" s="26">
        <f t="shared" si="184"/>
        <v>4.875</v>
      </c>
      <c r="J637" s="20"/>
      <c r="K637" s="20"/>
      <c r="L637" s="20"/>
      <c r="M637" s="20">
        <v>96.685000000000002</v>
      </c>
      <c r="N637" s="20">
        <v>96.593000000000004</v>
      </c>
      <c r="O637" s="20">
        <v>96.521800000000013</v>
      </c>
      <c r="P637" s="46"/>
      <c r="Q637" s="47"/>
      <c r="R637" s="47"/>
      <c r="S637" s="47"/>
      <c r="T637" s="47"/>
      <c r="U637" s="48"/>
      <c r="V637" s="47"/>
      <c r="W637" s="47"/>
      <c r="X637" s="41"/>
      <c r="Y637" s="44"/>
      <c r="Z637" s="45"/>
    </row>
    <row r="638" spans="2:26" ht="21.95" customHeight="1" x14ac:dyDescent="0.2">
      <c r="B638" s="26">
        <f t="shared" si="183"/>
        <v>5</v>
      </c>
      <c r="C638" s="20"/>
      <c r="D638" s="20"/>
      <c r="E638" s="20"/>
      <c r="F638" s="20">
        <v>97.527400000000014</v>
      </c>
      <c r="G638" s="20">
        <v>97.180800000000019</v>
      </c>
      <c r="H638" s="20">
        <v>97.094000000000008</v>
      </c>
      <c r="I638" s="26">
        <f t="shared" si="184"/>
        <v>5</v>
      </c>
      <c r="J638" s="20"/>
      <c r="K638" s="20"/>
      <c r="L638" s="20"/>
      <c r="M638" s="20">
        <v>97.121900000000011</v>
      </c>
      <c r="N638" s="20">
        <v>97.030600000000007</v>
      </c>
      <c r="O638" s="20">
        <v>96.964600000000004</v>
      </c>
      <c r="P638" s="46"/>
      <c r="Q638" s="47"/>
      <c r="R638" s="47"/>
      <c r="S638" s="47"/>
      <c r="T638" s="47"/>
      <c r="U638" s="48"/>
      <c r="V638" s="47"/>
      <c r="W638" s="47"/>
      <c r="X638" s="41"/>
      <c r="Y638" s="44"/>
      <c r="Z638" s="45"/>
    </row>
    <row r="639" spans="2:26" ht="21.95" customHeight="1" x14ac:dyDescent="0.2">
      <c r="B639" s="26">
        <f t="shared" si="183"/>
        <v>5.125</v>
      </c>
      <c r="C639" s="20"/>
      <c r="D639" s="20"/>
      <c r="E639" s="20"/>
      <c r="F639" s="20">
        <v>97.928300000000007</v>
      </c>
      <c r="G639" s="20">
        <v>97.582400000000021</v>
      </c>
      <c r="H639" s="20">
        <v>97.496400000000008</v>
      </c>
      <c r="I639" s="26">
        <f t="shared" si="184"/>
        <v>5.125</v>
      </c>
      <c r="J639" s="20"/>
      <c r="K639" s="20"/>
      <c r="L639" s="20"/>
      <c r="M639" s="20">
        <v>97.513700000000014</v>
      </c>
      <c r="N639" s="20">
        <v>97.423000000000016</v>
      </c>
      <c r="O639" s="20">
        <v>97.362200000000016</v>
      </c>
      <c r="P639" s="46"/>
      <c r="Q639" s="47"/>
      <c r="R639" s="47"/>
      <c r="S639" s="47"/>
      <c r="T639" s="47"/>
      <c r="U639" s="48"/>
      <c r="V639" s="47"/>
      <c r="W639" s="47"/>
      <c r="X639" s="41"/>
      <c r="Y639" s="44"/>
      <c r="Z639" s="45"/>
    </row>
    <row r="640" spans="2:26" ht="21.95" customHeight="1" x14ac:dyDescent="0.2">
      <c r="B640" s="26">
        <f t="shared" si="183"/>
        <v>5.25</v>
      </c>
      <c r="C640" s="20"/>
      <c r="D640" s="20"/>
      <c r="E640" s="20"/>
      <c r="F640" s="20">
        <v>98.342600000000033</v>
      </c>
      <c r="G640" s="20">
        <v>97.997400000000042</v>
      </c>
      <c r="H640" s="20">
        <v>97.916700000000034</v>
      </c>
      <c r="I640" s="26">
        <f t="shared" si="184"/>
        <v>5.25</v>
      </c>
      <c r="J640" s="20"/>
      <c r="K640" s="20"/>
      <c r="L640" s="20"/>
      <c r="M640" s="20">
        <v>97.778700000000015</v>
      </c>
      <c r="N640" s="20">
        <v>97.688700000000011</v>
      </c>
      <c r="O640" s="20">
        <v>97.633100000000013</v>
      </c>
      <c r="P640" s="46"/>
      <c r="Q640" s="47"/>
      <c r="R640" s="47"/>
      <c r="S640" s="47"/>
      <c r="T640" s="47"/>
      <c r="U640" s="48"/>
      <c r="V640" s="47"/>
      <c r="W640" s="47"/>
      <c r="X640" s="41"/>
      <c r="Y640" s="44"/>
      <c r="Z640" s="45"/>
    </row>
    <row r="641" spans="2:26" ht="21.95" customHeight="1" x14ac:dyDescent="0.2">
      <c r="B641" s="26">
        <f t="shared" si="183"/>
        <v>5.375</v>
      </c>
      <c r="C641" s="20"/>
      <c r="D641" s="20"/>
      <c r="E641" s="20"/>
      <c r="F641" s="20">
        <v>98.878900000000002</v>
      </c>
      <c r="G641" s="20">
        <v>98.534300000000016</v>
      </c>
      <c r="H641" s="20">
        <v>98.458100000000002</v>
      </c>
      <c r="I641" s="26">
        <f t="shared" si="184"/>
        <v>5.375</v>
      </c>
      <c r="J641" s="20"/>
      <c r="K641" s="20"/>
      <c r="L641" s="20"/>
      <c r="M641" s="20">
        <v>98.053100000000015</v>
      </c>
      <c r="N641" s="20">
        <v>97.978600000000014</v>
      </c>
      <c r="O641" s="20">
        <v>97.890800000000013</v>
      </c>
      <c r="P641" s="51"/>
      <c r="Q641" s="47"/>
      <c r="R641" s="47"/>
      <c r="S641" s="47"/>
      <c r="T641" s="47"/>
      <c r="U641" s="48"/>
      <c r="V641" s="47"/>
      <c r="W641" s="47"/>
      <c r="X641" s="41"/>
      <c r="Y641" s="44"/>
      <c r="Z641" s="45"/>
    </row>
    <row r="642" spans="2:26" ht="21.95" customHeight="1" x14ac:dyDescent="0.2">
      <c r="B642" s="26">
        <f t="shared" si="183"/>
        <v>5.5</v>
      </c>
      <c r="C642" s="20"/>
      <c r="D642" s="20"/>
      <c r="E642" s="20"/>
      <c r="F642" s="20">
        <v>99.134900000000016</v>
      </c>
      <c r="G642" s="20">
        <v>98.794300000000021</v>
      </c>
      <c r="H642" s="20">
        <v>98.714100000000016</v>
      </c>
      <c r="I642" s="26">
        <f t="shared" si="184"/>
        <v>5.5</v>
      </c>
      <c r="J642" s="20"/>
      <c r="K642" s="20"/>
      <c r="L642" s="20"/>
      <c r="M642" s="20">
        <v>98.451300000000003</v>
      </c>
      <c r="N642" s="20">
        <v>98.377500000000012</v>
      </c>
      <c r="O642" s="20">
        <v>98.290600000000012</v>
      </c>
      <c r="P642" s="52"/>
      <c r="Q642" s="53"/>
      <c r="R642" s="53"/>
      <c r="S642" s="53"/>
      <c r="T642" s="53"/>
      <c r="U642" s="53"/>
      <c r="V642" s="53"/>
      <c r="W642" s="53"/>
      <c r="X642" s="53"/>
      <c r="Y642" s="53"/>
      <c r="Z642" s="54"/>
    </row>
    <row r="643" spans="2:26" ht="21.95" customHeight="1" x14ac:dyDescent="0.2">
      <c r="B643" s="26">
        <f t="shared" si="183"/>
        <v>5.625</v>
      </c>
      <c r="C643" s="20"/>
      <c r="D643" s="20"/>
      <c r="E643" s="20"/>
      <c r="F643" s="20">
        <v>99.490400000000022</v>
      </c>
      <c r="G643" s="20">
        <v>99.159200000000027</v>
      </c>
      <c r="H643" s="20">
        <v>99.04940000000002</v>
      </c>
      <c r="I643" s="26">
        <f t="shared" si="184"/>
        <v>5.625</v>
      </c>
      <c r="J643" s="20"/>
      <c r="K643" s="20"/>
      <c r="L643" s="20"/>
      <c r="M643" s="20">
        <v>98.807200000000009</v>
      </c>
      <c r="N643" s="20">
        <v>98.734100000000012</v>
      </c>
      <c r="O643" s="20">
        <v>98.652500000000003</v>
      </c>
      <c r="P643" s="1139"/>
      <c r="Q643" s="1140"/>
      <c r="R643" s="1140"/>
      <c r="S643" s="1141"/>
      <c r="T643" s="56" t="s">
        <v>475</v>
      </c>
      <c r="U643" s="57"/>
      <c r="V643" s="57"/>
      <c r="W643" s="58"/>
      <c r="X643" s="59"/>
      <c r="Y643" s="59"/>
      <c r="Z643" s="60"/>
    </row>
    <row r="644" spans="2:26" ht="21.95" customHeight="1" x14ac:dyDescent="0.2">
      <c r="B644" s="26">
        <f t="shared" si="183"/>
        <v>5.75</v>
      </c>
      <c r="C644" s="20"/>
      <c r="D644" s="20"/>
      <c r="E644" s="20"/>
      <c r="F644" s="20">
        <v>99.661800000000014</v>
      </c>
      <c r="G644" s="20">
        <v>99.331200000000024</v>
      </c>
      <c r="H644" s="20">
        <v>99.226700000000008</v>
      </c>
      <c r="I644" s="26">
        <f t="shared" si="184"/>
        <v>5.75</v>
      </c>
      <c r="J644" s="20"/>
      <c r="K644" s="20"/>
      <c r="L644" s="20"/>
      <c r="M644" s="20">
        <v>99.12830000000001</v>
      </c>
      <c r="N644" s="20">
        <v>99.070600000000013</v>
      </c>
      <c r="O644" s="20">
        <v>98.952600000000004</v>
      </c>
      <c r="P644" s="1139" t="s">
        <v>475</v>
      </c>
      <c r="Q644" s="1140"/>
      <c r="R644" s="1140"/>
      <c r="S644" s="1141"/>
      <c r="T644" s="1122"/>
      <c r="U644" s="958"/>
      <c r="V644" s="958"/>
      <c r="W644" s="958"/>
      <c r="X644" s="958"/>
      <c r="Y644" s="63"/>
      <c r="Z644" s="64"/>
    </row>
    <row r="645" spans="2:26" ht="21.95" customHeight="1" x14ac:dyDescent="0.2">
      <c r="B645" s="26"/>
      <c r="C645" s="20"/>
      <c r="D645" s="20"/>
      <c r="E645" s="20"/>
      <c r="F645" s="20"/>
      <c r="G645" s="20"/>
      <c r="H645" s="20"/>
      <c r="I645" s="26"/>
      <c r="J645" s="20"/>
      <c r="K645" s="20"/>
      <c r="L645" s="20"/>
      <c r="M645" s="20"/>
      <c r="N645" s="20"/>
      <c r="O645" s="20"/>
      <c r="P645" s="61"/>
      <c r="Q645" s="62"/>
      <c r="R645" s="62"/>
      <c r="S645" s="62"/>
      <c r="T645" s="1131"/>
      <c r="U645" s="847"/>
      <c r="V645" s="847"/>
      <c r="W645" s="847"/>
      <c r="X645" s="847"/>
      <c r="Y645" s="41"/>
      <c r="Z645" s="25"/>
    </row>
    <row r="646" spans="2:26" ht="21.95" customHeight="1" x14ac:dyDescent="0.2">
      <c r="B646" s="26"/>
      <c r="C646" s="20"/>
      <c r="D646" s="20"/>
      <c r="E646" s="20"/>
      <c r="F646" s="20"/>
      <c r="G646" s="20"/>
      <c r="H646" s="20"/>
      <c r="I646" s="26"/>
      <c r="J646" s="20"/>
      <c r="K646" s="20"/>
      <c r="L646" s="20"/>
      <c r="M646" s="20"/>
      <c r="N646" s="20"/>
      <c r="O646" s="20"/>
      <c r="P646" s="150"/>
      <c r="Q646" s="41"/>
      <c r="R646" s="41"/>
      <c r="S646" s="41"/>
      <c r="T646" s="1131"/>
      <c r="U646" s="847"/>
      <c r="V646" s="847"/>
      <c r="W646" s="847"/>
      <c r="X646" s="847"/>
      <c r="Y646" s="41"/>
      <c r="Z646" s="25"/>
    </row>
    <row r="647" spans="2:26" ht="21.95" customHeight="1" x14ac:dyDescent="0.2">
      <c r="B647" s="26"/>
      <c r="C647" s="20"/>
      <c r="D647" s="20"/>
      <c r="E647" s="20"/>
      <c r="F647" s="20"/>
      <c r="G647" s="20"/>
      <c r="H647" s="20"/>
      <c r="I647" s="26"/>
      <c r="J647" s="20"/>
      <c r="K647" s="20"/>
      <c r="L647" s="20"/>
      <c r="M647" s="20"/>
      <c r="N647" s="20"/>
      <c r="O647" s="20"/>
      <c r="P647" s="151"/>
      <c r="Q647" s="41"/>
      <c r="R647" s="41"/>
      <c r="S647" s="41"/>
      <c r="T647" s="1131"/>
      <c r="U647" s="847"/>
      <c r="V647" s="847"/>
      <c r="W647" s="847"/>
      <c r="X647" s="847"/>
      <c r="Y647" s="41"/>
      <c r="Z647" s="25"/>
    </row>
    <row r="648" spans="2:26" ht="21.95" customHeight="1" x14ac:dyDescent="0.2">
      <c r="B648" s="26"/>
      <c r="C648" s="20"/>
      <c r="D648" s="20"/>
      <c r="E648" s="20"/>
      <c r="F648" s="20"/>
      <c r="G648" s="20"/>
      <c r="H648" s="20"/>
      <c r="I648" s="26"/>
      <c r="J648" s="20"/>
      <c r="K648" s="20"/>
      <c r="L648" s="20"/>
      <c r="M648" s="20"/>
      <c r="N648" s="20"/>
      <c r="O648" s="20"/>
      <c r="P648" s="151"/>
      <c r="Q648" s="41"/>
      <c r="R648" s="41"/>
      <c r="S648" s="41"/>
      <c r="T648" s="1131"/>
      <c r="U648" s="847"/>
      <c r="V648" s="847"/>
      <c r="W648" s="847"/>
      <c r="X648" s="847"/>
      <c r="Y648" s="41"/>
      <c r="Z648" s="31"/>
    </row>
    <row r="649" spans="2:26" ht="21.95" customHeight="1" x14ac:dyDescent="0.2">
      <c r="B649" s="26"/>
      <c r="C649" s="20"/>
      <c r="D649" s="20"/>
      <c r="E649" s="20"/>
      <c r="F649" s="20"/>
      <c r="G649" s="20"/>
      <c r="H649" s="20"/>
      <c r="I649" s="26"/>
      <c r="J649" s="20"/>
      <c r="K649" s="20"/>
      <c r="L649" s="20"/>
      <c r="M649" s="20"/>
      <c r="N649" s="20"/>
      <c r="O649" s="20"/>
      <c r="P649" s="150"/>
      <c r="Q649" s="41"/>
      <c r="R649" s="41"/>
      <c r="S649" s="41"/>
      <c r="T649" s="1131"/>
      <c r="U649" s="847"/>
      <c r="V649" s="847"/>
      <c r="W649" s="847"/>
      <c r="X649" s="847"/>
      <c r="Y649" s="41"/>
      <c r="Z649" s="25"/>
    </row>
    <row r="650" spans="2:26" ht="21.95" customHeight="1" x14ac:dyDescent="0.2">
      <c r="B650" s="26"/>
      <c r="C650" s="20"/>
      <c r="D650" s="20"/>
      <c r="E650" s="20"/>
      <c r="F650" s="20"/>
      <c r="G650" s="20"/>
      <c r="H650" s="20"/>
      <c r="I650" s="26"/>
      <c r="J650" s="20"/>
      <c r="K650" s="20"/>
      <c r="L650" s="20"/>
      <c r="M650" s="20"/>
      <c r="N650" s="20"/>
      <c r="O650" s="20"/>
      <c r="P650" s="150"/>
      <c r="Q650" s="41"/>
      <c r="R650" s="41"/>
      <c r="S650" s="41"/>
      <c r="T650" s="66"/>
      <c r="U650" s="67"/>
      <c r="V650" s="67"/>
      <c r="W650" s="68"/>
      <c r="X650" s="69"/>
      <c r="Y650" s="41"/>
      <c r="Z650" s="25"/>
    </row>
    <row r="651" spans="2:26" ht="21.95" customHeight="1" x14ac:dyDescent="0.2">
      <c r="B651" s="26"/>
      <c r="C651" s="20"/>
      <c r="D651" s="20"/>
      <c r="E651" s="20"/>
      <c r="F651" s="20"/>
      <c r="G651" s="20"/>
      <c r="H651" s="20"/>
      <c r="I651" s="26"/>
      <c r="J651" s="20"/>
      <c r="K651" s="20"/>
      <c r="L651" s="20"/>
      <c r="M651" s="20"/>
      <c r="N651" s="20"/>
      <c r="O651" s="20"/>
      <c r="P651" s="150"/>
      <c r="Q651" s="41"/>
      <c r="R651" s="41"/>
      <c r="S651" s="22"/>
      <c r="T651" s="44"/>
      <c r="U651" s="44"/>
      <c r="V651" s="44"/>
      <c r="W651" s="44"/>
      <c r="X651" s="44"/>
      <c r="Y651" s="44"/>
      <c r="Z651" s="45"/>
    </row>
    <row r="652" spans="2:26" ht="21.95" customHeight="1" x14ac:dyDescent="0.2">
      <c r="B652" s="1066" t="s">
        <v>35</v>
      </c>
      <c r="C652" s="1014"/>
      <c r="D652" s="1014"/>
      <c r="E652" s="1014"/>
      <c r="F652" s="1014"/>
      <c r="G652" s="1014"/>
      <c r="H652" s="1015"/>
      <c r="I652" s="1013" t="s">
        <v>38</v>
      </c>
      <c r="J652" s="1014"/>
      <c r="K652" s="1014"/>
      <c r="L652" s="1014"/>
      <c r="M652" s="1014"/>
      <c r="N652" s="1014"/>
      <c r="O652" s="1057"/>
      <c r="P652" s="150"/>
      <c r="Q652" s="41"/>
      <c r="R652" s="41"/>
      <c r="S652" s="22"/>
      <c r="T652" s="1131"/>
      <c r="U652" s="847"/>
      <c r="V652" s="847"/>
      <c r="W652" s="847"/>
      <c r="X652" s="847"/>
      <c r="Y652" s="41"/>
      <c r="Z652" s="25"/>
    </row>
    <row r="653" spans="2:26" ht="21.95" customHeight="1" x14ac:dyDescent="0.2">
      <c r="B653" s="352" t="s">
        <v>4</v>
      </c>
      <c r="C653" s="353" t="s">
        <v>434</v>
      </c>
      <c r="D653" s="353" t="s">
        <v>5</v>
      </c>
      <c r="E653" s="353" t="s">
        <v>6</v>
      </c>
      <c r="F653" s="353" t="s">
        <v>75</v>
      </c>
      <c r="G653" s="353" t="s">
        <v>302</v>
      </c>
      <c r="H653" s="354" t="s">
        <v>303</v>
      </c>
      <c r="I653" s="359" t="s">
        <v>4</v>
      </c>
      <c r="J653" s="353"/>
      <c r="K653" s="353"/>
      <c r="L653" s="353"/>
      <c r="M653" s="353" t="s">
        <v>75</v>
      </c>
      <c r="N653" s="353" t="s">
        <v>302</v>
      </c>
      <c r="O653" s="354" t="s">
        <v>303</v>
      </c>
      <c r="P653" s="150"/>
      <c r="Q653" s="41"/>
      <c r="R653" s="41"/>
      <c r="S653" s="41"/>
      <c r="T653" s="66"/>
      <c r="U653" s="67"/>
      <c r="V653" s="67"/>
      <c r="W653" s="68"/>
      <c r="X653" s="69"/>
      <c r="Y653" s="41"/>
      <c r="Z653" s="25"/>
    </row>
    <row r="654" spans="2:26" ht="21.95" customHeight="1" x14ac:dyDescent="0.2">
      <c r="B654" s="26">
        <f t="shared" ref="B654:B665" si="185">B51</f>
        <v>5.625</v>
      </c>
      <c r="C654" s="20"/>
      <c r="D654" s="20"/>
      <c r="E654" s="20"/>
      <c r="F654" s="20">
        <v>97.783000000000001</v>
      </c>
      <c r="G654" s="20">
        <v>97.635400000000004</v>
      </c>
      <c r="H654" s="20">
        <v>97.547899999999998</v>
      </c>
      <c r="I654" s="26">
        <f>I51</f>
        <v>6.25</v>
      </c>
      <c r="J654" s="20"/>
      <c r="K654" s="20"/>
      <c r="L654" s="20"/>
      <c r="M654" s="20">
        <v>84.45</v>
      </c>
      <c r="N654" s="20">
        <v>84.45</v>
      </c>
      <c r="O654" s="20">
        <v>84.45</v>
      </c>
      <c r="P654" s="150"/>
      <c r="Q654" s="41"/>
      <c r="R654" s="41"/>
      <c r="S654" s="22"/>
      <c r="T654" s="44"/>
      <c r="U654" s="44"/>
      <c r="V654" s="44"/>
      <c r="W654" s="44"/>
      <c r="X654" s="44"/>
      <c r="Y654" s="44"/>
      <c r="Z654" s="45"/>
    </row>
    <row r="655" spans="2:26" ht="21.95" customHeight="1" x14ac:dyDescent="0.2">
      <c r="B655" s="26">
        <f t="shared" si="185"/>
        <v>5.75</v>
      </c>
      <c r="C655" s="20"/>
      <c r="D655" s="20"/>
      <c r="E655" s="20"/>
      <c r="F655" s="20">
        <v>98.211500000000001</v>
      </c>
      <c r="G655" s="20">
        <v>97.850700000000003</v>
      </c>
      <c r="H655" s="20">
        <v>97.732500000000002</v>
      </c>
      <c r="I655" s="26">
        <f>I52</f>
        <v>6.375</v>
      </c>
      <c r="J655" s="20"/>
      <c r="K655" s="20"/>
      <c r="L655" s="20"/>
      <c r="M655" s="20">
        <v>84.45</v>
      </c>
      <c r="N655" s="20">
        <v>84.45</v>
      </c>
      <c r="O655" s="20">
        <v>84.45</v>
      </c>
      <c r="P655" s="152"/>
      <c r="Q655" s="148"/>
      <c r="R655" s="148"/>
      <c r="S655" s="149"/>
      <c r="T655" s="44"/>
      <c r="U655" s="44"/>
      <c r="V655" s="44"/>
      <c r="W655" s="44"/>
      <c r="X655" s="44"/>
      <c r="Y655" s="44"/>
      <c r="Z655" s="45"/>
    </row>
    <row r="656" spans="2:26" ht="21.95" customHeight="1" x14ac:dyDescent="0.2">
      <c r="B656" s="26">
        <f t="shared" si="185"/>
        <v>5.875</v>
      </c>
      <c r="C656" s="20"/>
      <c r="D656" s="20"/>
      <c r="E656" s="20"/>
      <c r="F656" s="20">
        <v>98.716800000000006</v>
      </c>
      <c r="G656" s="20">
        <v>98.356700000000004</v>
      </c>
      <c r="H656" s="20">
        <v>98.243600000000001</v>
      </c>
      <c r="I656" s="26">
        <f>I53</f>
        <v>6.5</v>
      </c>
      <c r="J656" s="20"/>
      <c r="K656" s="20"/>
      <c r="L656" s="20"/>
      <c r="M656" s="20">
        <v>84.45</v>
      </c>
      <c r="N656" s="20">
        <v>84.45</v>
      </c>
      <c r="O656" s="20">
        <v>84.45</v>
      </c>
      <c r="P656" s="71"/>
      <c r="Q656" s="72"/>
      <c r="R656" s="72"/>
      <c r="S656" s="72"/>
      <c r="T656" s="72"/>
      <c r="U656" s="72"/>
      <c r="V656" s="72"/>
      <c r="W656" s="72"/>
      <c r="X656" s="53"/>
      <c r="Y656" s="53"/>
      <c r="Z656" s="54"/>
    </row>
    <row r="657" spans="2:26" ht="21.95" customHeight="1" x14ac:dyDescent="0.2">
      <c r="B657" s="26">
        <f t="shared" si="185"/>
        <v>6</v>
      </c>
      <c r="C657" s="20"/>
      <c r="D657" s="20"/>
      <c r="E657" s="20"/>
      <c r="F657" s="20">
        <v>99.195599999999999</v>
      </c>
      <c r="G657" s="20">
        <v>98.836100000000002</v>
      </c>
      <c r="H657" s="20">
        <v>98.727800000000002</v>
      </c>
      <c r="I657" s="26">
        <f>I54</f>
        <v>6.625</v>
      </c>
      <c r="J657" s="20"/>
      <c r="K657" s="20"/>
      <c r="L657" s="20"/>
      <c r="M657" s="20">
        <v>84.45</v>
      </c>
      <c r="N657" s="20">
        <v>84.45</v>
      </c>
      <c r="O657" s="20">
        <v>84.45</v>
      </c>
      <c r="P657" s="71" t="s">
        <v>51</v>
      </c>
      <c r="Q657" s="72"/>
      <c r="R657" s="72"/>
      <c r="S657" s="72"/>
      <c r="T657" s="73" t="s">
        <v>295</v>
      </c>
      <c r="U657" s="74"/>
      <c r="V657" s="74"/>
      <c r="W657" s="74"/>
      <c r="X657" s="75"/>
      <c r="Y657" s="76" t="s">
        <v>88</v>
      </c>
      <c r="Z657" s="54"/>
    </row>
    <row r="658" spans="2:26" ht="21.95" customHeight="1" x14ac:dyDescent="0.2">
      <c r="B658" s="26">
        <f t="shared" si="185"/>
        <v>6.125</v>
      </c>
      <c r="C658" s="20"/>
      <c r="D658" s="20"/>
      <c r="E658" s="20"/>
      <c r="F658" s="20">
        <v>99.619799999999998</v>
      </c>
      <c r="G658" s="20">
        <v>99.260300000000001</v>
      </c>
      <c r="H658" s="20">
        <v>99.152000000000001</v>
      </c>
      <c r="I658" s="26">
        <f>I55</f>
        <v>6.75</v>
      </c>
      <c r="J658" s="20"/>
      <c r="K658" s="20"/>
      <c r="L658" s="20"/>
      <c r="M658" s="20">
        <v>84.45</v>
      </c>
      <c r="N658" s="20">
        <v>84.45</v>
      </c>
      <c r="O658" s="20">
        <v>84.45</v>
      </c>
      <c r="P658" s="77" t="s">
        <v>52</v>
      </c>
      <c r="Q658" s="70"/>
      <c r="R658" s="78" t="s">
        <v>53</v>
      </c>
      <c r="S658" s="78" t="s">
        <v>54</v>
      </c>
      <c r="T658" s="79" t="s">
        <v>305</v>
      </c>
      <c r="U658" s="80"/>
      <c r="V658" s="80"/>
      <c r="W658" s="81">
        <v>-0.02</v>
      </c>
      <c r="X658" s="82"/>
      <c r="Y658" s="212" t="s">
        <v>89</v>
      </c>
      <c r="Z658" s="83">
        <v>1125</v>
      </c>
    </row>
    <row r="659" spans="2:26" ht="21.95" customHeight="1" x14ac:dyDescent="0.2">
      <c r="B659" s="26">
        <f t="shared" si="185"/>
        <v>6.25</v>
      </c>
      <c r="C659" s="20"/>
      <c r="D659" s="20"/>
      <c r="E659" s="20"/>
      <c r="F659" s="20">
        <v>99.895300000000006</v>
      </c>
      <c r="G659" s="20">
        <v>99.358500000000006</v>
      </c>
      <c r="H659" s="20">
        <v>99.194300000000013</v>
      </c>
      <c r="I659" s="26"/>
      <c r="J659" s="20"/>
      <c r="K659" s="20"/>
      <c r="L659" s="20"/>
      <c r="M659" s="20"/>
      <c r="N659" s="20"/>
      <c r="O659" s="20"/>
      <c r="P659" s="77" t="s">
        <v>55</v>
      </c>
      <c r="Q659" s="84"/>
      <c r="R659" s="85">
        <v>-1.5</v>
      </c>
      <c r="S659" s="85">
        <v>0</v>
      </c>
      <c r="T659" s="86" t="s">
        <v>306</v>
      </c>
      <c r="U659" s="80"/>
      <c r="V659" s="80"/>
      <c r="W659" s="81">
        <v>-0.02</v>
      </c>
      <c r="X659" s="82"/>
      <c r="Y659" s="212" t="s">
        <v>156</v>
      </c>
      <c r="Z659" s="83">
        <v>700</v>
      </c>
    </row>
    <row r="660" spans="2:26" ht="21.95" customHeight="1" x14ac:dyDescent="0.2">
      <c r="B660" s="26">
        <f t="shared" si="185"/>
        <v>6.375</v>
      </c>
      <c r="C660" s="20"/>
      <c r="D660" s="20"/>
      <c r="E660" s="20"/>
      <c r="F660" s="20">
        <v>100.3455</v>
      </c>
      <c r="G660" s="20">
        <v>99.808700000000002</v>
      </c>
      <c r="H660" s="20">
        <v>99.646000000000001</v>
      </c>
      <c r="I660" s="26"/>
      <c r="J660" s="20"/>
      <c r="K660" s="20"/>
      <c r="L660" s="20"/>
      <c r="M660" s="20"/>
      <c r="N660" s="20"/>
      <c r="O660" s="20"/>
      <c r="P660" s="77" t="s">
        <v>56</v>
      </c>
      <c r="Q660" s="84"/>
      <c r="R660" s="85">
        <v>-1.5</v>
      </c>
      <c r="S660" s="85">
        <v>-1.5</v>
      </c>
      <c r="T660" s="86" t="s">
        <v>307</v>
      </c>
      <c r="U660" s="80"/>
      <c r="V660" s="80"/>
      <c r="W660" s="81">
        <v>-0.04</v>
      </c>
      <c r="X660" s="82"/>
      <c r="Y660" s="212" t="s">
        <v>157</v>
      </c>
      <c r="Z660" s="83">
        <v>295</v>
      </c>
    </row>
    <row r="661" spans="2:26" ht="21.95" customHeight="1" x14ac:dyDescent="0.2">
      <c r="B661" s="26">
        <f t="shared" si="185"/>
        <v>6.5</v>
      </c>
      <c r="C661" s="20"/>
      <c r="D661" s="20"/>
      <c r="E661" s="20"/>
      <c r="F661" s="20">
        <v>100.75330000000001</v>
      </c>
      <c r="G661" s="20">
        <v>100.22730000000001</v>
      </c>
      <c r="H661" s="20">
        <v>100.0562</v>
      </c>
      <c r="I661" s="26"/>
      <c r="J661" s="20"/>
      <c r="K661" s="20"/>
      <c r="L661" s="20"/>
      <c r="M661" s="20"/>
      <c r="N661" s="20"/>
      <c r="O661" s="20"/>
      <c r="P661" s="1132" t="s">
        <v>309</v>
      </c>
      <c r="Q661" s="1058"/>
      <c r="R661" s="1058"/>
      <c r="S661" s="1059"/>
      <c r="T661" s="86" t="s">
        <v>308</v>
      </c>
      <c r="U661" s="80"/>
      <c r="V661" s="80"/>
      <c r="W661" s="81">
        <v>-0.04</v>
      </c>
      <c r="X661" s="82"/>
      <c r="Y661" s="366" t="s">
        <v>158</v>
      </c>
      <c r="Z661" s="83">
        <v>0</v>
      </c>
    </row>
    <row r="662" spans="2:26" ht="21.95" customHeight="1" x14ac:dyDescent="0.2">
      <c r="B662" s="26">
        <f t="shared" si="185"/>
        <v>6.625</v>
      </c>
      <c r="C662" s="20"/>
      <c r="D662" s="20"/>
      <c r="E662" s="20"/>
      <c r="F662" s="20">
        <v>101.05970000000001</v>
      </c>
      <c r="G662" s="20">
        <v>100.6435</v>
      </c>
      <c r="H662" s="20">
        <v>100.4325</v>
      </c>
      <c r="I662" s="26"/>
      <c r="J662" s="20"/>
      <c r="K662" s="20"/>
      <c r="L662" s="20"/>
      <c r="M662" s="20"/>
      <c r="N662" s="20"/>
      <c r="O662" s="20"/>
      <c r="P662" s="1132"/>
      <c r="Q662" s="1058"/>
      <c r="R662" s="1058"/>
      <c r="S662" s="1059"/>
      <c r="T662" s="86" t="s">
        <v>85</v>
      </c>
      <c r="U662" s="87"/>
      <c r="V662" s="87"/>
      <c r="W662" s="81">
        <v>-0.125</v>
      </c>
      <c r="X662" s="1050"/>
      <c r="Y662" s="1051"/>
      <c r="Z662" s="1061"/>
    </row>
    <row r="663" spans="2:26" ht="21.95" customHeight="1" x14ac:dyDescent="0.2">
      <c r="B663" s="26">
        <f t="shared" si="185"/>
        <v>6.75</v>
      </c>
      <c r="C663" s="20"/>
      <c r="D663" s="20"/>
      <c r="E663" s="20"/>
      <c r="F663" s="20">
        <v>101.5471</v>
      </c>
      <c r="G663" s="20">
        <v>101.13160000000001</v>
      </c>
      <c r="H663" s="20">
        <v>100.92580000000001</v>
      </c>
      <c r="I663" s="26"/>
      <c r="J663" s="20"/>
      <c r="K663" s="20"/>
      <c r="L663" s="20"/>
      <c r="M663" s="20"/>
      <c r="N663" s="20"/>
      <c r="O663" s="20"/>
      <c r="P663" s="1132"/>
      <c r="Q663" s="1058"/>
      <c r="R663" s="1058"/>
      <c r="S663" s="1059"/>
      <c r="T663" s="89"/>
      <c r="U663" s="84"/>
      <c r="V663" s="84"/>
      <c r="W663" s="84"/>
      <c r="X663" s="1050"/>
      <c r="Y663" s="1051"/>
      <c r="Z663" s="1061"/>
    </row>
    <row r="664" spans="2:26" ht="21.95" customHeight="1" x14ac:dyDescent="0.2">
      <c r="B664" s="26">
        <f t="shared" si="185"/>
        <v>6.875</v>
      </c>
      <c r="C664" s="20"/>
      <c r="D664" s="20"/>
      <c r="E664" s="20"/>
      <c r="F664" s="20">
        <v>101.8689</v>
      </c>
      <c r="G664" s="20">
        <v>101.453</v>
      </c>
      <c r="H664" s="20">
        <v>101.24600000000001</v>
      </c>
      <c r="I664" s="26"/>
      <c r="J664" s="20"/>
      <c r="K664" s="20"/>
      <c r="L664" s="20"/>
      <c r="M664" s="20"/>
      <c r="N664" s="20"/>
      <c r="O664" s="20"/>
      <c r="P664" s="90"/>
      <c r="Q664" s="84"/>
      <c r="R664" s="84"/>
      <c r="S664" s="84"/>
      <c r="T664" s="1048" t="s">
        <v>86</v>
      </c>
      <c r="U664" s="1049"/>
      <c r="V664" s="1049"/>
      <c r="W664" s="1049"/>
      <c r="X664" s="1055"/>
      <c r="Y664" s="1056"/>
      <c r="Z664" s="91"/>
    </row>
    <row r="665" spans="2:26" ht="21.95" customHeight="1" x14ac:dyDescent="0.2">
      <c r="B665" s="26">
        <f t="shared" si="185"/>
        <v>7</v>
      </c>
      <c r="C665" s="20"/>
      <c r="D665" s="20"/>
      <c r="E665" s="20"/>
      <c r="F665" s="20">
        <v>102.2381</v>
      </c>
      <c r="G665" s="20">
        <v>101.822</v>
      </c>
      <c r="H665" s="20">
        <v>101.6165</v>
      </c>
      <c r="I665" s="26"/>
      <c r="J665" s="20"/>
      <c r="K665" s="20"/>
      <c r="L665" s="20"/>
      <c r="M665" s="20"/>
      <c r="N665" s="20"/>
      <c r="O665" s="20"/>
      <c r="P665" s="88" t="s">
        <v>84</v>
      </c>
      <c r="Q665" s="84"/>
      <c r="R665" s="84"/>
      <c r="S665" s="65">
        <v>-0.1</v>
      </c>
      <c r="T665" s="1048"/>
      <c r="U665" s="1049"/>
      <c r="V665" s="1049"/>
      <c r="W665" s="1049"/>
      <c r="X665" s="1055"/>
      <c r="Y665" s="1056"/>
      <c r="Z665" s="92"/>
    </row>
    <row r="666" spans="2:26" ht="21.95" customHeight="1" x14ac:dyDescent="0.2">
      <c r="B666" s="26"/>
      <c r="C666" s="20"/>
      <c r="D666" s="20"/>
      <c r="E666" s="20"/>
      <c r="F666" s="20"/>
      <c r="G666" s="20"/>
      <c r="H666" s="20"/>
      <c r="I666" s="26"/>
      <c r="J666" s="20"/>
      <c r="K666" s="20"/>
      <c r="L666" s="20"/>
      <c r="M666" s="20"/>
      <c r="N666" s="20"/>
      <c r="O666" s="20"/>
      <c r="P666" s="95"/>
      <c r="Q666" s="96"/>
      <c r="R666" s="96"/>
      <c r="S666" s="96"/>
      <c r="T666" s="97"/>
      <c r="U666" s="96"/>
      <c r="V666" s="96"/>
      <c r="W666" s="96"/>
      <c r="X666" s="98"/>
      <c r="Y666" s="96"/>
      <c r="Z666" s="99"/>
    </row>
    <row r="667" spans="2:26" ht="21.95" customHeight="1" x14ac:dyDescent="0.2">
      <c r="B667" s="100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1021"/>
      <c r="S667" s="1021"/>
      <c r="T667" s="74"/>
      <c r="U667" s="74"/>
      <c r="V667" s="74"/>
      <c r="W667" s="74"/>
      <c r="X667" s="74"/>
      <c r="Y667" s="74"/>
      <c r="Z667" s="101"/>
    </row>
    <row r="668" spans="2:26" s="44" customFormat="1" ht="21.95" customHeight="1" x14ac:dyDescent="0.2">
      <c r="B668" s="90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711" t="s">
        <v>57</v>
      </c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91"/>
    </row>
    <row r="669" spans="2:26" s="44" customFormat="1" ht="21.95" customHeight="1" x14ac:dyDescent="0.2">
      <c r="B669" s="90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711" t="s">
        <v>58</v>
      </c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91"/>
    </row>
    <row r="670" spans="2:26" s="44" customFormat="1" ht="21.95" customHeight="1" x14ac:dyDescent="0.2">
      <c r="B670" s="90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712" t="s">
        <v>67</v>
      </c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91"/>
    </row>
    <row r="671" spans="2:26" s="44" customFormat="1" ht="21.95" customHeight="1" thickBot="1" x14ac:dyDescent="0.25">
      <c r="B671" s="90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712" t="s">
        <v>59</v>
      </c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91"/>
    </row>
    <row r="672" spans="2:26" s="651" customFormat="1" ht="21.95" customHeight="1" x14ac:dyDescent="0.3">
      <c r="B672" s="655" t="s">
        <v>515</v>
      </c>
      <c r="C672" s="656"/>
      <c r="D672" s="656"/>
      <c r="E672" s="656"/>
      <c r="F672" s="656"/>
      <c r="G672" s="656"/>
      <c r="H672" s="656"/>
      <c r="I672" s="656"/>
      <c r="J672" s="656"/>
      <c r="K672" s="656"/>
      <c r="L672" s="656"/>
      <c r="M672" s="656"/>
      <c r="N672" s="656"/>
      <c r="O672" s="656"/>
      <c r="P672" s="656"/>
      <c r="Q672" s="656"/>
      <c r="R672" s="656"/>
      <c r="S672" s="656"/>
      <c r="T672" s="656"/>
      <c r="U672" s="656"/>
      <c r="V672" s="656"/>
      <c r="W672" s="656"/>
      <c r="X672" s="962" t="s">
        <v>0</v>
      </c>
      <c r="Y672" s="962"/>
      <c r="Z672" s="963"/>
    </row>
    <row r="673" spans="2:26" s="651" customFormat="1" ht="21.95" customHeight="1" x14ac:dyDescent="0.3">
      <c r="B673" s="657" t="s">
        <v>68</v>
      </c>
      <c r="C673" s="658"/>
      <c r="D673" s="658"/>
      <c r="E673" s="658"/>
      <c r="F673" s="658"/>
      <c r="G673" s="658"/>
      <c r="H673" s="659"/>
      <c r="I673" s="659"/>
      <c r="J673" s="658"/>
      <c r="K673" s="658"/>
      <c r="L673" s="658"/>
      <c r="M673" s="658"/>
      <c r="N673" s="658"/>
      <c r="O673" s="658"/>
      <c r="P673" s="658"/>
      <c r="Q673" s="658"/>
      <c r="R673" s="658"/>
      <c r="S673" s="658"/>
      <c r="T673" s="658"/>
      <c r="U673" s="658"/>
      <c r="V673" s="658"/>
      <c r="W673" s="934">
        <f ca="1">TODAY()</f>
        <v>46101</v>
      </c>
      <c r="X673" s="934"/>
      <c r="Y673" s="935">
        <v>0.4375</v>
      </c>
      <c r="Z673" s="936"/>
    </row>
    <row r="674" spans="2:26" s="651" customFormat="1" ht="21.95" customHeight="1" x14ac:dyDescent="0.3">
      <c r="B674" s="657" t="s">
        <v>69</v>
      </c>
      <c r="C674" s="658"/>
      <c r="D674" s="658"/>
      <c r="E674" s="658"/>
      <c r="F674" s="658"/>
      <c r="G674" s="658"/>
      <c r="H674" s="658"/>
      <c r="I674" s="658"/>
      <c r="J674" s="658"/>
      <c r="K674" s="658"/>
      <c r="L674" s="658"/>
      <c r="M674" s="658"/>
      <c r="N674" s="658"/>
      <c r="O674" s="658"/>
      <c r="P674" s="658"/>
      <c r="Q674" s="658"/>
      <c r="R674" s="658"/>
      <c r="S674" s="658"/>
      <c r="T674" s="658"/>
      <c r="U674" s="658"/>
      <c r="V674" s="658"/>
      <c r="W674" s="658"/>
      <c r="X674" s="658"/>
      <c r="Y674" s="658"/>
      <c r="Z674" s="660"/>
    </row>
    <row r="675" spans="2:26" s="651" customFormat="1" ht="21.95" customHeight="1" x14ac:dyDescent="0.3">
      <c r="B675" s="661" t="s">
        <v>72</v>
      </c>
      <c r="C675" s="658"/>
      <c r="D675" s="658"/>
      <c r="E675" s="658"/>
      <c r="F675" s="658"/>
      <c r="G675" s="662"/>
      <c r="H675" s="662"/>
      <c r="I675" s="662"/>
      <c r="J675" s="662"/>
      <c r="K675" s="662"/>
      <c r="L675" s="662"/>
      <c r="M675" s="662"/>
      <c r="N675" s="662"/>
      <c r="O675" s="662"/>
      <c r="P675" s="662"/>
      <c r="Q675" s="662"/>
      <c r="R675" s="662"/>
      <c r="S675" s="662"/>
      <c r="T675" s="662"/>
      <c r="U675" s="662"/>
      <c r="V675" s="662"/>
      <c r="W675" s="658" t="s">
        <v>161</v>
      </c>
      <c r="X675" s="663"/>
      <c r="Y675" s="663"/>
      <c r="Z675" s="660"/>
    </row>
    <row r="676" spans="2:26" s="651" customFormat="1" ht="21.95" customHeight="1" x14ac:dyDescent="0.3">
      <c r="B676" s="657"/>
      <c r="C676" s="664"/>
      <c r="D676" s="664"/>
      <c r="E676" s="664"/>
      <c r="F676" s="664"/>
      <c r="G676" s="664"/>
      <c r="H676" s="664"/>
      <c r="I676" s="664"/>
      <c r="J676" s="664"/>
      <c r="K676" s="664"/>
      <c r="L676" s="664"/>
      <c r="M676" s="664"/>
      <c r="N676" s="664"/>
      <c r="O676" s="664"/>
      <c r="P676" s="664"/>
      <c r="Q676" s="664"/>
      <c r="R676" s="664"/>
      <c r="S676" s="664"/>
      <c r="T676" s="664"/>
      <c r="U676" s="664"/>
      <c r="V676" s="664"/>
      <c r="W676" s="663" t="s">
        <v>65</v>
      </c>
      <c r="X676" s="658"/>
      <c r="Y676" s="658"/>
      <c r="Z676" s="665"/>
    </row>
    <row r="677" spans="2:26" s="666" customFormat="1" ht="21.95" customHeight="1" thickBot="1" x14ac:dyDescent="0.35">
      <c r="B677" s="667" t="s">
        <v>73</v>
      </c>
      <c r="C677" s="668"/>
      <c r="D677" s="668"/>
      <c r="E677" s="668"/>
      <c r="F677" s="668"/>
      <c r="G677" s="668"/>
      <c r="H677" s="668"/>
      <c r="I677" s="668"/>
      <c r="J677" s="668"/>
      <c r="K677" s="668"/>
      <c r="L677" s="668"/>
      <c r="M677" s="668"/>
      <c r="N677" s="668"/>
      <c r="O677" s="668"/>
      <c r="P677" s="668"/>
      <c r="Q677" s="668"/>
      <c r="R677" s="668"/>
      <c r="S677" s="668"/>
      <c r="T677" s="668"/>
      <c r="U677" s="668"/>
      <c r="V677" s="668"/>
      <c r="W677" s="669"/>
      <c r="X677" s="670"/>
      <c r="Y677" s="670"/>
      <c r="Z677" s="671"/>
    </row>
    <row r="678" spans="2:26" ht="21.95" customHeight="1" thickBot="1" x14ac:dyDescent="0.25">
      <c r="B678" s="937" t="s">
        <v>357</v>
      </c>
      <c r="C678" s="938"/>
      <c r="D678" s="938"/>
      <c r="E678" s="938"/>
      <c r="F678" s="938"/>
      <c r="G678" s="938"/>
      <c r="H678" s="938"/>
      <c r="I678" s="938"/>
      <c r="J678" s="938"/>
      <c r="K678" s="938"/>
      <c r="L678" s="938"/>
      <c r="M678" s="938"/>
      <c r="N678" s="938"/>
      <c r="O678" s="938"/>
      <c r="P678" s="938"/>
      <c r="Q678" s="938"/>
      <c r="R678" s="938"/>
      <c r="S678" s="938"/>
      <c r="T678" s="938"/>
      <c r="U678" s="938"/>
      <c r="V678" s="938"/>
      <c r="W678" s="938"/>
      <c r="X678" s="938"/>
      <c r="Y678" s="938"/>
      <c r="Z678" s="939"/>
    </row>
    <row r="679" spans="2:26" ht="21.95" customHeight="1" thickBot="1" x14ac:dyDescent="0.25">
      <c r="B679" s="509"/>
      <c r="C679" s="500"/>
      <c r="D679" s="500"/>
      <c r="E679" s="500"/>
      <c r="F679" s="500"/>
      <c r="G679" s="500"/>
      <c r="H679" s="500"/>
      <c r="I679" s="500"/>
      <c r="J679" s="500"/>
      <c r="K679" s="500"/>
      <c r="L679" s="500"/>
      <c r="M679" s="500"/>
      <c r="N679" s="500"/>
      <c r="O679" s="500"/>
      <c r="P679" s="500"/>
      <c r="Q679" s="500"/>
      <c r="R679" s="500"/>
      <c r="S679" s="500"/>
      <c r="T679" s="500"/>
      <c r="U679" s="500"/>
      <c r="V679" s="500"/>
      <c r="W679" s="500"/>
      <c r="X679" s="500"/>
      <c r="Y679" s="500"/>
      <c r="Z679" s="502"/>
    </row>
    <row r="680" spans="2:26" s="650" customFormat="1" ht="21.95" customHeight="1" x14ac:dyDescent="0.25">
      <c r="B680" s="793" t="s">
        <v>1</v>
      </c>
      <c r="C680" s="794"/>
      <c r="D680" s="794"/>
      <c r="E680" s="794"/>
      <c r="F680" s="794"/>
      <c r="G680" s="794"/>
      <c r="H680" s="795"/>
      <c r="I680" s="793" t="s">
        <v>3</v>
      </c>
      <c r="J680" s="794"/>
      <c r="K680" s="794"/>
      <c r="L680" s="794"/>
      <c r="M680" s="794"/>
      <c r="N680" s="794"/>
      <c r="O680" s="795"/>
      <c r="P680" s="675"/>
      <c r="Q680" s="676"/>
      <c r="R680" s="677"/>
      <c r="S680" s="678"/>
      <c r="T680" s="678"/>
      <c r="U680" s="678"/>
      <c r="V680" s="678"/>
      <c r="W680" s="679"/>
      <c r="X680" s="679"/>
      <c r="Y680" s="679"/>
      <c r="Z680" s="680"/>
    </row>
    <row r="681" spans="2:26" ht="21.95" customHeight="1" x14ac:dyDescent="0.2">
      <c r="B681" s="352" t="s">
        <v>4</v>
      </c>
      <c r="C681" s="353" t="s">
        <v>434</v>
      </c>
      <c r="D681" s="353" t="s">
        <v>5</v>
      </c>
      <c r="E681" s="353" t="s">
        <v>6</v>
      </c>
      <c r="F681" s="353" t="s">
        <v>75</v>
      </c>
      <c r="G681" s="353" t="s">
        <v>302</v>
      </c>
      <c r="H681" s="354" t="s">
        <v>303</v>
      </c>
      <c r="I681" s="359" t="s">
        <v>4</v>
      </c>
      <c r="J681" s="353"/>
      <c r="K681" s="353"/>
      <c r="L681" s="353"/>
      <c r="M681" s="353" t="s">
        <v>75</v>
      </c>
      <c r="N681" s="353" t="s">
        <v>302</v>
      </c>
      <c r="O681" s="354" t="s">
        <v>303</v>
      </c>
      <c r="Q681" s="4"/>
      <c r="R681" s="4" t="s">
        <v>101</v>
      </c>
      <c r="S681" s="112"/>
      <c r="T681" s="123">
        <v>0</v>
      </c>
      <c r="U681" s="44"/>
      <c r="V681" s="4"/>
      <c r="W681" s="4"/>
      <c r="X681" s="112"/>
      <c r="Y681" s="123"/>
      <c r="Z681" s="113"/>
    </row>
    <row r="682" spans="2:26" ht="21.95" customHeight="1" x14ac:dyDescent="0.2">
      <c r="B682" s="26">
        <f t="shared" ref="B682:B693" si="186">B79</f>
        <v>4.75</v>
      </c>
      <c r="C682" s="20"/>
      <c r="D682" s="20"/>
      <c r="E682" s="20"/>
      <c r="F682" s="20">
        <v>95.164000000000016</v>
      </c>
      <c r="G682" s="20">
        <v>94.970600000000019</v>
      </c>
      <c r="H682" s="20">
        <v>94.833700000000007</v>
      </c>
      <c r="I682" s="26">
        <f t="shared" ref="I682:I689" si="187">I79</f>
        <v>4.5</v>
      </c>
      <c r="J682" s="20"/>
      <c r="K682" s="20"/>
      <c r="L682" s="20"/>
      <c r="M682" s="20">
        <v>97.512200000000007</v>
      </c>
      <c r="N682" s="20">
        <v>96.932000000000002</v>
      </c>
      <c r="O682" s="50">
        <v>96.264500000000012</v>
      </c>
      <c r="Q682" s="4"/>
      <c r="R682" s="4"/>
      <c r="S682" s="112"/>
      <c r="T682" s="112"/>
      <c r="U682" s="44"/>
      <c r="V682" s="4"/>
      <c r="W682" s="4"/>
      <c r="X682" s="112"/>
      <c r="Y682" s="112"/>
      <c r="Z682" s="113"/>
    </row>
    <row r="683" spans="2:26" ht="21.95" customHeight="1" x14ac:dyDescent="0.2">
      <c r="B683" s="26">
        <f t="shared" si="186"/>
        <v>4.875</v>
      </c>
      <c r="C683" s="20"/>
      <c r="D683" s="20"/>
      <c r="E683" s="20"/>
      <c r="F683" s="20">
        <v>95.889600000000016</v>
      </c>
      <c r="G683" s="20">
        <v>95.676200000000009</v>
      </c>
      <c r="H683" s="20">
        <v>95.539200000000008</v>
      </c>
      <c r="I683" s="26">
        <f t="shared" si="187"/>
        <v>4.625</v>
      </c>
      <c r="J683" s="20"/>
      <c r="K683" s="20"/>
      <c r="L683" s="20"/>
      <c r="M683" s="20">
        <v>98.076000000000008</v>
      </c>
      <c r="N683" s="20">
        <v>97.495800000000003</v>
      </c>
      <c r="O683" s="50">
        <v>96.828300000000013</v>
      </c>
      <c r="Q683" s="109"/>
      <c r="R683" s="109" t="s">
        <v>83</v>
      </c>
      <c r="S683" s="110"/>
      <c r="T683" s="110"/>
      <c r="U683" s="110"/>
      <c r="V683" s="110"/>
      <c r="W683" s="110"/>
      <c r="X683" s="110"/>
      <c r="Y683" s="110"/>
      <c r="Z683" s="111"/>
    </row>
    <row r="684" spans="2:26" ht="21.95" customHeight="1" x14ac:dyDescent="0.2">
      <c r="B684" s="26">
        <f t="shared" si="186"/>
        <v>5</v>
      </c>
      <c r="C684" s="20"/>
      <c r="D684" s="20"/>
      <c r="E684" s="20"/>
      <c r="F684" s="20">
        <v>96.629300000000015</v>
      </c>
      <c r="G684" s="20">
        <v>96.436000000000007</v>
      </c>
      <c r="H684" s="20">
        <v>96.309000000000012</v>
      </c>
      <c r="I684" s="26">
        <f t="shared" si="187"/>
        <v>4.75</v>
      </c>
      <c r="J684" s="20"/>
      <c r="K684" s="20"/>
      <c r="L684" s="20"/>
      <c r="M684" s="20">
        <v>98.087500000000006</v>
      </c>
      <c r="N684" s="20">
        <v>97.494000000000014</v>
      </c>
      <c r="O684" s="50">
        <v>96.805600000000013</v>
      </c>
      <c r="Q684" s="515"/>
      <c r="R684" s="515"/>
      <c r="S684" s="44"/>
      <c r="T684" s="44"/>
      <c r="U684" s="44"/>
      <c r="V684" s="116"/>
      <c r="W684" s="116"/>
      <c r="X684" s="116"/>
      <c r="Y684" s="116"/>
      <c r="Z684" s="117"/>
    </row>
    <row r="685" spans="2:26" ht="21.95" customHeight="1" x14ac:dyDescent="0.2">
      <c r="B685" s="26">
        <f t="shared" si="186"/>
        <v>5.125</v>
      </c>
      <c r="C685" s="20"/>
      <c r="D685" s="20"/>
      <c r="E685" s="20"/>
      <c r="F685" s="20">
        <v>97.291100000000014</v>
      </c>
      <c r="G685" s="20">
        <v>97.077700000000007</v>
      </c>
      <c r="H685" s="20">
        <v>96.940700000000007</v>
      </c>
      <c r="I685" s="26">
        <f t="shared" si="187"/>
        <v>4.875</v>
      </c>
      <c r="J685" s="20"/>
      <c r="K685" s="20"/>
      <c r="L685" s="20"/>
      <c r="M685" s="20">
        <v>98.645400000000009</v>
      </c>
      <c r="N685" s="20">
        <v>98.051900000000003</v>
      </c>
      <c r="O685" s="50">
        <v>97.363500000000016</v>
      </c>
      <c r="Q685" s="4"/>
      <c r="R685" s="4" t="str">
        <f t="shared" ref="R685:S694" si="188">R82</f>
        <v>DC</v>
      </c>
      <c r="S685" s="681">
        <f t="shared" si="188"/>
        <v>0.05</v>
      </c>
      <c r="T685" s="44"/>
      <c r="U685" s="44" t="str">
        <f t="shared" ref="U685:V694" si="189">U82</f>
        <v>AL</v>
      </c>
      <c r="V685" s="114">
        <f t="shared" si="189"/>
        <v>0.05</v>
      </c>
      <c r="W685" s="114" t="s">
        <v>486</v>
      </c>
      <c r="X685" s="114">
        <v>-0.05</v>
      </c>
      <c r="Y685" s="114"/>
      <c r="Z685" s="115"/>
    </row>
    <row r="686" spans="2:26" ht="21.95" customHeight="1" x14ac:dyDescent="0.2">
      <c r="B686" s="26">
        <f t="shared" si="186"/>
        <v>5.25</v>
      </c>
      <c r="C686" s="20"/>
      <c r="D686" s="20"/>
      <c r="E686" s="20"/>
      <c r="F686" s="20">
        <v>97.631000000000014</v>
      </c>
      <c r="G686" s="20">
        <v>97.394700000000014</v>
      </c>
      <c r="H686" s="20">
        <v>97.243100000000013</v>
      </c>
      <c r="I686" s="26">
        <f t="shared" si="187"/>
        <v>5</v>
      </c>
      <c r="J686" s="20"/>
      <c r="K686" s="20"/>
      <c r="L686" s="20"/>
      <c r="M686" s="20">
        <v>99.190700000000007</v>
      </c>
      <c r="N686" s="20">
        <v>98.597200000000015</v>
      </c>
      <c r="O686" s="50">
        <v>97.908800000000014</v>
      </c>
      <c r="Q686" s="4"/>
      <c r="R686" s="4" t="str">
        <f t="shared" si="188"/>
        <v xml:space="preserve">DE </v>
      </c>
      <c r="S686" s="681">
        <f t="shared" si="188"/>
        <v>0</v>
      </c>
      <c r="T686" s="44"/>
      <c r="U686" s="44" t="str">
        <f t="shared" si="189"/>
        <v>AZ</v>
      </c>
      <c r="V686" s="114">
        <f t="shared" si="189"/>
        <v>0.1</v>
      </c>
      <c r="W686" s="114" t="s">
        <v>487</v>
      </c>
      <c r="X686" s="114">
        <v>0</v>
      </c>
      <c r="Y686" s="114"/>
      <c r="Z686" s="45"/>
    </row>
    <row r="687" spans="2:26" ht="21.95" customHeight="1" x14ac:dyDescent="0.2">
      <c r="B687" s="26">
        <f t="shared" si="186"/>
        <v>5.375</v>
      </c>
      <c r="C687" s="20"/>
      <c r="D687" s="20"/>
      <c r="E687" s="20"/>
      <c r="F687" s="20">
        <v>98.346900000000005</v>
      </c>
      <c r="G687" s="20">
        <v>98.110700000000008</v>
      </c>
      <c r="H687" s="20">
        <v>97.959000000000017</v>
      </c>
      <c r="I687" s="26">
        <f t="shared" si="187"/>
        <v>5.125</v>
      </c>
      <c r="J687" s="20"/>
      <c r="K687" s="20"/>
      <c r="L687" s="20"/>
      <c r="M687" s="20">
        <v>99.720700000000008</v>
      </c>
      <c r="N687" s="20">
        <v>99.127200000000002</v>
      </c>
      <c r="O687" s="50">
        <v>98.438800000000015</v>
      </c>
      <c r="Q687" s="4"/>
      <c r="R687" s="4" t="str">
        <f t="shared" si="188"/>
        <v>MD</v>
      </c>
      <c r="S687" s="681">
        <f t="shared" si="188"/>
        <v>0</v>
      </c>
      <c r="T687" s="44"/>
      <c r="U687" s="44" t="str">
        <f t="shared" si="189"/>
        <v>MA</v>
      </c>
      <c r="V687" s="114">
        <f t="shared" si="189"/>
        <v>-0.1</v>
      </c>
      <c r="W687" s="114" t="s">
        <v>508</v>
      </c>
      <c r="X687" s="114">
        <v>0</v>
      </c>
      <c r="Y687" s="114"/>
      <c r="Z687" s="45"/>
    </row>
    <row r="688" spans="2:26" ht="21.95" customHeight="1" x14ac:dyDescent="0.2">
      <c r="B688" s="26">
        <f t="shared" si="186"/>
        <v>5.5</v>
      </c>
      <c r="C688" s="20"/>
      <c r="D688" s="20"/>
      <c r="E688" s="20"/>
      <c r="F688" s="20">
        <v>99.048100000000005</v>
      </c>
      <c r="G688" s="20">
        <v>98.811800000000019</v>
      </c>
      <c r="H688" s="20">
        <v>98.660200000000017</v>
      </c>
      <c r="I688" s="26">
        <f t="shared" si="187"/>
        <v>5.25</v>
      </c>
      <c r="J688" s="20"/>
      <c r="K688" s="20"/>
      <c r="L688" s="20"/>
      <c r="M688" s="20">
        <v>99.488800000000012</v>
      </c>
      <c r="N688" s="20">
        <v>98.914200000000008</v>
      </c>
      <c r="O688" s="50">
        <v>98.205000000000013</v>
      </c>
      <c r="Q688" s="4"/>
      <c r="R688" s="4" t="str">
        <f t="shared" si="188"/>
        <v>NJ</v>
      </c>
      <c r="S688" s="681">
        <f t="shared" si="188"/>
        <v>-0.1</v>
      </c>
      <c r="T688" s="44"/>
      <c r="U688" s="44" t="str">
        <f t="shared" si="189"/>
        <v>OR</v>
      </c>
      <c r="V688" s="114">
        <f t="shared" si="189"/>
        <v>0.05</v>
      </c>
      <c r="W688" s="114" t="s">
        <v>509</v>
      </c>
      <c r="X688" s="114">
        <v>-0.05</v>
      </c>
      <c r="Y688" s="114"/>
      <c r="Z688" s="45"/>
    </row>
    <row r="689" spans="2:26" ht="21.95" customHeight="1" x14ac:dyDescent="0.2">
      <c r="B689" s="26">
        <f t="shared" si="186"/>
        <v>5.625</v>
      </c>
      <c r="C689" s="20"/>
      <c r="D689" s="20"/>
      <c r="E689" s="20"/>
      <c r="F689" s="20">
        <v>99.732700000000008</v>
      </c>
      <c r="G689" s="20">
        <v>99.496500000000012</v>
      </c>
      <c r="H689" s="20">
        <v>99.34490000000001</v>
      </c>
      <c r="I689" s="26">
        <f t="shared" si="187"/>
        <v>5.375</v>
      </c>
      <c r="J689" s="20"/>
      <c r="K689" s="20"/>
      <c r="L689" s="20"/>
      <c r="M689" s="20">
        <v>100.01280000000001</v>
      </c>
      <c r="N689" s="20">
        <v>99.438200000000009</v>
      </c>
      <c r="O689" s="50">
        <v>98.729000000000013</v>
      </c>
      <c r="Q689" s="4"/>
      <c r="R689" s="4" t="str">
        <f t="shared" si="188"/>
        <v>PA</v>
      </c>
      <c r="S689" s="681">
        <f t="shared" si="188"/>
        <v>0.1</v>
      </c>
      <c r="T689" s="44"/>
      <c r="U689" s="44" t="str">
        <f t="shared" si="189"/>
        <v>NH</v>
      </c>
      <c r="V689" s="114">
        <f t="shared" si="189"/>
        <v>0</v>
      </c>
      <c r="W689" s="114"/>
      <c r="X689" s="114"/>
      <c r="Y689" s="114"/>
      <c r="Z689" s="45"/>
    </row>
    <row r="690" spans="2:26" ht="21.95" customHeight="1" x14ac:dyDescent="0.2">
      <c r="B690" s="26">
        <f t="shared" si="186"/>
        <v>5.75</v>
      </c>
      <c r="C690" s="20"/>
      <c r="D690" s="20"/>
      <c r="E690" s="20"/>
      <c r="F690" s="20">
        <v>99.931300000000007</v>
      </c>
      <c r="G690" s="20">
        <v>99.683300000000017</v>
      </c>
      <c r="H690" s="20">
        <v>99.530900000000017</v>
      </c>
      <c r="I690" s="26"/>
      <c r="J690" s="20"/>
      <c r="K690" s="20"/>
      <c r="L690" s="20"/>
      <c r="M690" s="20"/>
      <c r="N690" s="20"/>
      <c r="O690" s="50"/>
      <c r="Q690" s="4"/>
      <c r="R690" s="4" t="str">
        <f t="shared" si="188"/>
        <v>VA</v>
      </c>
      <c r="S690" s="681">
        <f t="shared" si="188"/>
        <v>0.05</v>
      </c>
      <c r="T690" s="44"/>
      <c r="U690" s="44" t="str">
        <f t="shared" si="189"/>
        <v>TX</v>
      </c>
      <c r="V690" s="114">
        <f t="shared" si="189"/>
        <v>7.4999999999999997E-2</v>
      </c>
      <c r="W690" s="114"/>
      <c r="X690" s="114"/>
      <c r="Y690" s="114"/>
      <c r="Z690" s="45"/>
    </row>
    <row r="691" spans="2:26" ht="21.95" customHeight="1" x14ac:dyDescent="0.2">
      <c r="B691" s="26">
        <f t="shared" si="186"/>
        <v>5.875</v>
      </c>
      <c r="C691" s="20"/>
      <c r="D691" s="20"/>
      <c r="E691" s="20"/>
      <c r="F691" s="20">
        <v>100.38730000000001</v>
      </c>
      <c r="G691" s="20">
        <v>100.13930000000002</v>
      </c>
      <c r="H691" s="20">
        <v>99.987000000000009</v>
      </c>
      <c r="I691" s="26"/>
      <c r="J691" s="20"/>
      <c r="K691" s="20"/>
      <c r="L691" s="20"/>
      <c r="M691" s="20"/>
      <c r="N691" s="20"/>
      <c r="O691" s="50"/>
      <c r="Q691" s="4"/>
      <c r="R691" s="4" t="str">
        <f t="shared" si="188"/>
        <v>FL</v>
      </c>
      <c r="S691" s="681">
        <f t="shared" si="188"/>
        <v>2.5000000000000001E-2</v>
      </c>
      <c r="T691" s="44"/>
      <c r="U691" s="44" t="str">
        <f t="shared" si="189"/>
        <v>SC</v>
      </c>
      <c r="V691" s="114">
        <f t="shared" si="189"/>
        <v>0.1</v>
      </c>
      <c r="W691" s="480" t="s">
        <v>510</v>
      </c>
      <c r="X691" s="17"/>
      <c r="Y691" s="13"/>
      <c r="Z691" s="45"/>
    </row>
    <row r="692" spans="2:26" ht="21.95" customHeight="1" x14ac:dyDescent="0.2">
      <c r="B692" s="26">
        <f t="shared" si="186"/>
        <v>5.99</v>
      </c>
      <c r="C692" s="20"/>
      <c r="D692" s="20"/>
      <c r="E692" s="20"/>
      <c r="F692" s="20">
        <v>100.8182</v>
      </c>
      <c r="G692" s="20">
        <v>100.57010000000001</v>
      </c>
      <c r="H692" s="20">
        <v>100.41780000000001</v>
      </c>
      <c r="I692" s="26"/>
      <c r="J692" s="20"/>
      <c r="K692" s="20"/>
      <c r="L692" s="20"/>
      <c r="M692" s="20"/>
      <c r="N692" s="20"/>
      <c r="O692" s="50"/>
      <c r="Q692" s="4"/>
      <c r="R692" s="4" t="str">
        <f t="shared" si="188"/>
        <v>NC</v>
      </c>
      <c r="S692" s="681">
        <f t="shared" si="188"/>
        <v>0.1</v>
      </c>
      <c r="T692" s="44"/>
      <c r="U692" s="44" t="str">
        <f t="shared" si="189"/>
        <v>CT</v>
      </c>
      <c r="V692" s="114">
        <f t="shared" si="189"/>
        <v>-2.5000000000000001E-2</v>
      </c>
      <c r="W692" s="484" t="s">
        <v>511</v>
      </c>
      <c r="X692" s="43"/>
      <c r="Y692" s="485">
        <v>0.15</v>
      </c>
      <c r="Z692" s="45"/>
    </row>
    <row r="693" spans="2:26" ht="21.95" customHeight="1" x14ac:dyDescent="0.2">
      <c r="B693" s="26">
        <f t="shared" si="186"/>
        <v>6.125</v>
      </c>
      <c r="C693" s="20"/>
      <c r="D693" s="20"/>
      <c r="E693" s="20"/>
      <c r="F693" s="20">
        <v>101.52780000000001</v>
      </c>
      <c r="G693" s="20">
        <v>101.26970000000001</v>
      </c>
      <c r="H693" s="20">
        <v>101.10740000000001</v>
      </c>
      <c r="I693" s="26"/>
      <c r="J693" s="20"/>
      <c r="K693" s="20"/>
      <c r="L693" s="20"/>
      <c r="M693" s="20"/>
      <c r="N693" s="20"/>
      <c r="O693" s="50"/>
      <c r="Q693" s="4"/>
      <c r="R693" s="4" t="str">
        <f t="shared" si="188"/>
        <v>CO</v>
      </c>
      <c r="S693" s="681">
        <f t="shared" si="188"/>
        <v>0.15</v>
      </c>
      <c r="T693" s="44"/>
      <c r="U693" s="44" t="str">
        <f t="shared" si="189"/>
        <v>CA</v>
      </c>
      <c r="V693" s="114">
        <f t="shared" si="189"/>
        <v>-0.05</v>
      </c>
      <c r="W693" s="114"/>
      <c r="X693" s="114"/>
      <c r="Y693" s="114"/>
      <c r="Z693" s="45"/>
    </row>
    <row r="694" spans="2:26" ht="21.95" customHeight="1" x14ac:dyDescent="0.2">
      <c r="B694" s="26"/>
      <c r="C694" s="20"/>
      <c r="D694" s="20"/>
      <c r="E694" s="20"/>
      <c r="F694" s="20"/>
      <c r="G694" s="20"/>
      <c r="H694" s="20"/>
      <c r="I694" s="26"/>
      <c r="J694" s="20"/>
      <c r="K694" s="20"/>
      <c r="L694" s="20"/>
      <c r="M694" s="20"/>
      <c r="N694" s="20"/>
      <c r="O694" s="50"/>
      <c r="Q694" s="44"/>
      <c r="R694" s="4" t="str">
        <f t="shared" si="188"/>
        <v>GA</v>
      </c>
      <c r="S694" s="681">
        <f t="shared" si="188"/>
        <v>0</v>
      </c>
      <c r="T694" s="44"/>
      <c r="U694" s="44" t="str">
        <f t="shared" si="189"/>
        <v>WA</v>
      </c>
      <c r="V694" s="114">
        <f t="shared" si="189"/>
        <v>0.05</v>
      </c>
      <c r="W694" s="114"/>
      <c r="X694" s="114"/>
      <c r="Y694" s="114"/>
      <c r="Z694" s="45"/>
    </row>
    <row r="695" spans="2:26" ht="21.95" customHeight="1" x14ac:dyDescent="0.2">
      <c r="B695" s="26"/>
      <c r="C695" s="20"/>
      <c r="D695" s="20"/>
      <c r="E695" s="20"/>
      <c r="F695" s="20"/>
      <c r="G695" s="20"/>
      <c r="H695" s="20"/>
      <c r="I695" s="26"/>
      <c r="J695" s="20"/>
      <c r="K695" s="20"/>
      <c r="L695" s="20"/>
      <c r="M695" s="20"/>
      <c r="N695" s="20"/>
      <c r="O695" s="50"/>
      <c r="Q695" s="44"/>
      <c r="R695" s="44"/>
      <c r="S695" s="44"/>
      <c r="T695" s="44"/>
      <c r="U695" s="44"/>
      <c r="V695" s="114"/>
      <c r="W695" s="114"/>
      <c r="X695" s="114"/>
      <c r="Y695" s="114"/>
      <c r="Z695" s="45"/>
    </row>
    <row r="696" spans="2:26" ht="21.95" customHeight="1" x14ac:dyDescent="0.2">
      <c r="B696" s="26"/>
      <c r="C696" s="20"/>
      <c r="D696" s="20"/>
      <c r="E696" s="20"/>
      <c r="F696" s="20"/>
      <c r="G696" s="20"/>
      <c r="H696" s="20"/>
      <c r="I696" s="26"/>
      <c r="J696" s="20"/>
      <c r="K696" s="20"/>
      <c r="L696" s="20"/>
      <c r="M696" s="20"/>
      <c r="N696" s="20"/>
      <c r="O696" s="50"/>
      <c r="Q696" s="109"/>
      <c r="R696" s="109" t="s">
        <v>82</v>
      </c>
      <c r="S696" s="110"/>
      <c r="T696" s="110"/>
      <c r="U696" s="461"/>
      <c r="V696" s="128"/>
      <c r="W696" s="128"/>
      <c r="X696" s="128"/>
      <c r="Y696" s="128"/>
      <c r="Z696" s="462"/>
    </row>
    <row r="697" spans="2:26" ht="21.95" customHeight="1" x14ac:dyDescent="0.2">
      <c r="B697" s="26"/>
      <c r="C697" s="20"/>
      <c r="D697" s="20"/>
      <c r="E697" s="20"/>
      <c r="F697" s="20"/>
      <c r="G697" s="20"/>
      <c r="H697" s="20"/>
      <c r="I697" s="26"/>
      <c r="J697" s="20"/>
      <c r="K697" s="20"/>
      <c r="L697" s="20"/>
      <c r="M697" s="20"/>
      <c r="N697" s="20"/>
      <c r="O697" s="50"/>
      <c r="Q697" s="44"/>
      <c r="R697" s="44"/>
      <c r="S697" s="376"/>
      <c r="T697" s="376" t="s">
        <v>206</v>
      </c>
      <c r="U697" s="44"/>
      <c r="V697" s="114"/>
      <c r="W697" s="114"/>
      <c r="X697" s="114"/>
      <c r="Y697" s="114"/>
      <c r="Z697" s="45"/>
    </row>
    <row r="698" spans="2:26" ht="21.95" customHeight="1" x14ac:dyDescent="0.2">
      <c r="B698" s="26"/>
      <c r="C698" s="20"/>
      <c r="D698" s="20"/>
      <c r="E698" s="20"/>
      <c r="F698" s="20"/>
      <c r="G698" s="20"/>
      <c r="H698" s="20"/>
      <c r="I698" s="26"/>
      <c r="J698" s="20"/>
      <c r="K698" s="20"/>
      <c r="L698" s="20"/>
      <c r="M698" s="20"/>
      <c r="N698" s="20"/>
      <c r="O698" s="50"/>
      <c r="Q698" s="213"/>
      <c r="R698" s="213" t="s">
        <v>93</v>
      </c>
      <c r="S698" s="361"/>
      <c r="T698" s="361">
        <v>-0.5</v>
      </c>
      <c r="U698" s="44"/>
      <c r="V698" s="114"/>
      <c r="W698" s="114"/>
      <c r="X698" s="114"/>
      <c r="Y698" s="114"/>
      <c r="Z698" s="45"/>
    </row>
    <row r="699" spans="2:26" ht="21.95" customHeight="1" x14ac:dyDescent="0.2">
      <c r="B699" s="26"/>
      <c r="C699" s="20"/>
      <c r="D699" s="20"/>
      <c r="E699" s="20"/>
      <c r="F699" s="20"/>
      <c r="G699" s="20"/>
      <c r="H699" s="20"/>
      <c r="I699" s="26"/>
      <c r="J699" s="20"/>
      <c r="K699" s="20"/>
      <c r="L699" s="20"/>
      <c r="M699" s="20"/>
      <c r="N699" s="445"/>
      <c r="O699" s="50"/>
      <c r="Q699" s="213"/>
      <c r="R699" s="213" t="s">
        <v>94</v>
      </c>
      <c r="S699" s="361"/>
      <c r="T699" s="361">
        <v>0</v>
      </c>
      <c r="U699" s="44"/>
      <c r="V699" s="114"/>
      <c r="W699" s="114"/>
      <c r="X699" s="114"/>
      <c r="Y699" s="114"/>
      <c r="Z699" s="45"/>
    </row>
    <row r="700" spans="2:26" ht="21.95" customHeight="1" x14ac:dyDescent="0.2">
      <c r="B700" s="26"/>
      <c r="C700" s="20"/>
      <c r="D700" s="20"/>
      <c r="E700" s="20"/>
      <c r="F700" s="20"/>
      <c r="G700" s="20"/>
      <c r="H700" s="20"/>
      <c r="I700" s="26"/>
      <c r="J700" s="20"/>
      <c r="K700" s="20"/>
      <c r="L700" s="20"/>
      <c r="M700" s="20"/>
      <c r="N700" s="20"/>
      <c r="O700" s="50"/>
      <c r="Q700" s="213"/>
      <c r="R700" s="213" t="s">
        <v>79</v>
      </c>
      <c r="S700" s="361"/>
      <c r="T700" s="361">
        <v>2.5000000000000001E-2</v>
      </c>
      <c r="U700" s="44"/>
      <c r="V700" s="114"/>
      <c r="W700" s="114"/>
      <c r="X700" s="114"/>
      <c r="Y700" s="114"/>
      <c r="Z700" s="45"/>
    </row>
    <row r="701" spans="2:26" ht="21.95" customHeight="1" x14ac:dyDescent="0.25">
      <c r="B701" s="120"/>
      <c r="C701" s="121"/>
      <c r="D701" s="121"/>
      <c r="E701" s="121"/>
      <c r="F701" s="121"/>
      <c r="G701" s="121"/>
      <c r="H701" s="20"/>
      <c r="I701" s="26"/>
      <c r="J701" s="121"/>
      <c r="K701" s="121"/>
      <c r="L701" s="121"/>
      <c r="M701" s="121"/>
      <c r="O701" s="511"/>
      <c r="Q701" s="213"/>
      <c r="R701" s="213" t="s">
        <v>164</v>
      </c>
      <c r="S701" s="361"/>
      <c r="T701" s="361">
        <v>0.05</v>
      </c>
      <c r="U701" s="44"/>
      <c r="V701" s="114"/>
      <c r="W701" s="114"/>
      <c r="X701" s="114"/>
      <c r="Y701" s="114"/>
      <c r="Z701" s="45"/>
    </row>
    <row r="702" spans="2:26" ht="21.95" customHeight="1" x14ac:dyDescent="0.25">
      <c r="B702" s="1133"/>
      <c r="C702" s="998"/>
      <c r="D702" s="998"/>
      <c r="E702" s="998"/>
      <c r="F702" s="998"/>
      <c r="G702" s="998"/>
      <c r="H702" s="999"/>
      <c r="I702" s="827"/>
      <c r="J702" s="828"/>
      <c r="K702" s="828"/>
      <c r="L702" s="828"/>
      <c r="M702" s="828"/>
      <c r="N702" s="828"/>
      <c r="O702" s="829"/>
      <c r="Q702" s="213"/>
      <c r="R702" s="213" t="s">
        <v>102</v>
      </c>
      <c r="S702" s="363"/>
      <c r="T702" s="363">
        <v>7.4999999999999997E-2</v>
      </c>
      <c r="U702" s="44"/>
      <c r="V702" s="114"/>
      <c r="W702" s="114"/>
      <c r="X702" s="114"/>
      <c r="Y702" s="114"/>
      <c r="Z702" s="45"/>
    </row>
    <row r="703" spans="2:26" ht="21.95" customHeight="1" x14ac:dyDescent="0.2">
      <c r="B703" s="352"/>
      <c r="C703" s="353"/>
      <c r="D703" s="353"/>
      <c r="E703" s="353"/>
      <c r="F703" s="353"/>
      <c r="G703" s="353"/>
      <c r="H703" s="354"/>
      <c r="I703" s="359"/>
      <c r="J703" s="353"/>
      <c r="K703" s="353"/>
      <c r="L703" s="353"/>
      <c r="M703" s="353"/>
      <c r="N703" s="353"/>
      <c r="O703" s="354"/>
      <c r="Q703" s="213"/>
      <c r="R703" s="213" t="s">
        <v>527</v>
      </c>
      <c r="S703" s="363"/>
      <c r="T703" s="363">
        <v>0.1</v>
      </c>
      <c r="U703" s="44"/>
      <c r="V703" s="114"/>
      <c r="W703" s="114"/>
      <c r="X703" s="114"/>
      <c r="Y703" s="114"/>
      <c r="Z703" s="45"/>
    </row>
    <row r="704" spans="2:26" ht="21.95" customHeight="1" x14ac:dyDescent="0.2">
      <c r="B704" s="26"/>
      <c r="C704" s="20"/>
      <c r="D704" s="20"/>
      <c r="E704" s="20"/>
      <c r="F704" s="20"/>
      <c r="G704" s="20"/>
      <c r="H704" s="20"/>
      <c r="I704" s="49"/>
      <c r="J704" s="20"/>
      <c r="K704" s="20"/>
      <c r="L704" s="20"/>
      <c r="M704" s="20"/>
      <c r="N704" s="20"/>
      <c r="O704" s="50"/>
      <c r="Q704" s="213"/>
      <c r="R704" s="213" t="s">
        <v>30</v>
      </c>
      <c r="S704" s="363"/>
      <c r="T704" s="363">
        <v>0</v>
      </c>
      <c r="U704" s="44"/>
      <c r="V704" s="114"/>
      <c r="W704" s="114"/>
      <c r="X704" s="114"/>
      <c r="Y704" s="114"/>
      <c r="Z704" s="45"/>
    </row>
    <row r="705" spans="2:26" ht="21.95" customHeight="1" x14ac:dyDescent="0.2">
      <c r="B705" s="26"/>
      <c r="C705" s="20"/>
      <c r="D705" s="20"/>
      <c r="E705" s="20"/>
      <c r="F705" s="20"/>
      <c r="G705" s="20"/>
      <c r="H705" s="20"/>
      <c r="I705" s="49"/>
      <c r="J705" s="20"/>
      <c r="K705" s="20"/>
      <c r="L705" s="20"/>
      <c r="M705" s="20"/>
      <c r="N705" s="20"/>
      <c r="O705" s="50"/>
      <c r="Q705" s="4"/>
      <c r="R705" s="517"/>
      <c r="S705" s="119"/>
      <c r="T705" s="81"/>
      <c r="U705" s="44"/>
      <c r="V705" s="114"/>
      <c r="W705" s="114"/>
      <c r="X705" s="114"/>
      <c r="Y705" s="114"/>
      <c r="Z705" s="45"/>
    </row>
    <row r="706" spans="2:26" ht="21.95" customHeight="1" x14ac:dyDescent="0.2">
      <c r="B706" s="26"/>
      <c r="C706" s="20"/>
      <c r="D706" s="20"/>
      <c r="E706" s="20"/>
      <c r="F706" s="20"/>
      <c r="G706" s="20"/>
      <c r="H706" s="20"/>
      <c r="I706" s="49"/>
      <c r="J706" s="20"/>
      <c r="K706" s="20"/>
      <c r="L706" s="20"/>
      <c r="M706" s="20"/>
      <c r="N706" s="20"/>
      <c r="O706" s="50"/>
      <c r="Q706" s="109"/>
      <c r="R706" s="109" t="s">
        <v>7</v>
      </c>
      <c r="S706" s="110"/>
      <c r="T706" s="110"/>
      <c r="U706" s="461"/>
      <c r="V706" s="128"/>
      <c r="W706" s="128"/>
      <c r="X706" s="128"/>
      <c r="Y706" s="128"/>
      <c r="Z706" s="462"/>
    </row>
    <row r="707" spans="2:26" ht="21.95" customHeight="1" x14ac:dyDescent="0.2">
      <c r="B707" s="26"/>
      <c r="C707" s="20"/>
      <c r="D707" s="20"/>
      <c r="E707" s="20"/>
      <c r="F707" s="20"/>
      <c r="G707" s="20"/>
      <c r="H707" s="20"/>
      <c r="I707" s="49"/>
      <c r="J707" s="20"/>
      <c r="K707" s="20"/>
      <c r="L707" s="20"/>
      <c r="M707" s="20"/>
      <c r="N707" s="20"/>
      <c r="O707" s="50"/>
      <c r="Q707" s="114"/>
      <c r="R707" s="114" t="s">
        <v>8</v>
      </c>
      <c r="S707" s="114"/>
      <c r="T707" s="81">
        <v>0</v>
      </c>
      <c r="U707" s="44"/>
      <c r="V707" s="114"/>
      <c r="W707" s="114"/>
      <c r="X707" s="114"/>
      <c r="Y707" s="114"/>
      <c r="Z707" s="45"/>
    </row>
    <row r="708" spans="2:26" ht="21.95" customHeight="1" x14ac:dyDescent="0.2">
      <c r="B708" s="26"/>
      <c r="C708" s="20"/>
      <c r="D708" s="20"/>
      <c r="E708" s="20"/>
      <c r="F708" s="20"/>
      <c r="G708" s="20"/>
      <c r="H708" s="20"/>
      <c r="I708" s="49"/>
      <c r="J708" s="20"/>
      <c r="K708" s="20"/>
      <c r="L708" s="20"/>
      <c r="M708" s="20"/>
      <c r="N708" s="20"/>
      <c r="O708" s="50"/>
      <c r="Q708" s="114"/>
      <c r="R708" s="114" t="s">
        <v>9</v>
      </c>
      <c r="S708" s="114"/>
      <c r="T708" s="81">
        <v>-2</v>
      </c>
      <c r="U708" s="44"/>
      <c r="V708" s="114"/>
      <c r="W708" s="114"/>
      <c r="X708" s="114"/>
      <c r="Y708" s="114"/>
      <c r="Z708" s="45"/>
    </row>
    <row r="709" spans="2:26" ht="21.95" customHeight="1" x14ac:dyDescent="0.2">
      <c r="B709" s="26"/>
      <c r="C709" s="20"/>
      <c r="D709" s="20"/>
      <c r="E709" s="20"/>
      <c r="F709" s="20"/>
      <c r="G709" s="20"/>
      <c r="H709" s="20"/>
      <c r="I709" s="49"/>
      <c r="J709" s="20"/>
      <c r="K709" s="20"/>
      <c r="L709" s="20"/>
      <c r="M709" s="20"/>
      <c r="N709" s="20"/>
      <c r="O709" s="50"/>
      <c r="Q709" s="114"/>
      <c r="R709" s="114" t="s">
        <v>76</v>
      </c>
      <c r="S709" s="114"/>
      <c r="T709" s="81" t="s">
        <v>77</v>
      </c>
      <c r="U709" s="44"/>
      <c r="V709" s="114"/>
      <c r="W709" s="114"/>
      <c r="X709" s="114"/>
      <c r="Y709" s="114"/>
      <c r="Z709" s="45"/>
    </row>
    <row r="710" spans="2:26" ht="21.95" customHeight="1" x14ac:dyDescent="0.2">
      <c r="B710" s="26"/>
      <c r="C710" s="20"/>
      <c r="D710" s="20"/>
      <c r="E710" s="20"/>
      <c r="F710" s="20"/>
      <c r="G710" s="20"/>
      <c r="H710" s="20"/>
      <c r="I710" s="49"/>
      <c r="J710" s="20"/>
      <c r="K710" s="20"/>
      <c r="L710" s="20"/>
      <c r="M710" s="20"/>
      <c r="N710" s="20"/>
      <c r="O710" s="50"/>
      <c r="Q710" s="114"/>
      <c r="R710" s="114" t="s">
        <v>10</v>
      </c>
      <c r="S710" s="114"/>
      <c r="T710" s="81">
        <v>0</v>
      </c>
      <c r="U710" s="44"/>
      <c r="V710" s="114"/>
      <c r="W710" s="114"/>
      <c r="X710" s="114"/>
      <c r="Y710" s="114"/>
      <c r="Z710" s="45"/>
    </row>
    <row r="711" spans="2:26" ht="21.95" customHeight="1" x14ac:dyDescent="0.2">
      <c r="B711" s="26"/>
      <c r="C711" s="20"/>
      <c r="D711" s="20"/>
      <c r="E711" s="20"/>
      <c r="F711" s="20"/>
      <c r="G711" s="20"/>
      <c r="H711" s="20"/>
      <c r="I711" s="49"/>
      <c r="J711" s="20"/>
      <c r="K711" s="20"/>
      <c r="L711" s="20"/>
      <c r="M711" s="20"/>
      <c r="N711" s="20"/>
      <c r="O711" s="50"/>
      <c r="Q711" s="114"/>
      <c r="R711" s="114" t="s">
        <v>532</v>
      </c>
      <c r="S711" s="114"/>
      <c r="T711" s="81" t="s">
        <v>77</v>
      </c>
      <c r="U711" s="44"/>
      <c r="V711" s="114"/>
      <c r="W711" s="114"/>
      <c r="X711" s="114"/>
      <c r="Y711" s="114"/>
      <c r="Z711" s="45"/>
    </row>
    <row r="712" spans="2:26" ht="21.95" customHeight="1" x14ac:dyDescent="0.2">
      <c r="B712" s="26"/>
      <c r="C712" s="20"/>
      <c r="D712" s="20"/>
      <c r="E712" s="20"/>
      <c r="F712" s="20"/>
      <c r="G712" s="20"/>
      <c r="H712" s="20"/>
      <c r="I712" s="49"/>
      <c r="J712" s="20"/>
      <c r="K712" s="20"/>
      <c r="L712" s="20"/>
      <c r="M712" s="20"/>
      <c r="N712" s="20"/>
      <c r="O712" s="50"/>
      <c r="Q712" s="114"/>
      <c r="R712" s="114"/>
      <c r="S712" s="114"/>
      <c r="T712" s="114"/>
      <c r="U712" s="44"/>
      <c r="V712" s="114"/>
      <c r="W712" s="114"/>
      <c r="X712" s="114"/>
      <c r="Y712" s="114"/>
      <c r="Z712" s="45"/>
    </row>
    <row r="713" spans="2:26" ht="21.95" customHeight="1" x14ac:dyDescent="0.2">
      <c r="B713" s="26"/>
      <c r="C713" s="20"/>
      <c r="D713" s="20"/>
      <c r="E713" s="20"/>
      <c r="F713" s="20"/>
      <c r="G713" s="20"/>
      <c r="H713" s="20"/>
      <c r="I713" s="49"/>
      <c r="J713" s="20"/>
      <c r="K713" s="20"/>
      <c r="L713" s="20"/>
      <c r="M713" s="20"/>
      <c r="N713" s="20"/>
      <c r="O713" s="50"/>
      <c r="Q713" s="114"/>
      <c r="R713" s="114"/>
      <c r="S713" s="114"/>
      <c r="T713" s="114"/>
      <c r="U713" s="44"/>
      <c r="V713" s="114"/>
      <c r="W713" s="114"/>
      <c r="X713" s="114"/>
      <c r="Y713" s="114"/>
      <c r="Z713" s="45"/>
    </row>
    <row r="714" spans="2:26" ht="21.95" customHeight="1" x14ac:dyDescent="0.2">
      <c r="B714" s="26"/>
      <c r="C714" s="20"/>
      <c r="D714" s="20"/>
      <c r="E714" s="20"/>
      <c r="F714" s="20"/>
      <c r="G714" s="20"/>
      <c r="H714" s="20"/>
      <c r="I714" s="49"/>
      <c r="J714" s="20"/>
      <c r="K714" s="20"/>
      <c r="L714" s="20"/>
      <c r="M714" s="20"/>
      <c r="N714" s="20"/>
      <c r="O714" s="50"/>
      <c r="Q714" s="114"/>
      <c r="R714" s="114"/>
      <c r="S714" s="114"/>
      <c r="T714" s="65"/>
      <c r="U714" s="44"/>
      <c r="V714" s="114"/>
      <c r="W714" s="114"/>
      <c r="X714" s="114"/>
      <c r="Y714" s="114"/>
      <c r="Z714" s="45"/>
    </row>
    <row r="715" spans="2:26" ht="21.95" customHeight="1" x14ac:dyDescent="0.2">
      <c r="B715" s="26"/>
      <c r="C715" s="20"/>
      <c r="D715" s="20"/>
      <c r="E715" s="20"/>
      <c r="F715" s="20"/>
      <c r="G715" s="20"/>
      <c r="H715" s="20"/>
      <c r="I715" s="49"/>
      <c r="J715" s="20"/>
      <c r="K715" s="20"/>
      <c r="L715" s="20"/>
      <c r="M715" s="20"/>
      <c r="N715" s="20"/>
      <c r="O715" s="50"/>
      <c r="Q715" s="109"/>
      <c r="R715" s="109" t="str">
        <f t="shared" ref="R715:R724" si="190">R112</f>
        <v>FICO Adjustments</v>
      </c>
      <c r="S715" s="110"/>
      <c r="T715" s="110" t="str">
        <f t="shared" ref="T715:U724" si="191">T112</f>
        <v>FHA</v>
      </c>
      <c r="U715" s="110" t="str">
        <f t="shared" si="191"/>
        <v xml:space="preserve">USDA </v>
      </c>
      <c r="V715" s="128"/>
      <c r="W715" s="128"/>
      <c r="X715" s="128"/>
      <c r="Y715" s="128"/>
      <c r="Z715" s="462"/>
    </row>
    <row r="716" spans="2:26" ht="21.95" customHeight="1" x14ac:dyDescent="0.2">
      <c r="B716" s="26"/>
      <c r="C716" s="20"/>
      <c r="D716" s="20"/>
      <c r="E716" s="20"/>
      <c r="F716" s="20"/>
      <c r="G716" s="20"/>
      <c r="H716" s="20"/>
      <c r="I716" s="49"/>
      <c r="J716" s="20"/>
      <c r="K716" s="20"/>
      <c r="L716" s="20"/>
      <c r="M716" s="20"/>
      <c r="N716" s="20"/>
      <c r="O716" s="50"/>
      <c r="Q716" s="114"/>
      <c r="R716" s="114" t="str">
        <f t="shared" si="190"/>
        <v>FICO</v>
      </c>
      <c r="S716" s="114" t="str">
        <f t="shared" ref="S716:S724" si="192">S113</f>
        <v>740+</v>
      </c>
      <c r="T716" s="377">
        <f t="shared" si="191"/>
        <v>0.15</v>
      </c>
      <c r="U716" s="377">
        <f t="shared" si="191"/>
        <v>7.4999999999999997E-2</v>
      </c>
      <c r="V716" s="114"/>
      <c r="W716" s="114"/>
      <c r="X716" s="114"/>
      <c r="Y716" s="114"/>
      <c r="Z716" s="45"/>
    </row>
    <row r="717" spans="2:26" ht="21.95" customHeight="1" x14ac:dyDescent="0.2">
      <c r="B717" s="26"/>
      <c r="C717" s="20"/>
      <c r="D717" s="20"/>
      <c r="E717" s="20"/>
      <c r="F717" s="20"/>
      <c r="G717" s="20"/>
      <c r="H717" s="20"/>
      <c r="I717" s="49"/>
      <c r="J717" s="20"/>
      <c r="K717" s="20"/>
      <c r="L717" s="20"/>
      <c r="M717" s="20"/>
      <c r="N717" s="20"/>
      <c r="O717" s="50"/>
      <c r="Q717" s="114"/>
      <c r="R717" s="114" t="str">
        <f t="shared" si="190"/>
        <v>FICO</v>
      </c>
      <c r="S717" s="114" t="str">
        <f t="shared" si="192"/>
        <v>739 - 720</v>
      </c>
      <c r="T717" s="65">
        <f t="shared" si="191"/>
        <v>7.4999999999999997E-2</v>
      </c>
      <c r="U717" s="65">
        <f t="shared" si="191"/>
        <v>7.4999999999999997E-2</v>
      </c>
      <c r="V717" s="114"/>
      <c r="W717" s="114"/>
      <c r="X717" s="114"/>
      <c r="Y717" s="114"/>
      <c r="Z717" s="45"/>
    </row>
    <row r="718" spans="2:26" ht="21.95" customHeight="1" x14ac:dyDescent="0.2">
      <c r="B718" s="26"/>
      <c r="C718" s="20"/>
      <c r="D718" s="20"/>
      <c r="E718" s="20"/>
      <c r="F718" s="20"/>
      <c r="G718" s="20"/>
      <c r="H718" s="20"/>
      <c r="I718" s="49"/>
      <c r="J718" s="20"/>
      <c r="K718" s="20"/>
      <c r="L718" s="20"/>
      <c r="M718" s="20"/>
      <c r="N718" s="20"/>
      <c r="O718" s="50"/>
      <c r="Q718" s="114"/>
      <c r="R718" s="114" t="str">
        <f t="shared" si="190"/>
        <v>FICO</v>
      </c>
      <c r="S718" s="114" t="str">
        <f t="shared" si="192"/>
        <v>719 - 700</v>
      </c>
      <c r="T718" s="65">
        <f t="shared" si="191"/>
        <v>7.4999999999999997E-2</v>
      </c>
      <c r="U718" s="65">
        <f t="shared" si="191"/>
        <v>7.4999999999999997E-2</v>
      </c>
      <c r="V718" s="114"/>
      <c r="W718" s="114"/>
      <c r="X718" s="114"/>
      <c r="Y718" s="114"/>
      <c r="Z718" s="45"/>
    </row>
    <row r="719" spans="2:26" ht="21.95" customHeight="1" x14ac:dyDescent="0.2">
      <c r="B719" s="26"/>
      <c r="C719" s="20"/>
      <c r="D719" s="20"/>
      <c r="E719" s="20"/>
      <c r="F719" s="20"/>
      <c r="G719" s="20"/>
      <c r="H719" s="20"/>
      <c r="I719" s="49"/>
      <c r="J719" s="20"/>
      <c r="K719" s="20"/>
      <c r="L719" s="20"/>
      <c r="M719" s="20"/>
      <c r="N719" s="20"/>
      <c r="O719" s="50"/>
      <c r="Q719" s="114"/>
      <c r="R719" s="114" t="str">
        <f t="shared" si="190"/>
        <v>FICO</v>
      </c>
      <c r="S719" s="114" t="str">
        <f t="shared" si="192"/>
        <v>699-680</v>
      </c>
      <c r="T719" s="65">
        <f t="shared" si="191"/>
        <v>0</v>
      </c>
      <c r="U719" s="65">
        <f t="shared" si="191"/>
        <v>0</v>
      </c>
      <c r="V719" s="114"/>
      <c r="W719" s="114"/>
      <c r="X719" s="114"/>
      <c r="Y719" s="114"/>
      <c r="Z719" s="45"/>
    </row>
    <row r="720" spans="2:26" ht="21.95" customHeight="1" x14ac:dyDescent="0.2">
      <c r="B720" s="26"/>
      <c r="C720" s="20"/>
      <c r="D720" s="20"/>
      <c r="E720" s="20"/>
      <c r="F720" s="20"/>
      <c r="G720" s="20"/>
      <c r="H720" s="20"/>
      <c r="I720" s="49"/>
      <c r="J720" s="20"/>
      <c r="K720" s="20"/>
      <c r="L720" s="20"/>
      <c r="M720" s="20"/>
      <c r="N720" s="20"/>
      <c r="O720" s="50"/>
      <c r="Q720" s="114"/>
      <c r="R720" s="114" t="str">
        <f t="shared" si="190"/>
        <v>FICO</v>
      </c>
      <c r="S720" s="114" t="str">
        <f t="shared" si="192"/>
        <v>679-660</v>
      </c>
      <c r="T720" s="65">
        <f t="shared" si="191"/>
        <v>0</v>
      </c>
      <c r="U720" s="65">
        <f t="shared" si="191"/>
        <v>0</v>
      </c>
      <c r="V720" s="114"/>
      <c r="W720" s="114"/>
      <c r="X720" s="114"/>
      <c r="Y720" s="114"/>
      <c r="Z720" s="45"/>
    </row>
    <row r="721" spans="2:26" ht="21.95" customHeight="1" thickBot="1" x14ac:dyDescent="0.25">
      <c r="B721" s="26"/>
      <c r="C721" s="20"/>
      <c r="D721" s="20"/>
      <c r="E721" s="20"/>
      <c r="F721" s="20"/>
      <c r="G721" s="20"/>
      <c r="H721" s="20"/>
      <c r="I721" s="125"/>
      <c r="J721" s="126"/>
      <c r="K721" s="126"/>
      <c r="L721" s="126"/>
      <c r="M721" s="126"/>
      <c r="N721" s="126"/>
      <c r="O721" s="375"/>
      <c r="Q721" s="114"/>
      <c r="R721" s="114" t="str">
        <f t="shared" si="190"/>
        <v>FICO</v>
      </c>
      <c r="S721" s="114" t="str">
        <f t="shared" si="192"/>
        <v>659-640</v>
      </c>
      <c r="T721" s="65">
        <f t="shared" si="191"/>
        <v>-0.15</v>
      </c>
      <c r="U721" s="65">
        <f t="shared" si="191"/>
        <v>-0.15</v>
      </c>
      <c r="V721" s="114"/>
      <c r="W721" s="114"/>
      <c r="X721" s="114"/>
      <c r="Y721" s="114"/>
      <c r="Z721" s="45"/>
    </row>
    <row r="722" spans="2:26" ht="21.95" customHeight="1" thickBot="1" x14ac:dyDescent="0.25">
      <c r="B722" s="518"/>
      <c r="C722" s="519"/>
      <c r="D722" s="519"/>
      <c r="E722" s="519"/>
      <c r="F722" s="519"/>
      <c r="G722" s="519"/>
      <c r="H722" s="519"/>
      <c r="I722" s="519"/>
      <c r="J722" s="519"/>
      <c r="K722" s="519"/>
      <c r="L722" s="519"/>
      <c r="M722" s="519"/>
      <c r="N722" s="519"/>
      <c r="O722" s="520"/>
      <c r="Q722" s="84"/>
      <c r="R722" s="114" t="str">
        <f t="shared" si="190"/>
        <v>FICO</v>
      </c>
      <c r="S722" s="114" t="str">
        <f t="shared" si="192"/>
        <v>639-620</v>
      </c>
      <c r="T722" s="65">
        <f t="shared" si="191"/>
        <v>-0.75</v>
      </c>
      <c r="U722" s="65">
        <f t="shared" si="191"/>
        <v>-0.75</v>
      </c>
      <c r="V722" s="114"/>
      <c r="W722" s="114"/>
      <c r="X722" s="114"/>
      <c r="Y722" s="114"/>
      <c r="Z722" s="45"/>
    </row>
    <row r="723" spans="2:26" ht="21.95" customHeight="1" x14ac:dyDescent="0.25">
      <c r="B723" s="793" t="s">
        <v>2</v>
      </c>
      <c r="C723" s="794"/>
      <c r="D723" s="794"/>
      <c r="E723" s="794"/>
      <c r="F723" s="794"/>
      <c r="G723" s="794"/>
      <c r="H723" s="795"/>
      <c r="I723" s="827"/>
      <c r="J723" s="828"/>
      <c r="K723" s="828"/>
      <c r="L723" s="828"/>
      <c r="M723" s="828"/>
      <c r="N723" s="828"/>
      <c r="O723" s="829"/>
      <c r="Q723" s="114"/>
      <c r="R723" s="114" t="str">
        <f t="shared" si="190"/>
        <v>FICO</v>
      </c>
      <c r="S723" s="114" t="str">
        <f t="shared" si="192"/>
        <v>600-619</v>
      </c>
      <c r="T723" s="65">
        <f t="shared" si="191"/>
        <v>-1.5</v>
      </c>
      <c r="U723" s="65">
        <f t="shared" si="191"/>
        <v>-2</v>
      </c>
      <c r="V723" s="114"/>
      <c r="W723" s="114"/>
      <c r="X723" s="114"/>
      <c r="Y723" s="114"/>
      <c r="Z723" s="45"/>
    </row>
    <row r="724" spans="2:26" ht="21.95" customHeight="1" x14ac:dyDescent="0.2">
      <c r="B724" s="359" t="s">
        <v>4</v>
      </c>
      <c r="C724" s="353"/>
      <c r="D724" s="353"/>
      <c r="E724" s="353"/>
      <c r="F724" s="353" t="s">
        <v>75</v>
      </c>
      <c r="G724" s="353" t="s">
        <v>302</v>
      </c>
      <c r="H724" s="354" t="s">
        <v>303</v>
      </c>
      <c r="I724" s="359"/>
      <c r="J724" s="353"/>
      <c r="K724" s="353"/>
      <c r="L724" s="353"/>
      <c r="M724" s="353"/>
      <c r="N724" s="353"/>
      <c r="O724" s="354"/>
      <c r="Q724" s="114"/>
      <c r="R724" s="114" t="str">
        <f t="shared" si="190"/>
        <v>FICO</v>
      </c>
      <c r="S724" s="114" t="str">
        <f t="shared" si="192"/>
        <v>580-599</v>
      </c>
      <c r="T724" s="65">
        <f t="shared" si="191"/>
        <v>-2</v>
      </c>
      <c r="U724" s="65">
        <f t="shared" si="191"/>
        <v>-2.25</v>
      </c>
      <c r="V724" s="114"/>
      <c r="W724" s="114"/>
      <c r="X724" s="114"/>
      <c r="Y724" s="114"/>
      <c r="Z724" s="45"/>
    </row>
    <row r="725" spans="2:26" ht="21.95" customHeight="1" x14ac:dyDescent="0.2">
      <c r="B725" s="26">
        <f t="shared" ref="B725:B734" si="193">B122</f>
        <v>5</v>
      </c>
      <c r="C725" s="20"/>
      <c r="D725" s="20"/>
      <c r="E725" s="20"/>
      <c r="F725" s="20">
        <v>95.68</v>
      </c>
      <c r="G725" s="20">
        <v>95.463999999999999</v>
      </c>
      <c r="H725" s="20">
        <v>95.279499999999999</v>
      </c>
      <c r="I725" s="49"/>
      <c r="J725" s="20"/>
      <c r="K725" s="20"/>
      <c r="L725" s="20"/>
      <c r="M725" s="20"/>
      <c r="N725" s="20"/>
      <c r="O725" s="20"/>
      <c r="P725" s="521"/>
      <c r="Q725" s="114"/>
      <c r="R725" s="114"/>
      <c r="S725" s="114"/>
      <c r="T725" s="65"/>
      <c r="U725" s="44"/>
      <c r="V725" s="114"/>
      <c r="W725" s="114"/>
      <c r="X725" s="114"/>
      <c r="Y725" s="114"/>
      <c r="Z725" s="45"/>
    </row>
    <row r="726" spans="2:26" ht="21.95" customHeight="1" x14ac:dyDescent="0.2">
      <c r="B726" s="26">
        <f t="shared" si="193"/>
        <v>5.125</v>
      </c>
      <c r="C726" s="20"/>
      <c r="D726" s="20"/>
      <c r="E726" s="20"/>
      <c r="F726" s="20">
        <v>96.241699999999994</v>
      </c>
      <c r="G726" s="20">
        <v>96.025800000000004</v>
      </c>
      <c r="H726" s="20">
        <v>95.841200000000001</v>
      </c>
      <c r="I726" s="49"/>
      <c r="J726" s="20"/>
      <c r="K726" s="20"/>
      <c r="L726" s="20"/>
      <c r="M726" s="20"/>
      <c r="N726" s="20"/>
      <c r="O726" s="20"/>
      <c r="P726" s="521"/>
      <c r="Q726" s="114"/>
      <c r="R726" s="114"/>
      <c r="S726" s="114"/>
      <c r="T726" s="114"/>
      <c r="U726" s="44"/>
      <c r="V726" s="114"/>
      <c r="W726" s="114"/>
      <c r="X726" s="114"/>
      <c r="Y726" s="114"/>
      <c r="Z726" s="45"/>
    </row>
    <row r="727" spans="2:26" ht="21.95" customHeight="1" x14ac:dyDescent="0.2">
      <c r="B727" s="26">
        <f t="shared" si="193"/>
        <v>5.25</v>
      </c>
      <c r="C727" s="20"/>
      <c r="D727" s="20"/>
      <c r="E727" s="20"/>
      <c r="F727" s="20">
        <v>97.287000000000006</v>
      </c>
      <c r="G727" s="20">
        <v>97.071000000000012</v>
      </c>
      <c r="H727" s="20">
        <v>96.904600000000002</v>
      </c>
      <c r="I727" s="49"/>
      <c r="J727" s="20"/>
      <c r="K727" s="20"/>
      <c r="L727" s="20"/>
      <c r="M727" s="20"/>
      <c r="N727" s="20"/>
      <c r="O727" s="20"/>
      <c r="P727" s="521"/>
      <c r="Q727" s="109"/>
      <c r="R727" s="109"/>
      <c r="S727" s="110"/>
      <c r="T727" s="110"/>
      <c r="U727" s="461"/>
      <c r="V727" s="128"/>
      <c r="W727" s="128"/>
      <c r="X727" s="128"/>
      <c r="Y727" s="128"/>
      <c r="Z727" s="462"/>
    </row>
    <row r="728" spans="2:26" ht="21.95" customHeight="1" x14ac:dyDescent="0.2">
      <c r="B728" s="26">
        <f t="shared" si="193"/>
        <v>5.375</v>
      </c>
      <c r="C728" s="20"/>
      <c r="D728" s="20"/>
      <c r="E728" s="20"/>
      <c r="F728" s="20">
        <v>97.983000000000004</v>
      </c>
      <c r="G728" s="20">
        <v>97.76700000000001</v>
      </c>
      <c r="H728" s="20">
        <v>97.600500000000011</v>
      </c>
      <c r="I728" s="49"/>
      <c r="J728" s="20"/>
      <c r="K728" s="20"/>
      <c r="L728" s="20"/>
      <c r="M728" s="20"/>
      <c r="N728" s="20"/>
      <c r="O728" s="20"/>
      <c r="P728" s="521"/>
      <c r="Q728" s="114"/>
      <c r="R728" s="114"/>
      <c r="S728" s="114"/>
      <c r="T728" s="114"/>
      <c r="U728" s="44"/>
      <c r="V728" s="114"/>
      <c r="W728" s="114"/>
      <c r="X728" s="114"/>
      <c r="Y728" s="114"/>
      <c r="Z728" s="45"/>
    </row>
    <row r="729" spans="2:26" ht="21.95" customHeight="1" x14ac:dyDescent="0.2">
      <c r="B729" s="26">
        <f t="shared" si="193"/>
        <v>5.5</v>
      </c>
      <c r="C729" s="20"/>
      <c r="D729" s="20"/>
      <c r="E729" s="20"/>
      <c r="F729" s="20">
        <v>98.724100000000007</v>
      </c>
      <c r="G729" s="20">
        <v>98.508099999999999</v>
      </c>
      <c r="H729" s="20">
        <v>98.341700000000003</v>
      </c>
      <c r="I729" s="49"/>
      <c r="J729" s="20"/>
      <c r="K729" s="20"/>
      <c r="L729" s="20"/>
      <c r="M729" s="20"/>
      <c r="N729" s="20"/>
      <c r="O729" s="20"/>
      <c r="P729" s="521"/>
      <c r="Q729" s="114"/>
      <c r="R729" s="114"/>
      <c r="S729" s="114"/>
      <c r="T729" s="114"/>
      <c r="U729" s="44"/>
      <c r="V729" s="114"/>
      <c r="W729" s="114"/>
      <c r="X729" s="114"/>
      <c r="Y729" s="114"/>
      <c r="Z729" s="45"/>
    </row>
    <row r="730" spans="2:26" ht="21.95" customHeight="1" x14ac:dyDescent="0.2">
      <c r="B730" s="26">
        <f t="shared" si="193"/>
        <v>5.625</v>
      </c>
      <c r="C730" s="20"/>
      <c r="D730" s="20"/>
      <c r="E730" s="20"/>
      <c r="F730" s="20">
        <v>99.148799999999994</v>
      </c>
      <c r="G730" s="20">
        <v>98.9328</v>
      </c>
      <c r="H730" s="20">
        <v>98.766300000000001</v>
      </c>
      <c r="I730" s="49"/>
      <c r="J730" s="20"/>
      <c r="K730" s="20"/>
      <c r="L730" s="20"/>
      <c r="M730" s="20"/>
      <c r="N730" s="20"/>
      <c r="O730" s="20"/>
      <c r="P730" s="521"/>
      <c r="Q730" s="114"/>
      <c r="R730" s="114"/>
      <c r="S730" s="114"/>
      <c r="T730" s="114"/>
      <c r="V730" s="114"/>
      <c r="W730" s="114"/>
      <c r="X730" s="114"/>
      <c r="Y730" s="114"/>
      <c r="Z730" s="45"/>
    </row>
    <row r="731" spans="2:26" ht="21.95" customHeight="1" x14ac:dyDescent="0.2">
      <c r="B731" s="26">
        <f t="shared" si="193"/>
        <v>5.75</v>
      </c>
      <c r="C731" s="20"/>
      <c r="D731" s="20"/>
      <c r="E731" s="20"/>
      <c r="F731" s="20">
        <v>99.105699999999999</v>
      </c>
      <c r="G731" s="20">
        <v>98.872200000000007</v>
      </c>
      <c r="H731" s="20">
        <v>98.6995</v>
      </c>
      <c r="I731" s="49"/>
      <c r="J731" s="20"/>
      <c r="K731" s="20"/>
      <c r="L731" s="20"/>
      <c r="M731" s="20"/>
      <c r="N731" s="20"/>
      <c r="O731" s="20"/>
      <c r="P731" s="521"/>
      <c r="Q731" s="114"/>
      <c r="R731" s="114"/>
      <c r="S731" s="114"/>
      <c r="T731" s="114"/>
      <c r="V731" s="114"/>
      <c r="W731" s="114"/>
      <c r="X731" s="114"/>
      <c r="Y731" s="114"/>
      <c r="Z731" s="45"/>
    </row>
    <row r="732" spans="2:26" ht="21.95" customHeight="1" x14ac:dyDescent="0.2">
      <c r="B732" s="26">
        <f t="shared" si="193"/>
        <v>5.875</v>
      </c>
      <c r="C732" s="20"/>
      <c r="D732" s="20"/>
      <c r="E732" s="20"/>
      <c r="F732" s="20">
        <v>99.800700000000006</v>
      </c>
      <c r="G732" s="20">
        <v>99.5672</v>
      </c>
      <c r="H732" s="20">
        <v>99.394500000000008</v>
      </c>
      <c r="I732" s="49"/>
      <c r="J732" s="20"/>
      <c r="K732" s="20"/>
      <c r="L732" s="20"/>
      <c r="M732" s="20"/>
      <c r="N732" s="20"/>
      <c r="O732" s="20"/>
      <c r="P732" s="521"/>
      <c r="Q732" s="114"/>
      <c r="R732" s="114"/>
      <c r="S732" s="114"/>
      <c r="T732" s="114"/>
      <c r="V732" s="114"/>
      <c r="W732" s="114"/>
      <c r="X732" s="114"/>
      <c r="Y732" s="114"/>
      <c r="Z732" s="45"/>
    </row>
    <row r="733" spans="2:26" ht="21.95" customHeight="1" x14ac:dyDescent="0.2">
      <c r="B733" s="26">
        <f t="shared" si="193"/>
        <v>6</v>
      </c>
      <c r="C733" s="20"/>
      <c r="D733" s="20"/>
      <c r="E733" s="20"/>
      <c r="F733" s="20">
        <v>100.4716</v>
      </c>
      <c r="G733" s="20">
        <v>100.2381</v>
      </c>
      <c r="H733" s="20">
        <v>100.06540000000001</v>
      </c>
      <c r="I733" s="49"/>
      <c r="J733" s="20"/>
      <c r="K733" s="20"/>
      <c r="L733" s="20"/>
      <c r="M733" s="20"/>
      <c r="N733" s="20"/>
      <c r="O733" s="20"/>
      <c r="P733" s="521"/>
      <c r="Q733" s="114"/>
      <c r="R733" s="114"/>
      <c r="S733" s="114"/>
      <c r="T733" s="114"/>
      <c r="V733" s="114"/>
      <c r="W733" s="114"/>
      <c r="X733" s="114"/>
      <c r="Y733" s="114"/>
      <c r="Z733" s="45"/>
    </row>
    <row r="734" spans="2:26" ht="21.95" customHeight="1" x14ac:dyDescent="0.2">
      <c r="B734" s="26">
        <f t="shared" si="193"/>
        <v>6.125</v>
      </c>
      <c r="C734" s="20"/>
      <c r="D734" s="20"/>
      <c r="E734" s="20"/>
      <c r="F734" s="20">
        <v>100.8561</v>
      </c>
      <c r="G734" s="20">
        <v>100.62270000000001</v>
      </c>
      <c r="H734" s="20">
        <v>100.4499</v>
      </c>
      <c r="I734" s="49"/>
      <c r="J734" s="20"/>
      <c r="K734" s="20"/>
      <c r="L734" s="20"/>
      <c r="M734" s="20"/>
      <c r="N734" s="20"/>
      <c r="O734" s="20"/>
      <c r="P734" s="521"/>
      <c r="Q734" s="114"/>
      <c r="R734" s="114"/>
      <c r="S734" s="114"/>
      <c r="T734" s="114"/>
      <c r="V734" s="114"/>
      <c r="W734" s="114"/>
      <c r="X734" s="114"/>
      <c r="Y734" s="114"/>
      <c r="Z734" s="45"/>
    </row>
    <row r="735" spans="2:26" ht="21.95" customHeight="1" x14ac:dyDescent="0.2">
      <c r="B735" s="26"/>
      <c r="C735" s="20"/>
      <c r="D735" s="20"/>
      <c r="E735" s="20"/>
      <c r="F735" s="20"/>
      <c r="G735" s="20"/>
      <c r="H735" s="20"/>
      <c r="I735" s="49"/>
      <c r="J735" s="20"/>
      <c r="K735" s="20"/>
      <c r="L735" s="20"/>
      <c r="M735" s="20"/>
      <c r="N735" s="20"/>
      <c r="O735" s="20"/>
      <c r="P735" s="521"/>
      <c r="Q735" s="114"/>
      <c r="R735" s="114"/>
      <c r="S735" s="114"/>
      <c r="T735" s="114"/>
      <c r="V735" s="114"/>
      <c r="W735" s="114"/>
      <c r="X735" s="114"/>
      <c r="Y735" s="114"/>
      <c r="Z735" s="45"/>
    </row>
    <row r="736" spans="2:26" ht="21.95" customHeight="1" x14ac:dyDescent="0.2">
      <c r="B736" s="26"/>
      <c r="C736" s="20"/>
      <c r="D736" s="20"/>
      <c r="E736" s="20"/>
      <c r="F736" s="20"/>
      <c r="G736" s="20"/>
      <c r="H736" s="20"/>
      <c r="I736" s="49"/>
      <c r="J736" s="20"/>
      <c r="K736" s="20"/>
      <c r="L736" s="20"/>
      <c r="M736" s="20"/>
      <c r="N736" s="20"/>
      <c r="O736" s="20"/>
      <c r="P736" s="521"/>
      <c r="Q736" s="114"/>
      <c r="R736" s="114"/>
      <c r="S736" s="114"/>
      <c r="T736" s="114"/>
      <c r="V736" s="114"/>
      <c r="W736" s="114"/>
      <c r="X736" s="114"/>
      <c r="Y736" s="114"/>
      <c r="Z736" s="45"/>
    </row>
    <row r="737" spans="2:26" ht="21.95" customHeight="1" x14ac:dyDescent="0.2">
      <c r="B737" s="26"/>
      <c r="C737" s="20"/>
      <c r="D737" s="20"/>
      <c r="E737" s="20"/>
      <c r="F737" s="20"/>
      <c r="G737" s="20"/>
      <c r="H737" s="20"/>
      <c r="I737" s="49"/>
      <c r="J737" s="20"/>
      <c r="K737" s="20"/>
      <c r="L737" s="20"/>
      <c r="M737" s="20"/>
      <c r="N737" s="20"/>
      <c r="O737" s="20"/>
      <c r="P737" s="521"/>
      <c r="Q737" s="114"/>
      <c r="R737" s="114"/>
      <c r="S737" s="114"/>
      <c r="T737" s="114"/>
      <c r="V737" s="114"/>
      <c r="W737" s="114"/>
      <c r="X737" s="114"/>
      <c r="Y737" s="114"/>
      <c r="Z737" s="45"/>
    </row>
    <row r="738" spans="2:26" ht="21.95" customHeight="1" x14ac:dyDescent="0.2">
      <c r="B738" s="26"/>
      <c r="C738" s="20"/>
      <c r="D738" s="20"/>
      <c r="E738" s="20"/>
      <c r="F738" s="20"/>
      <c r="G738" s="20"/>
      <c r="H738" s="20"/>
      <c r="I738" s="49"/>
      <c r="J738" s="20"/>
      <c r="K738" s="20"/>
      <c r="L738" s="20"/>
      <c r="M738" s="20"/>
      <c r="N738" s="20"/>
      <c r="O738" s="20"/>
      <c r="P738" s="521"/>
      <c r="Q738" s="114"/>
      <c r="R738" s="114"/>
      <c r="S738" s="114"/>
      <c r="T738" s="114"/>
      <c r="V738" s="114"/>
      <c r="W738" s="114"/>
      <c r="X738" s="114"/>
      <c r="Y738" s="114"/>
      <c r="Z738" s="45"/>
    </row>
    <row r="739" spans="2:26" ht="21.95" customHeight="1" x14ac:dyDescent="0.2">
      <c r="B739" s="26"/>
      <c r="C739" s="20"/>
      <c r="D739" s="20"/>
      <c r="E739" s="20"/>
      <c r="F739" s="20"/>
      <c r="G739" s="20"/>
      <c r="H739" s="20"/>
      <c r="I739" s="49"/>
      <c r="J739" s="20"/>
      <c r="K739" s="20"/>
      <c r="L739" s="20"/>
      <c r="M739" s="20"/>
      <c r="N739" s="20"/>
      <c r="O739" s="20"/>
      <c r="P739" s="521"/>
      <c r="Q739" s="114"/>
      <c r="R739" s="114"/>
      <c r="S739" s="114"/>
      <c r="T739" s="114"/>
      <c r="V739" s="114"/>
      <c r="W739" s="114"/>
      <c r="X739" s="114"/>
      <c r="Y739" s="114"/>
      <c r="Z739" s="45"/>
    </row>
    <row r="740" spans="2:26" ht="21.95" customHeight="1" x14ac:dyDescent="0.2">
      <c r="B740" s="26"/>
      <c r="C740" s="20"/>
      <c r="D740" s="20"/>
      <c r="E740" s="20"/>
      <c r="F740" s="20"/>
      <c r="G740" s="20"/>
      <c r="H740" s="20"/>
      <c r="I740" s="49"/>
      <c r="J740" s="20"/>
      <c r="K740" s="20"/>
      <c r="L740" s="20"/>
      <c r="M740" s="20"/>
      <c r="N740" s="20"/>
      <c r="O740" s="20"/>
      <c r="P740" s="521"/>
      <c r="Q740" s="114"/>
      <c r="R740" s="114"/>
      <c r="S740" s="114"/>
      <c r="T740" s="114"/>
      <c r="V740" s="114"/>
      <c r="W740" s="114"/>
      <c r="X740" s="114"/>
      <c r="Y740" s="114"/>
      <c r="Z740" s="45"/>
    </row>
    <row r="741" spans="2:26" ht="21.95" customHeight="1" x14ac:dyDescent="0.2">
      <c r="B741" s="26"/>
      <c r="C741" s="20"/>
      <c r="D741" s="20"/>
      <c r="E741" s="20"/>
      <c r="F741" s="20"/>
      <c r="G741" s="20"/>
      <c r="H741" s="20"/>
      <c r="I741" s="49"/>
      <c r="J741" s="20"/>
      <c r="K741" s="20"/>
      <c r="L741" s="20"/>
      <c r="M741" s="20"/>
      <c r="N741" s="20"/>
      <c r="O741" s="50"/>
      <c r="P741" s="521"/>
      <c r="Q741" s="114"/>
      <c r="R741" s="114"/>
      <c r="S741" s="114"/>
      <c r="T741" s="114"/>
      <c r="V741" s="114"/>
      <c r="W741" s="114"/>
      <c r="X741" s="114"/>
      <c r="Y741" s="114"/>
      <c r="Z741" s="45"/>
    </row>
    <row r="742" spans="2:26" ht="21.95" customHeight="1" x14ac:dyDescent="0.2">
      <c r="B742" s="26"/>
      <c r="C742" s="20"/>
      <c r="D742" s="20"/>
      <c r="E742" s="20"/>
      <c r="F742" s="20"/>
      <c r="G742" s="20"/>
      <c r="H742" s="20"/>
      <c r="I742" s="94"/>
      <c r="J742" s="38"/>
      <c r="K742" s="38"/>
      <c r="L742" s="38"/>
      <c r="M742" s="38"/>
      <c r="N742" s="38"/>
      <c r="O742" s="358"/>
      <c r="P742" s="522"/>
      <c r="Q742" s="128"/>
      <c r="R742" s="128"/>
      <c r="S742" s="128"/>
      <c r="T742" s="128"/>
      <c r="U742" s="516"/>
      <c r="V742" s="128"/>
      <c r="W742" s="128"/>
      <c r="X742" s="128"/>
      <c r="Y742" s="128"/>
      <c r="Z742" s="462"/>
    </row>
    <row r="743" spans="2:26" s="44" customFormat="1" ht="21.95" customHeight="1" x14ac:dyDescent="0.2">
      <c r="B743" s="100" t="s">
        <v>295</v>
      </c>
      <c r="C743" s="74"/>
      <c r="D743" s="74"/>
      <c r="E743" s="74"/>
      <c r="F743" s="74"/>
      <c r="G743" s="74"/>
      <c r="H743" s="74"/>
      <c r="I743" s="368"/>
      <c r="J743" s="74"/>
      <c r="K743" s="74"/>
      <c r="L743" s="74"/>
      <c r="M743" s="74"/>
      <c r="N743" s="74"/>
      <c r="O743" s="74"/>
      <c r="P743" s="368"/>
      <c r="Q743" s="368"/>
      <c r="R743" s="368"/>
      <c r="S743" s="368"/>
      <c r="T743" s="368"/>
      <c r="U743" s="368"/>
      <c r="V743" s="368"/>
      <c r="W743" s="368"/>
      <c r="X743" s="1025" t="s">
        <v>90</v>
      </c>
      <c r="Y743" s="1025"/>
      <c r="Z743" s="54"/>
    </row>
    <row r="744" spans="2:26" s="44" customFormat="1" ht="21.95" customHeight="1" x14ac:dyDescent="0.2">
      <c r="B744" s="131" t="s">
        <v>305</v>
      </c>
      <c r="C744" s="80"/>
      <c r="D744" s="80"/>
      <c r="E744" s="81">
        <v>-0.02</v>
      </c>
      <c r="F744" s="9"/>
      <c r="G744" s="9"/>
      <c r="H744" s="1022"/>
      <c r="I744" s="1022"/>
      <c r="J744" s="1022"/>
      <c r="K744" s="1022"/>
      <c r="L744" s="132"/>
      <c r="M744" s="133"/>
      <c r="N744" s="133"/>
      <c r="O744" s="133"/>
      <c r="P744" s="133"/>
      <c r="Q744" s="133"/>
      <c r="R744" s="133"/>
      <c r="S744" s="133"/>
      <c r="T744" s="133"/>
      <c r="U744" s="1019" t="s">
        <v>311</v>
      </c>
      <c r="V744" s="1019"/>
      <c r="W744" s="1019"/>
      <c r="X744" s="210">
        <v>1125</v>
      </c>
      <c r="Y744" s="84"/>
      <c r="Z744" s="134"/>
    </row>
    <row r="745" spans="2:26" s="44" customFormat="1" ht="21.95" customHeight="1" x14ac:dyDescent="0.2">
      <c r="B745" s="135" t="s">
        <v>306</v>
      </c>
      <c r="C745" s="80"/>
      <c r="D745" s="80"/>
      <c r="E745" s="81">
        <v>-0.02</v>
      </c>
      <c r="F745" s="85"/>
      <c r="G745" s="85"/>
      <c r="H745" s="85"/>
      <c r="I745" s="136"/>
      <c r="J745" s="114"/>
      <c r="K745" s="114"/>
      <c r="L745" s="84"/>
      <c r="M745" s="84"/>
      <c r="N745" s="84"/>
      <c r="O745" s="84"/>
      <c r="P745" s="84"/>
      <c r="Q745" s="84"/>
      <c r="R745" s="84"/>
      <c r="S745" s="84"/>
      <c r="T745" s="84"/>
      <c r="U745" s="1016" t="s">
        <v>312</v>
      </c>
      <c r="V745" s="1016"/>
      <c r="W745" s="1016"/>
      <c r="X745" s="391">
        <v>695</v>
      </c>
      <c r="Y745" s="80"/>
      <c r="Z745" s="115"/>
    </row>
    <row r="746" spans="2:26" s="44" customFormat="1" ht="21.95" customHeight="1" x14ac:dyDescent="0.2">
      <c r="B746" s="135" t="s">
        <v>307</v>
      </c>
      <c r="C746" s="80"/>
      <c r="D746" s="80"/>
      <c r="E746" s="81">
        <v>-0.04</v>
      </c>
      <c r="F746" s="85"/>
      <c r="G746" s="85"/>
      <c r="H746" s="85"/>
      <c r="I746" s="136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209"/>
      <c r="W746" s="209" t="s">
        <v>159</v>
      </c>
      <c r="X746" s="391">
        <v>795</v>
      </c>
      <c r="Y746" s="80"/>
      <c r="Z746" s="137"/>
    </row>
    <row r="747" spans="2:26" s="44" customFormat="1" ht="21.95" customHeight="1" x14ac:dyDescent="0.2">
      <c r="B747" s="135" t="s">
        <v>308</v>
      </c>
      <c r="C747" s="80"/>
      <c r="D747" s="80"/>
      <c r="E747" s="81">
        <v>-0.04</v>
      </c>
      <c r="F747" s="85"/>
      <c r="G747" s="85"/>
      <c r="H747" s="85"/>
      <c r="I747" s="136"/>
      <c r="J747" s="138"/>
      <c r="K747" s="138"/>
      <c r="L747" s="133"/>
      <c r="M747" s="133"/>
      <c r="N747" s="133"/>
      <c r="O747" s="133"/>
      <c r="P747" s="133"/>
      <c r="Q747" s="133"/>
      <c r="R747" s="133"/>
      <c r="S747" s="133"/>
      <c r="T747" s="133"/>
      <c r="U747" s="84"/>
      <c r="V747" s="84"/>
      <c r="W747" s="209" t="s">
        <v>160</v>
      </c>
      <c r="X747" s="391">
        <v>795</v>
      </c>
      <c r="Y747" s="80"/>
      <c r="Z747" s="115"/>
    </row>
    <row r="748" spans="2:26" s="44" customFormat="1" ht="21.95" customHeight="1" x14ac:dyDescent="0.2">
      <c r="B748" s="135" t="s">
        <v>85</v>
      </c>
      <c r="C748" s="87"/>
      <c r="D748" s="87"/>
      <c r="E748" s="81">
        <v>-0.125</v>
      </c>
      <c r="F748" s="85"/>
      <c r="G748" s="85"/>
      <c r="H748" s="85"/>
      <c r="I748" s="136"/>
      <c r="J748" s="138"/>
      <c r="K748" s="138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80"/>
      <c r="X748" s="80"/>
      <c r="Y748" s="80"/>
      <c r="Z748" s="115"/>
    </row>
    <row r="749" spans="2:26" s="44" customFormat="1" ht="21.95" customHeight="1" thickBot="1" x14ac:dyDescent="0.25">
      <c r="B749" s="10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40"/>
    </row>
    <row r="750" spans="2:26" s="44" customFormat="1" ht="21.95" customHeight="1" x14ac:dyDescent="0.2">
      <c r="B750" s="90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711" t="s">
        <v>57</v>
      </c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91"/>
    </row>
    <row r="751" spans="2:26" s="44" customFormat="1" ht="21.95" customHeight="1" x14ac:dyDescent="0.2">
      <c r="B751" s="90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711" t="s">
        <v>58</v>
      </c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91"/>
    </row>
    <row r="752" spans="2:26" s="44" customFormat="1" ht="21.95" customHeight="1" x14ac:dyDescent="0.2">
      <c r="B752" s="90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712" t="s">
        <v>67</v>
      </c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91"/>
    </row>
    <row r="753" spans="2:26" s="44" customFormat="1" ht="21.95" customHeight="1" thickBot="1" x14ac:dyDescent="0.25">
      <c r="B753" s="90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712" t="s">
        <v>59</v>
      </c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91"/>
    </row>
    <row r="754" spans="2:26" s="651" customFormat="1" ht="21.95" customHeight="1" x14ac:dyDescent="0.3">
      <c r="B754" s="655" t="s">
        <v>515</v>
      </c>
      <c r="C754" s="656"/>
      <c r="D754" s="656"/>
      <c r="E754" s="656"/>
      <c r="F754" s="656"/>
      <c r="G754" s="656"/>
      <c r="H754" s="656"/>
      <c r="I754" s="656"/>
      <c r="J754" s="656"/>
      <c r="K754" s="656"/>
      <c r="L754" s="656"/>
      <c r="M754" s="656"/>
      <c r="N754" s="656"/>
      <c r="O754" s="656"/>
      <c r="P754" s="656"/>
      <c r="Q754" s="656"/>
      <c r="R754" s="656"/>
      <c r="S754" s="656"/>
      <c r="T754" s="656"/>
      <c r="U754" s="656"/>
      <c r="V754" s="656"/>
      <c r="W754" s="656"/>
      <c r="X754" s="962" t="s">
        <v>0</v>
      </c>
      <c r="Y754" s="962"/>
      <c r="Z754" s="963"/>
    </row>
    <row r="755" spans="2:26" s="651" customFormat="1" ht="21.95" customHeight="1" x14ac:dyDescent="0.3">
      <c r="B755" s="657" t="s">
        <v>68</v>
      </c>
      <c r="C755" s="658"/>
      <c r="D755" s="658"/>
      <c r="E755" s="658"/>
      <c r="F755" s="658"/>
      <c r="G755" s="658"/>
      <c r="H755" s="659"/>
      <c r="I755" s="659"/>
      <c r="J755" s="658"/>
      <c r="K755" s="658"/>
      <c r="L755" s="658"/>
      <c r="M755" s="658"/>
      <c r="N755" s="658"/>
      <c r="O755" s="658"/>
      <c r="P755" s="658"/>
      <c r="Q755" s="658"/>
      <c r="R755" s="658"/>
      <c r="S755" s="658"/>
      <c r="T755" s="658"/>
      <c r="U755" s="658"/>
      <c r="V755" s="658"/>
      <c r="W755" s="934">
        <f ca="1">TODAY()</f>
        <v>46101</v>
      </c>
      <c r="X755" s="934"/>
      <c r="Y755" s="935">
        <v>0.4375</v>
      </c>
      <c r="Z755" s="936"/>
    </row>
    <row r="756" spans="2:26" s="651" customFormat="1" ht="21.95" customHeight="1" x14ac:dyDescent="0.3">
      <c r="B756" s="657" t="s">
        <v>69</v>
      </c>
      <c r="C756" s="658"/>
      <c r="D756" s="658"/>
      <c r="E756" s="658"/>
      <c r="F756" s="658"/>
      <c r="G756" s="658"/>
      <c r="H756" s="658"/>
      <c r="I756" s="658"/>
      <c r="J756" s="658"/>
      <c r="K756" s="658"/>
      <c r="L756" s="658"/>
      <c r="M756" s="658"/>
      <c r="N756" s="658"/>
      <c r="O756" s="658"/>
      <c r="P756" s="658"/>
      <c r="Q756" s="658"/>
      <c r="R756" s="658"/>
      <c r="S756" s="658"/>
      <c r="T756" s="658"/>
      <c r="U756" s="658"/>
      <c r="V756" s="658"/>
      <c r="W756" s="658"/>
      <c r="X756" s="658"/>
      <c r="Y756" s="658"/>
      <c r="Z756" s="660"/>
    </row>
    <row r="757" spans="2:26" s="651" customFormat="1" ht="21.95" customHeight="1" x14ac:dyDescent="0.3">
      <c r="B757" s="661" t="s">
        <v>72</v>
      </c>
      <c r="C757" s="658"/>
      <c r="D757" s="658"/>
      <c r="E757" s="658"/>
      <c r="F757" s="658"/>
      <c r="G757" s="662"/>
      <c r="H757" s="662"/>
      <c r="I757" s="662"/>
      <c r="J757" s="662"/>
      <c r="K757" s="662"/>
      <c r="L757" s="662"/>
      <c r="M757" s="662"/>
      <c r="N757" s="662"/>
      <c r="O757" s="662"/>
      <c r="P757" s="662"/>
      <c r="Q757" s="662"/>
      <c r="R757" s="662"/>
      <c r="S757" s="662"/>
      <c r="T757" s="662"/>
      <c r="U757" s="662"/>
      <c r="V757" s="662"/>
      <c r="W757" s="658" t="s">
        <v>161</v>
      </c>
      <c r="X757" s="663"/>
      <c r="Y757" s="663"/>
      <c r="Z757" s="660"/>
    </row>
    <row r="758" spans="2:26" s="651" customFormat="1" ht="21.95" customHeight="1" x14ac:dyDescent="0.3">
      <c r="B758" s="657"/>
      <c r="C758" s="664"/>
      <c r="D758" s="664"/>
      <c r="E758" s="664"/>
      <c r="F758" s="664"/>
      <c r="G758" s="664"/>
      <c r="H758" s="664"/>
      <c r="I758" s="664"/>
      <c r="J758" s="664"/>
      <c r="K758" s="664"/>
      <c r="L758" s="664"/>
      <c r="M758" s="664"/>
      <c r="N758" s="664"/>
      <c r="O758" s="664"/>
      <c r="P758" s="664"/>
      <c r="Q758" s="664"/>
      <c r="R758" s="664"/>
      <c r="S758" s="664"/>
      <c r="T758" s="664"/>
      <c r="U758" s="664"/>
      <c r="V758" s="664"/>
      <c r="W758" s="663" t="s">
        <v>65</v>
      </c>
      <c r="X758" s="658"/>
      <c r="Y758" s="658"/>
      <c r="Z758" s="665"/>
    </row>
    <row r="759" spans="2:26" s="666" customFormat="1" ht="21.95" customHeight="1" thickBot="1" x14ac:dyDescent="0.35">
      <c r="B759" s="667" t="s">
        <v>73</v>
      </c>
      <c r="C759" s="668"/>
      <c r="D759" s="668"/>
      <c r="E759" s="668"/>
      <c r="F759" s="668"/>
      <c r="G759" s="668"/>
      <c r="H759" s="668"/>
      <c r="I759" s="668"/>
      <c r="J759" s="668"/>
      <c r="K759" s="668"/>
      <c r="L759" s="668"/>
      <c r="M759" s="668"/>
      <c r="N759" s="668"/>
      <c r="O759" s="668"/>
      <c r="P759" s="668"/>
      <c r="Q759" s="668"/>
      <c r="R759" s="668"/>
      <c r="S759" s="668"/>
      <c r="T759" s="668"/>
      <c r="U759" s="668"/>
      <c r="V759" s="668"/>
      <c r="W759" s="669"/>
      <c r="X759" s="670"/>
      <c r="Y759" s="670"/>
      <c r="Z759" s="671"/>
    </row>
    <row r="760" spans="2:26" ht="21.95" customHeight="1" thickBot="1" x14ac:dyDescent="0.25">
      <c r="B760" s="509"/>
      <c r="C760" s="500"/>
      <c r="D760" s="500"/>
      <c r="E760" s="500"/>
      <c r="F760" s="500"/>
      <c r="G760" s="500"/>
      <c r="H760" s="500"/>
      <c r="I760" s="500"/>
      <c r="J760" s="500"/>
      <c r="K760" s="500"/>
      <c r="L760" s="500"/>
      <c r="M760" s="500"/>
      <c r="N760" s="500"/>
      <c r="O760" s="500"/>
      <c r="P760" s="500"/>
      <c r="Q760" s="500"/>
      <c r="R760" s="500"/>
      <c r="S760" s="500"/>
      <c r="T760" s="500"/>
      <c r="U760" s="500"/>
      <c r="V760" s="500"/>
      <c r="W760" s="500"/>
      <c r="X760" s="500"/>
      <c r="Y760" s="500"/>
      <c r="Z760" s="502"/>
    </row>
    <row r="761" spans="2:26" ht="21.95" customHeight="1" thickBot="1" x14ac:dyDescent="0.25">
      <c r="B761" s="866" t="s">
        <v>358</v>
      </c>
      <c r="C761" s="867"/>
      <c r="D761" s="867"/>
      <c r="E761" s="867"/>
      <c r="F761" s="867"/>
      <c r="G761" s="867"/>
      <c r="H761" s="867"/>
      <c r="I761" s="867"/>
      <c r="J761" s="867"/>
      <c r="K761" s="867"/>
      <c r="L761" s="867"/>
      <c r="M761" s="867"/>
      <c r="N761" s="867"/>
      <c r="O761" s="867"/>
      <c r="P761" s="867"/>
      <c r="Q761" s="867"/>
      <c r="R761" s="867"/>
      <c r="S761" s="867"/>
      <c r="T761" s="867"/>
      <c r="U761" s="867"/>
      <c r="V761" s="867"/>
      <c r="W761" s="867"/>
      <c r="X761" s="867"/>
      <c r="Y761" s="867"/>
      <c r="Z761" s="868"/>
    </row>
    <row r="762" spans="2:26" ht="21.95" customHeight="1" thickBot="1" x14ac:dyDescent="0.25"/>
    <row r="763" spans="2:26" ht="21.95" customHeight="1" x14ac:dyDescent="0.2">
      <c r="B763" s="793" t="s">
        <v>24</v>
      </c>
      <c r="C763" s="794"/>
      <c r="D763" s="794"/>
      <c r="E763" s="794"/>
      <c r="F763" s="794"/>
      <c r="G763" s="794"/>
      <c r="H763" s="795"/>
      <c r="I763" s="794" t="s">
        <v>26</v>
      </c>
      <c r="J763" s="794"/>
      <c r="K763" s="794"/>
      <c r="L763" s="794"/>
      <c r="M763" s="794"/>
      <c r="N763" s="794"/>
      <c r="O763" s="795"/>
      <c r="P763" s="512"/>
      <c r="Q763" s="507"/>
      <c r="R763" s="155"/>
      <c r="S763" s="383"/>
      <c r="T763" s="383"/>
      <c r="U763" s="383"/>
      <c r="V763" s="383"/>
      <c r="W763" s="513"/>
      <c r="X763" s="513"/>
      <c r="Y763" s="513"/>
      <c r="Z763" s="514"/>
    </row>
    <row r="764" spans="2:26" ht="21.95" customHeight="1" x14ac:dyDescent="0.2">
      <c r="B764" s="359" t="s">
        <v>4</v>
      </c>
      <c r="C764" s="353"/>
      <c r="D764" s="353"/>
      <c r="E764" s="353"/>
      <c r="F764" s="353" t="s">
        <v>75</v>
      </c>
      <c r="G764" s="353" t="s">
        <v>302</v>
      </c>
      <c r="H764" s="367" t="s">
        <v>303</v>
      </c>
      <c r="I764" s="370" t="s">
        <v>4</v>
      </c>
      <c r="J764" s="353"/>
      <c r="K764" s="353"/>
      <c r="L764" s="353"/>
      <c r="M764" s="353" t="s">
        <v>75</v>
      </c>
      <c r="N764" s="353" t="s">
        <v>302</v>
      </c>
      <c r="O764" s="367" t="s">
        <v>303</v>
      </c>
      <c r="P764" s="500"/>
      <c r="Q764" s="4"/>
      <c r="R764" s="4" t="s">
        <v>101</v>
      </c>
      <c r="S764" s="112"/>
      <c r="T764" s="123">
        <v>0</v>
      </c>
      <c r="V764" s="4"/>
      <c r="W764" s="4"/>
      <c r="X764" s="4"/>
      <c r="Y764" s="4"/>
      <c r="Z764" s="113"/>
    </row>
    <row r="765" spans="2:26" ht="21.95" customHeight="1" x14ac:dyDescent="0.2">
      <c r="B765" s="26">
        <f t="shared" ref="B765:B779" si="194">B162</f>
        <v>4.75</v>
      </c>
      <c r="C765" s="20"/>
      <c r="D765" s="20"/>
      <c r="E765" s="20"/>
      <c r="F765" s="20">
        <v>95.038600000000002</v>
      </c>
      <c r="G765" s="20">
        <v>94.725200000000001</v>
      </c>
      <c r="H765" s="392">
        <v>94.548199999999994</v>
      </c>
      <c r="I765" s="360">
        <f t="shared" ref="I765:I776" si="195">I162</f>
        <v>4.5</v>
      </c>
      <c r="J765" s="20"/>
      <c r="K765" s="20"/>
      <c r="L765" s="20"/>
      <c r="M765" s="20">
        <v>97.486100000000008</v>
      </c>
      <c r="N765" s="20">
        <v>96.905900000000003</v>
      </c>
      <c r="O765" s="27">
        <v>96.338400000000007</v>
      </c>
      <c r="P765" s="500"/>
      <c r="Q765" s="4"/>
      <c r="R765" s="4"/>
      <c r="S765" s="112"/>
      <c r="T765" s="112"/>
      <c r="V765" s="4"/>
      <c r="W765" s="4"/>
      <c r="X765" s="4"/>
      <c r="Y765" s="4"/>
      <c r="Z765" s="113"/>
    </row>
    <row r="766" spans="2:26" ht="21.95" customHeight="1" x14ac:dyDescent="0.2">
      <c r="B766" s="26">
        <f t="shared" si="194"/>
        <v>4.875</v>
      </c>
      <c r="C766" s="20"/>
      <c r="D766" s="20"/>
      <c r="E766" s="20"/>
      <c r="F766" s="20">
        <v>95.683200000000014</v>
      </c>
      <c r="G766" s="20">
        <v>95.369900000000001</v>
      </c>
      <c r="H766" s="27">
        <v>95.192899999999995</v>
      </c>
      <c r="I766" s="360">
        <f t="shared" si="195"/>
        <v>4.625</v>
      </c>
      <c r="J766" s="20"/>
      <c r="K766" s="20"/>
      <c r="L766" s="20"/>
      <c r="M766" s="20">
        <v>97.977400000000003</v>
      </c>
      <c r="N766" s="20">
        <v>97.397300000000001</v>
      </c>
      <c r="O766" s="27">
        <v>96.829700000000003</v>
      </c>
      <c r="P766" s="500"/>
      <c r="Q766" s="109"/>
      <c r="R766" s="109" t="s">
        <v>83</v>
      </c>
      <c r="S766" s="110"/>
      <c r="T766" s="110"/>
      <c r="U766" s="110"/>
      <c r="V766" s="110"/>
      <c r="W766" s="110"/>
      <c r="X766" s="109"/>
      <c r="Y766" s="109"/>
      <c r="Z766" s="111"/>
    </row>
    <row r="767" spans="2:26" ht="21.95" customHeight="1" x14ac:dyDescent="0.2">
      <c r="B767" s="26">
        <f t="shared" si="194"/>
        <v>5</v>
      </c>
      <c r="C767" s="20"/>
      <c r="D767" s="20"/>
      <c r="E767" s="20"/>
      <c r="F767" s="20">
        <v>96.402300000000011</v>
      </c>
      <c r="G767" s="20">
        <v>96.088999999999999</v>
      </c>
      <c r="H767" s="27">
        <v>95.912000000000006</v>
      </c>
      <c r="I767" s="360">
        <f t="shared" si="195"/>
        <v>4.75</v>
      </c>
      <c r="J767" s="20"/>
      <c r="K767" s="20"/>
      <c r="L767" s="20"/>
      <c r="M767" s="20">
        <v>98.135900000000007</v>
      </c>
      <c r="N767" s="20">
        <v>97.542299999999997</v>
      </c>
      <c r="O767" s="27">
        <v>96.954000000000008</v>
      </c>
      <c r="P767" s="500"/>
      <c r="Q767" s="515"/>
      <c r="R767" s="515"/>
      <c r="V767" s="116"/>
      <c r="W767" s="116"/>
      <c r="X767" s="515"/>
      <c r="Y767" s="515"/>
      <c r="Z767" s="511"/>
    </row>
    <row r="768" spans="2:26" ht="21.95" customHeight="1" x14ac:dyDescent="0.2">
      <c r="B768" s="26">
        <f t="shared" si="194"/>
        <v>5.125</v>
      </c>
      <c r="C768" s="20"/>
      <c r="D768" s="20"/>
      <c r="E768" s="20"/>
      <c r="F768" s="20">
        <v>96.87360000000001</v>
      </c>
      <c r="G768" s="20">
        <v>96.560199999999995</v>
      </c>
      <c r="H768" s="27">
        <v>96.383300000000006</v>
      </c>
      <c r="I768" s="360">
        <f t="shared" si="195"/>
        <v>4.875</v>
      </c>
      <c r="J768" s="20"/>
      <c r="K768" s="20"/>
      <c r="L768" s="20"/>
      <c r="M768" s="20">
        <v>98.615899999999996</v>
      </c>
      <c r="N768" s="20">
        <v>98.022300000000001</v>
      </c>
      <c r="O768" s="27">
        <v>97.433999999999997</v>
      </c>
      <c r="P768" s="500"/>
      <c r="Q768" s="4"/>
      <c r="R768" s="4" t="str">
        <f t="shared" ref="R768:S777" si="196">R165</f>
        <v>DC</v>
      </c>
      <c r="S768" s="510">
        <f t="shared" si="196"/>
        <v>0.05</v>
      </c>
      <c r="U768" s="499" t="str">
        <f t="shared" ref="U768:V777" si="197">U165</f>
        <v>AL</v>
      </c>
      <c r="V768" s="114">
        <f t="shared" si="197"/>
        <v>0.05</v>
      </c>
      <c r="W768" s="114" t="s">
        <v>486</v>
      </c>
      <c r="X768" s="114">
        <v>-0.05</v>
      </c>
      <c r="Y768" s="4"/>
      <c r="Z768" s="525"/>
    </row>
    <row r="769" spans="2:26" ht="21.95" customHeight="1" x14ac:dyDescent="0.2">
      <c r="B769" s="26">
        <f t="shared" si="194"/>
        <v>5.25</v>
      </c>
      <c r="C769" s="20"/>
      <c r="D769" s="20"/>
      <c r="E769" s="20"/>
      <c r="F769" s="20">
        <v>97.870500000000007</v>
      </c>
      <c r="G769" s="20">
        <v>97.534300000000002</v>
      </c>
      <c r="H769" s="27">
        <v>97.382599999999996</v>
      </c>
      <c r="I769" s="360">
        <f t="shared" si="195"/>
        <v>5</v>
      </c>
      <c r="J769" s="20"/>
      <c r="K769" s="20"/>
      <c r="L769" s="20"/>
      <c r="M769" s="20">
        <v>99.068600000000004</v>
      </c>
      <c r="N769" s="20">
        <v>98.475099999999998</v>
      </c>
      <c r="O769" s="27">
        <v>97.886700000000005</v>
      </c>
      <c r="P769" s="500"/>
      <c r="Q769" s="4"/>
      <c r="R769" s="4" t="str">
        <f t="shared" si="196"/>
        <v xml:space="preserve">DE </v>
      </c>
      <c r="S769" s="510">
        <f t="shared" si="196"/>
        <v>0</v>
      </c>
      <c r="U769" s="499" t="str">
        <f t="shared" si="197"/>
        <v>AZ</v>
      </c>
      <c r="V769" s="114">
        <f t="shared" si="197"/>
        <v>0.1</v>
      </c>
      <c r="W769" s="114" t="s">
        <v>487</v>
      </c>
      <c r="X769" s="114">
        <v>0</v>
      </c>
      <c r="Y769" s="4"/>
      <c r="Z769" s="525"/>
    </row>
    <row r="770" spans="2:26" ht="21.95" customHeight="1" x14ac:dyDescent="0.2">
      <c r="B770" s="26">
        <f t="shared" si="194"/>
        <v>5.375</v>
      </c>
      <c r="C770" s="20"/>
      <c r="D770" s="20"/>
      <c r="E770" s="20"/>
      <c r="F770" s="20">
        <v>98.52470000000001</v>
      </c>
      <c r="G770" s="20">
        <v>98.188500000000005</v>
      </c>
      <c r="H770" s="27">
        <v>98.036799999999999</v>
      </c>
      <c r="I770" s="360">
        <f t="shared" si="195"/>
        <v>5.125</v>
      </c>
      <c r="J770" s="20"/>
      <c r="K770" s="20"/>
      <c r="L770" s="20"/>
      <c r="M770" s="20">
        <v>99.491500000000002</v>
      </c>
      <c r="N770" s="20">
        <v>98.897999999999996</v>
      </c>
      <c r="O770" s="27">
        <v>98.309600000000003</v>
      </c>
      <c r="P770" s="500"/>
      <c r="Q770" s="4"/>
      <c r="R770" s="4" t="str">
        <f t="shared" si="196"/>
        <v>MD</v>
      </c>
      <c r="S770" s="510">
        <f t="shared" si="196"/>
        <v>0</v>
      </c>
      <c r="U770" s="499" t="str">
        <f t="shared" si="197"/>
        <v>MA</v>
      </c>
      <c r="V770" s="114">
        <f t="shared" si="197"/>
        <v>-0.1</v>
      </c>
      <c r="W770" s="114" t="s">
        <v>508</v>
      </c>
      <c r="X770" s="114">
        <v>0</v>
      </c>
      <c r="Y770" s="4"/>
      <c r="Z770" s="525"/>
    </row>
    <row r="771" spans="2:26" ht="21.95" customHeight="1" x14ac:dyDescent="0.2">
      <c r="B771" s="26">
        <f t="shared" si="194"/>
        <v>5.5</v>
      </c>
      <c r="C771" s="20"/>
      <c r="D771" s="20"/>
      <c r="E771" s="20"/>
      <c r="F771" s="20">
        <v>99.163300000000007</v>
      </c>
      <c r="G771" s="20">
        <v>98.827100000000002</v>
      </c>
      <c r="H771" s="27">
        <v>98.6554</v>
      </c>
      <c r="I771" s="360">
        <f t="shared" si="195"/>
        <v>5.25</v>
      </c>
      <c r="J771" s="20"/>
      <c r="K771" s="20"/>
      <c r="L771" s="20"/>
      <c r="M771" s="20">
        <v>99.481200000000001</v>
      </c>
      <c r="N771" s="20">
        <v>98.906599999999997</v>
      </c>
      <c r="O771" s="27">
        <v>98.297399999999996</v>
      </c>
      <c r="P771" s="500"/>
      <c r="Q771" s="4"/>
      <c r="R771" s="4" t="str">
        <f t="shared" si="196"/>
        <v>NJ</v>
      </c>
      <c r="S771" s="510">
        <f t="shared" si="196"/>
        <v>-0.1</v>
      </c>
      <c r="U771" s="499" t="str">
        <f t="shared" si="197"/>
        <v>OR</v>
      </c>
      <c r="V771" s="114">
        <f t="shared" si="197"/>
        <v>0.05</v>
      </c>
      <c r="W771" s="114" t="s">
        <v>509</v>
      </c>
      <c r="X771" s="114">
        <v>0</v>
      </c>
      <c r="Y771" s="4"/>
      <c r="Z771" s="525"/>
    </row>
    <row r="772" spans="2:26" ht="21.95" customHeight="1" x14ac:dyDescent="0.2">
      <c r="B772" s="26">
        <f t="shared" si="194"/>
        <v>5.625</v>
      </c>
      <c r="C772" s="20"/>
      <c r="D772" s="20"/>
      <c r="E772" s="20"/>
      <c r="F772" s="20">
        <v>99.684300000000007</v>
      </c>
      <c r="G772" s="20">
        <v>99.328000000000003</v>
      </c>
      <c r="H772" s="27">
        <v>99.126400000000004</v>
      </c>
      <c r="I772" s="360">
        <f t="shared" si="195"/>
        <v>5.375</v>
      </c>
      <c r="J772" s="20"/>
      <c r="K772" s="20"/>
      <c r="L772" s="20"/>
      <c r="M772" s="20">
        <v>99.899100000000004</v>
      </c>
      <c r="N772" s="20">
        <v>99.3245</v>
      </c>
      <c r="O772" s="27">
        <v>98.715299999999999</v>
      </c>
      <c r="P772" s="500"/>
      <c r="Q772" s="4"/>
      <c r="R772" s="4" t="str">
        <f t="shared" si="196"/>
        <v>PA</v>
      </c>
      <c r="S772" s="510">
        <f t="shared" si="196"/>
        <v>0.1</v>
      </c>
      <c r="U772" s="499" t="str">
        <f t="shared" si="197"/>
        <v>NH</v>
      </c>
      <c r="V772" s="114">
        <f t="shared" si="197"/>
        <v>0</v>
      </c>
      <c r="W772" s="114"/>
      <c r="X772" s="4"/>
      <c r="Y772" s="4"/>
      <c r="Z772" s="525"/>
    </row>
    <row r="773" spans="2:26" ht="21.95" customHeight="1" x14ac:dyDescent="0.2">
      <c r="B773" s="26">
        <f t="shared" si="194"/>
        <v>5.75</v>
      </c>
      <c r="C773" s="20"/>
      <c r="D773" s="20"/>
      <c r="E773" s="20"/>
      <c r="F773" s="20">
        <v>99.931300000000007</v>
      </c>
      <c r="G773" s="20">
        <v>99.583200000000005</v>
      </c>
      <c r="H773" s="27">
        <v>99.430899999999994</v>
      </c>
      <c r="I773" s="360">
        <f t="shared" si="195"/>
        <v>5.5</v>
      </c>
      <c r="J773" s="20"/>
      <c r="K773" s="20"/>
      <c r="L773" s="20"/>
      <c r="M773" s="20">
        <v>100.28440000000001</v>
      </c>
      <c r="N773" s="20">
        <v>99.709800000000001</v>
      </c>
      <c r="O773" s="27">
        <v>99.1006</v>
      </c>
      <c r="P773" s="500"/>
      <c r="Q773" s="4"/>
      <c r="R773" s="4" t="str">
        <f t="shared" si="196"/>
        <v>VA</v>
      </c>
      <c r="S773" s="510">
        <f t="shared" si="196"/>
        <v>0.05</v>
      </c>
      <c r="U773" s="499" t="str">
        <f t="shared" si="197"/>
        <v>TX</v>
      </c>
      <c r="V773" s="114">
        <f t="shared" si="197"/>
        <v>7.4999999999999997E-2</v>
      </c>
      <c r="W773" s="480" t="s">
        <v>510</v>
      </c>
      <c r="X773" s="17"/>
      <c r="Y773" s="13"/>
      <c r="Z773" s="525"/>
    </row>
    <row r="774" spans="2:26" ht="21.95" customHeight="1" x14ac:dyDescent="0.2">
      <c r="B774" s="26">
        <f t="shared" si="194"/>
        <v>5.875</v>
      </c>
      <c r="C774" s="20"/>
      <c r="D774" s="20"/>
      <c r="E774" s="20"/>
      <c r="F774" s="20">
        <v>100.38800000000001</v>
      </c>
      <c r="G774" s="20">
        <v>100.04</v>
      </c>
      <c r="H774" s="27">
        <v>99.887699999999995</v>
      </c>
      <c r="I774" s="360">
        <f t="shared" si="195"/>
        <v>5.625</v>
      </c>
      <c r="J774" s="20"/>
      <c r="K774" s="20"/>
      <c r="L774" s="20"/>
      <c r="M774" s="20">
        <v>100.6353</v>
      </c>
      <c r="N774" s="20">
        <v>100.0607</v>
      </c>
      <c r="O774" s="27">
        <v>99.451499999999996</v>
      </c>
      <c r="P774" s="500"/>
      <c r="Q774" s="4"/>
      <c r="R774" s="4" t="str">
        <f t="shared" si="196"/>
        <v>FL</v>
      </c>
      <c r="S774" s="510">
        <f t="shared" si="196"/>
        <v>2.5000000000000001E-2</v>
      </c>
      <c r="U774" s="499" t="str">
        <f t="shared" si="197"/>
        <v>SC</v>
      </c>
      <c r="V774" s="114">
        <f t="shared" si="197"/>
        <v>0.1</v>
      </c>
      <c r="W774" s="484" t="s">
        <v>511</v>
      </c>
      <c r="X774" s="43"/>
      <c r="Y774" s="485">
        <v>0.15</v>
      </c>
      <c r="Z774" s="525"/>
    </row>
    <row r="775" spans="2:26" ht="21.95" customHeight="1" x14ac:dyDescent="0.2">
      <c r="B775" s="26">
        <f t="shared" si="194"/>
        <v>5.99</v>
      </c>
      <c r="C775" s="20"/>
      <c r="D775" s="20"/>
      <c r="E775" s="20"/>
      <c r="F775" s="20">
        <v>100.91590000000001</v>
      </c>
      <c r="G775" s="20">
        <v>100.56789999999999</v>
      </c>
      <c r="H775" s="27">
        <v>100.3656</v>
      </c>
      <c r="I775" s="360">
        <f t="shared" si="195"/>
        <v>5.75</v>
      </c>
      <c r="J775" s="20"/>
      <c r="K775" s="20"/>
      <c r="L775" s="20"/>
      <c r="M775" s="20">
        <v>100.2424</v>
      </c>
      <c r="N775" s="20">
        <v>99.686800000000005</v>
      </c>
      <c r="O775" s="27">
        <v>99.056700000000006</v>
      </c>
      <c r="P775" s="500"/>
      <c r="Q775" s="4"/>
      <c r="R775" s="4" t="str">
        <f t="shared" si="196"/>
        <v>NC</v>
      </c>
      <c r="S775" s="510">
        <f t="shared" si="196"/>
        <v>0.1</v>
      </c>
      <c r="U775" s="499" t="str">
        <f t="shared" si="197"/>
        <v>CT</v>
      </c>
      <c r="V775" s="114">
        <f t="shared" si="197"/>
        <v>-2.5000000000000001E-2</v>
      </c>
      <c r="W775" s="114"/>
      <c r="X775" s="4"/>
      <c r="Y775" s="4"/>
      <c r="Z775" s="525"/>
    </row>
    <row r="776" spans="2:26" ht="21.95" customHeight="1" x14ac:dyDescent="0.2">
      <c r="B776" s="26">
        <f t="shared" si="194"/>
        <v>6.125</v>
      </c>
      <c r="C776" s="20"/>
      <c r="D776" s="20"/>
      <c r="E776" s="20"/>
      <c r="F776" s="20">
        <v>101.50450000000001</v>
      </c>
      <c r="G776" s="20">
        <v>101.13639999999999</v>
      </c>
      <c r="H776" s="27">
        <v>100.9341</v>
      </c>
      <c r="I776" s="360">
        <f t="shared" si="195"/>
        <v>5.875</v>
      </c>
      <c r="J776" s="20"/>
      <c r="K776" s="20"/>
      <c r="L776" s="20"/>
      <c r="M776" s="20">
        <v>100.5972</v>
      </c>
      <c r="N776" s="20">
        <v>100.0415</v>
      </c>
      <c r="O776" s="27">
        <v>99.411500000000004</v>
      </c>
      <c r="P776" s="500"/>
      <c r="Q776" s="4"/>
      <c r="R776" s="4" t="str">
        <f t="shared" si="196"/>
        <v>CO</v>
      </c>
      <c r="S776" s="510">
        <f t="shared" si="196"/>
        <v>0.15</v>
      </c>
      <c r="U776" s="499" t="str">
        <f t="shared" si="197"/>
        <v>CA</v>
      </c>
      <c r="V776" s="114">
        <f t="shared" si="197"/>
        <v>-0.05</v>
      </c>
      <c r="W776" s="114"/>
      <c r="X776" s="4"/>
      <c r="Y776" s="4"/>
      <c r="Z776" s="525"/>
    </row>
    <row r="777" spans="2:26" ht="21.95" customHeight="1" x14ac:dyDescent="0.2">
      <c r="B777" s="26">
        <f t="shared" si="194"/>
        <v>6.25</v>
      </c>
      <c r="C777" s="20"/>
      <c r="D777" s="20"/>
      <c r="E777" s="20"/>
      <c r="F777" s="20">
        <v>101.42850000000001</v>
      </c>
      <c r="G777" s="20">
        <v>101.15180000000001</v>
      </c>
      <c r="H777" s="27">
        <v>101.03530000000001</v>
      </c>
      <c r="I777" s="360"/>
      <c r="J777" s="20"/>
      <c r="K777" s="20"/>
      <c r="L777" s="20"/>
      <c r="M777" s="20"/>
      <c r="N777" s="20"/>
      <c r="O777" s="27"/>
      <c r="P777" s="500"/>
      <c r="Q777" s="500"/>
      <c r="R777" s="4" t="str">
        <f t="shared" si="196"/>
        <v>GA</v>
      </c>
      <c r="S777" s="510">
        <f t="shared" si="196"/>
        <v>0</v>
      </c>
      <c r="U777" s="499" t="str">
        <f t="shared" si="197"/>
        <v>WA</v>
      </c>
      <c r="V777" s="114">
        <f t="shared" si="197"/>
        <v>0.05</v>
      </c>
      <c r="Z777" s="511"/>
    </row>
    <row r="778" spans="2:26" ht="21.95" customHeight="1" x14ac:dyDescent="0.2">
      <c r="B778" s="26">
        <f t="shared" si="194"/>
        <v>6.375</v>
      </c>
      <c r="C778" s="20"/>
      <c r="D778" s="20"/>
      <c r="E778" s="20"/>
      <c r="F778" s="20">
        <v>101.8442</v>
      </c>
      <c r="G778" s="20">
        <v>101.58750000000001</v>
      </c>
      <c r="H778" s="27">
        <v>101.521</v>
      </c>
      <c r="I778" s="360"/>
      <c r="J778" s="20"/>
      <c r="K778" s="20"/>
      <c r="L778" s="20"/>
      <c r="M778" s="20"/>
      <c r="N778" s="20"/>
      <c r="O778" s="27"/>
      <c r="P778" s="500"/>
      <c r="Q778" s="500"/>
      <c r="Z778" s="511"/>
    </row>
    <row r="779" spans="2:26" ht="21.95" customHeight="1" x14ac:dyDescent="0.2">
      <c r="B779" s="26">
        <f t="shared" si="194"/>
        <v>6.5</v>
      </c>
      <c r="C779" s="20"/>
      <c r="D779" s="20"/>
      <c r="E779" s="20"/>
      <c r="F779" s="20">
        <v>102.3674</v>
      </c>
      <c r="G779" s="20">
        <v>102.11069999999999</v>
      </c>
      <c r="H779" s="27">
        <v>102.0442</v>
      </c>
      <c r="I779" s="360"/>
      <c r="J779" s="20"/>
      <c r="K779" s="20"/>
      <c r="L779" s="20"/>
      <c r="M779" s="20"/>
      <c r="N779" s="20"/>
      <c r="O779" s="27"/>
      <c r="P779" s="500"/>
      <c r="Q779" s="109"/>
      <c r="R779" s="109" t="s">
        <v>82</v>
      </c>
      <c r="S779" s="110"/>
      <c r="T779" s="110"/>
      <c r="U779" s="110"/>
      <c r="V779" s="110"/>
      <c r="W779" s="110"/>
      <c r="X779" s="109"/>
      <c r="Y779" s="109"/>
      <c r="Z779" s="111"/>
    </row>
    <row r="780" spans="2:26" ht="21.95" customHeight="1" x14ac:dyDescent="0.2">
      <c r="B780" s="26"/>
      <c r="C780" s="20"/>
      <c r="D780" s="20"/>
      <c r="E780" s="20"/>
      <c r="F780" s="20"/>
      <c r="G780" s="20"/>
      <c r="H780" s="27"/>
      <c r="I780" s="360"/>
      <c r="J780" s="20"/>
      <c r="K780" s="20"/>
      <c r="L780" s="20"/>
      <c r="M780" s="20"/>
      <c r="N780" s="20"/>
      <c r="O780" s="27"/>
      <c r="P780" s="500"/>
      <c r="Q780" s="500"/>
      <c r="R780" s="515"/>
      <c r="S780" s="116"/>
      <c r="T780" s="116"/>
      <c r="U780" s="118"/>
      <c r="V780" s="116" t="s">
        <v>206</v>
      </c>
      <c r="X780" s="44"/>
      <c r="Y780" s="44"/>
      <c r="Z780" s="384"/>
    </row>
    <row r="781" spans="2:26" ht="21.95" customHeight="1" x14ac:dyDescent="0.2">
      <c r="B781" s="26"/>
      <c r="C781" s="20"/>
      <c r="D781" s="20"/>
      <c r="E781" s="20"/>
      <c r="F781" s="20"/>
      <c r="G781" s="20"/>
      <c r="H781" s="27"/>
      <c r="I781" s="360"/>
      <c r="J781" s="20"/>
      <c r="K781" s="20"/>
      <c r="L781" s="20"/>
      <c r="M781" s="20"/>
      <c r="N781" s="20"/>
      <c r="O781" s="27"/>
      <c r="P781" s="500"/>
      <c r="Q781" s="500"/>
      <c r="R781" s="213" t="s">
        <v>93</v>
      </c>
      <c r="S781" s="114"/>
      <c r="T781" s="361"/>
      <c r="U781" s="361"/>
      <c r="V781" s="361">
        <v>-0.5</v>
      </c>
      <c r="X781" s="213"/>
      <c r="Y781" s="213"/>
      <c r="Z781" s="385"/>
    </row>
    <row r="782" spans="2:26" ht="21.95" customHeight="1" x14ac:dyDescent="0.2">
      <c r="B782" s="26"/>
      <c r="C782" s="20"/>
      <c r="D782" s="20"/>
      <c r="E782" s="20"/>
      <c r="F782" s="20"/>
      <c r="G782" s="20"/>
      <c r="H782" s="27"/>
      <c r="I782" s="371"/>
      <c r="J782" s="40"/>
      <c r="K782" s="40"/>
      <c r="L782" s="40"/>
      <c r="M782" s="40"/>
      <c r="N782" s="40"/>
      <c r="O782" s="142"/>
      <c r="P782" s="500"/>
      <c r="Q782" s="500"/>
      <c r="R782" s="213" t="s">
        <v>94</v>
      </c>
      <c r="S782" s="517"/>
      <c r="T782" s="361"/>
      <c r="U782" s="361"/>
      <c r="V782" s="361">
        <v>0</v>
      </c>
      <c r="X782" s="213"/>
      <c r="Y782" s="213"/>
      <c r="Z782" s="385"/>
    </row>
    <row r="783" spans="2:26" ht="21.95" customHeight="1" x14ac:dyDescent="0.2">
      <c r="B783" s="141"/>
      <c r="C783" s="40"/>
      <c r="D783" s="40"/>
      <c r="E783" s="40"/>
      <c r="F783" s="40"/>
      <c r="G783" s="40"/>
      <c r="H783" s="142"/>
      <c r="I783" s="371"/>
      <c r="J783" s="40"/>
      <c r="K783" s="40"/>
      <c r="L783" s="40"/>
      <c r="M783" s="40"/>
      <c r="N783" s="40"/>
      <c r="O783" s="142"/>
      <c r="P783" s="500"/>
      <c r="Q783" s="500"/>
      <c r="R783" s="213" t="s">
        <v>79</v>
      </c>
      <c r="S783" s="526"/>
      <c r="T783" s="361"/>
      <c r="U783" s="361"/>
      <c r="V783" s="361">
        <v>2.5000000000000001E-2</v>
      </c>
      <c r="X783" s="213"/>
      <c r="Y783" s="213"/>
      <c r="Z783" s="385"/>
    </row>
    <row r="784" spans="2:26" ht="21.95" customHeight="1" x14ac:dyDescent="0.2">
      <c r="B784" s="509"/>
      <c r="C784" s="500"/>
      <c r="D784" s="500"/>
      <c r="E784" s="500"/>
      <c r="F784" s="500"/>
      <c r="G784" s="500"/>
      <c r="H784" s="145"/>
      <c r="I784" s="369"/>
      <c r="J784" s="500"/>
      <c r="K784" s="500"/>
      <c r="L784" s="500"/>
      <c r="M784" s="500"/>
      <c r="N784" s="500"/>
      <c r="O784" s="527"/>
      <c r="P784" s="528"/>
      <c r="Q784" s="528"/>
      <c r="R784" s="213" t="s">
        <v>164</v>
      </c>
      <c r="S784" s="526"/>
      <c r="T784" s="361"/>
      <c r="U784" s="361"/>
      <c r="V784" s="361">
        <v>0.05</v>
      </c>
      <c r="X784" s="213"/>
      <c r="Y784" s="213"/>
      <c r="Z784" s="385"/>
    </row>
    <row r="785" spans="2:26" ht="21.95" customHeight="1" x14ac:dyDescent="0.25">
      <c r="B785" s="1133"/>
      <c r="C785" s="998"/>
      <c r="D785" s="998"/>
      <c r="E785" s="998"/>
      <c r="F785" s="998"/>
      <c r="G785" s="998"/>
      <c r="H785" s="999"/>
      <c r="I785" s="997"/>
      <c r="J785" s="998"/>
      <c r="K785" s="998"/>
      <c r="L785" s="998"/>
      <c r="M785" s="998"/>
      <c r="N785" s="998"/>
      <c r="O785" s="999"/>
      <c r="P785" s="528"/>
      <c r="Q785" s="528"/>
      <c r="R785" s="213" t="s">
        <v>102</v>
      </c>
      <c r="S785" s="526"/>
      <c r="T785" s="363"/>
      <c r="U785" s="363"/>
      <c r="V785" s="363">
        <v>7.4999999999999997E-2</v>
      </c>
      <c r="X785" s="213"/>
      <c r="Y785" s="213"/>
      <c r="Z785" s="386"/>
    </row>
    <row r="786" spans="2:26" ht="21.95" customHeight="1" x14ac:dyDescent="0.2">
      <c r="B786" s="359"/>
      <c r="C786" s="353"/>
      <c r="D786" s="353"/>
      <c r="E786" s="353"/>
      <c r="F786" s="353"/>
      <c r="G786" s="353"/>
      <c r="H786" s="354"/>
      <c r="I786" s="359"/>
      <c r="J786" s="353"/>
      <c r="K786" s="353"/>
      <c r="L786" s="353"/>
      <c r="M786" s="353"/>
      <c r="N786" s="353"/>
      <c r="O786" s="367"/>
      <c r="P786" s="528"/>
      <c r="Q786" s="528"/>
      <c r="R786" s="213" t="s">
        <v>482</v>
      </c>
      <c r="S786" s="517"/>
      <c r="T786" s="363"/>
      <c r="U786" s="363"/>
      <c r="V786" s="363">
        <v>0.1</v>
      </c>
      <c r="X786" s="213"/>
      <c r="Y786" s="213"/>
      <c r="Z786" s="386"/>
    </row>
    <row r="787" spans="2:26" ht="21.95" customHeight="1" x14ac:dyDescent="0.2">
      <c r="B787" s="387"/>
      <c r="C787" s="20"/>
      <c r="D787" s="20"/>
      <c r="E787" s="20"/>
      <c r="F787" s="20"/>
      <c r="G787" s="20"/>
      <c r="H787" s="27"/>
      <c r="I787" s="49"/>
      <c r="J787" s="20"/>
      <c r="K787" s="20"/>
      <c r="L787" s="20"/>
      <c r="M787" s="20"/>
      <c r="N787" s="20"/>
      <c r="O787" s="27"/>
      <c r="P787" s="500"/>
      <c r="Q787" s="500"/>
      <c r="R787" s="291" t="s">
        <v>483</v>
      </c>
      <c r="S787" s="529"/>
      <c r="T787" s="378"/>
      <c r="U787" s="378"/>
      <c r="V787" s="378">
        <v>0</v>
      </c>
      <c r="X787" s="213"/>
      <c r="Y787" s="213"/>
      <c r="Z787" s="386"/>
    </row>
    <row r="788" spans="2:26" ht="21.95" customHeight="1" x14ac:dyDescent="0.2">
      <c r="B788" s="26"/>
      <c r="C788" s="20"/>
      <c r="D788" s="20"/>
      <c r="E788" s="20"/>
      <c r="F788" s="20"/>
      <c r="G788" s="20"/>
      <c r="H788" s="27"/>
      <c r="I788" s="49"/>
      <c r="J788" s="20"/>
      <c r="K788" s="20"/>
      <c r="L788" s="20"/>
      <c r="M788" s="20"/>
      <c r="N788" s="20"/>
      <c r="O788" s="27"/>
      <c r="P788" s="500"/>
      <c r="Q788" s="500"/>
      <c r="R788" s="291" t="s">
        <v>435</v>
      </c>
      <c r="S788" s="529"/>
      <c r="T788" s="378"/>
      <c r="U788" s="378"/>
      <c r="V788" s="378">
        <v>-0.5</v>
      </c>
      <c r="X788" s="4"/>
      <c r="Y788" s="517"/>
      <c r="Z788" s="388"/>
    </row>
    <row r="789" spans="2:26" ht="21.95" customHeight="1" x14ac:dyDescent="0.2">
      <c r="B789" s="26"/>
      <c r="C789" s="20"/>
      <c r="D789" s="20"/>
      <c r="E789" s="20"/>
      <c r="F789" s="20"/>
      <c r="G789" s="20"/>
      <c r="H789" s="27"/>
      <c r="I789" s="49"/>
      <c r="J789" s="20"/>
      <c r="K789" s="20"/>
      <c r="L789" s="20"/>
      <c r="M789" s="20"/>
      <c r="N789" s="20"/>
      <c r="O789" s="27"/>
      <c r="P789" s="500"/>
      <c r="Q789" s="500"/>
      <c r="R789" s="291" t="s">
        <v>484</v>
      </c>
      <c r="S789" s="529"/>
      <c r="T789" s="378"/>
      <c r="U789" s="378"/>
      <c r="V789" s="378">
        <v>-1.5</v>
      </c>
      <c r="X789" s="122"/>
      <c r="Y789" s="122"/>
      <c r="Z789" s="124"/>
    </row>
    <row r="790" spans="2:26" ht="21.95" customHeight="1" x14ac:dyDescent="0.2">
      <c r="B790" s="26"/>
      <c r="C790" s="20"/>
      <c r="D790" s="20"/>
      <c r="E790" s="20"/>
      <c r="F790" s="20"/>
      <c r="G790" s="20"/>
      <c r="H790" s="27"/>
      <c r="I790" s="49"/>
      <c r="J790" s="20"/>
      <c r="K790" s="20"/>
      <c r="L790" s="20"/>
      <c r="M790" s="20"/>
      <c r="N790" s="20"/>
      <c r="O790" s="27"/>
      <c r="P790" s="500"/>
      <c r="Q790" s="109"/>
      <c r="R790" s="109" t="s">
        <v>28</v>
      </c>
      <c r="S790" s="110"/>
      <c r="T790" s="110"/>
      <c r="U790" s="110"/>
      <c r="V790" s="110"/>
      <c r="W790" s="110"/>
      <c r="X790" s="109"/>
      <c r="Y790" s="109"/>
      <c r="Z790" s="111"/>
    </row>
    <row r="791" spans="2:26" ht="21.95" customHeight="1" x14ac:dyDescent="0.2">
      <c r="B791" s="26"/>
      <c r="C791" s="20"/>
      <c r="D791" s="20"/>
      <c r="E791" s="20"/>
      <c r="F791" s="20"/>
      <c r="G791" s="20"/>
      <c r="H791" s="27"/>
      <c r="I791" s="49"/>
      <c r="J791" s="20"/>
      <c r="K791" s="20"/>
      <c r="L791" s="20"/>
      <c r="M791" s="20"/>
      <c r="N791" s="20"/>
      <c r="O791" s="27"/>
      <c r="P791" s="500"/>
      <c r="Q791" s="500"/>
      <c r="R791" s="114" t="s">
        <v>8</v>
      </c>
      <c r="S791" s="114"/>
      <c r="T791" s="114"/>
      <c r="U791" s="114"/>
      <c r="V791" s="65">
        <v>0</v>
      </c>
      <c r="X791" s="114"/>
      <c r="Y791" s="114"/>
      <c r="Z791" s="389"/>
    </row>
    <row r="792" spans="2:26" ht="21.95" customHeight="1" x14ac:dyDescent="0.2">
      <c r="B792" s="26"/>
      <c r="C792" s="20"/>
      <c r="D792" s="20"/>
      <c r="E792" s="20"/>
      <c r="F792" s="20"/>
      <c r="G792" s="20"/>
      <c r="H792" s="27"/>
      <c r="I792" s="49"/>
      <c r="J792" s="20"/>
      <c r="K792" s="20"/>
      <c r="L792" s="20"/>
      <c r="M792" s="20"/>
      <c r="N792" s="20"/>
      <c r="O792" s="27"/>
      <c r="P792" s="500"/>
      <c r="Q792" s="500"/>
      <c r="R792" s="114" t="s">
        <v>9</v>
      </c>
      <c r="S792" s="114"/>
      <c r="T792" s="114"/>
      <c r="U792" s="114"/>
      <c r="V792" s="65">
        <v>-2</v>
      </c>
      <c r="X792" s="114"/>
      <c r="Y792" s="114"/>
      <c r="Z792" s="389"/>
    </row>
    <row r="793" spans="2:26" ht="21.95" customHeight="1" x14ac:dyDescent="0.2">
      <c r="B793" s="26"/>
      <c r="C793" s="20"/>
      <c r="D793" s="20"/>
      <c r="E793" s="20"/>
      <c r="F793" s="20"/>
      <c r="G793" s="20"/>
      <c r="H793" s="27"/>
      <c r="I793" s="49"/>
      <c r="J793" s="20"/>
      <c r="K793" s="20"/>
      <c r="L793" s="20"/>
      <c r="M793" s="20"/>
      <c r="N793" s="20"/>
      <c r="O793" s="27"/>
      <c r="P793" s="500"/>
      <c r="Q793" s="500"/>
      <c r="R793" s="114" t="s">
        <v>92</v>
      </c>
      <c r="S793" s="114"/>
      <c r="T793" s="114"/>
      <c r="U793" s="114"/>
      <c r="V793" s="65">
        <v>-0.25</v>
      </c>
      <c r="X793" s="114"/>
      <c r="Y793" s="114"/>
      <c r="Z793" s="389"/>
    </row>
    <row r="794" spans="2:26" ht="21.95" customHeight="1" x14ac:dyDescent="0.2">
      <c r="B794" s="26"/>
      <c r="C794" s="20"/>
      <c r="D794" s="20"/>
      <c r="E794" s="20"/>
      <c r="F794" s="20"/>
      <c r="G794" s="20"/>
      <c r="H794" s="27"/>
      <c r="I794" s="49"/>
      <c r="J794" s="20"/>
      <c r="K794" s="20"/>
      <c r="L794" s="20"/>
      <c r="M794" s="20"/>
      <c r="N794" s="20"/>
      <c r="O794" s="27"/>
      <c r="P794" s="500"/>
      <c r="Q794" s="500"/>
      <c r="R794" s="530" t="s">
        <v>533</v>
      </c>
      <c r="S794" s="530"/>
      <c r="T794" s="530"/>
      <c r="U794" s="530"/>
      <c r="V794" s="65" t="s">
        <v>77</v>
      </c>
      <c r="X794" s="114"/>
      <c r="Y794" s="114"/>
      <c r="Z794" s="389"/>
    </row>
    <row r="795" spans="2:26" ht="21.95" customHeight="1" x14ac:dyDescent="0.2">
      <c r="B795" s="26"/>
      <c r="C795" s="20"/>
      <c r="D795" s="20"/>
      <c r="E795" s="20"/>
      <c r="F795" s="20"/>
      <c r="G795" s="20"/>
      <c r="H795" s="27"/>
      <c r="I795" s="49"/>
      <c r="J795" s="20"/>
      <c r="K795" s="20"/>
      <c r="L795" s="20"/>
      <c r="M795" s="20"/>
      <c r="N795" s="20"/>
      <c r="O795" s="27"/>
      <c r="P795" s="500"/>
      <c r="Q795" s="500"/>
      <c r="R795" s="114" t="s">
        <v>27</v>
      </c>
      <c r="S795" s="114" t="s">
        <v>29</v>
      </c>
      <c r="T795" s="114" t="s">
        <v>105</v>
      </c>
      <c r="U795" s="114"/>
      <c r="V795" s="65" t="s">
        <v>77</v>
      </c>
      <c r="X795" s="114"/>
      <c r="Y795" s="114"/>
      <c r="Z795" s="389"/>
    </row>
    <row r="796" spans="2:26" ht="21.95" customHeight="1" x14ac:dyDescent="0.2">
      <c r="B796" s="26"/>
      <c r="C796" s="20"/>
      <c r="D796" s="20"/>
      <c r="E796" s="20"/>
      <c r="F796" s="20"/>
      <c r="G796" s="20"/>
      <c r="H796" s="27"/>
      <c r="I796" s="49"/>
      <c r="J796" s="20"/>
      <c r="K796" s="20"/>
      <c r="L796" s="20"/>
      <c r="M796" s="20"/>
      <c r="N796" s="20"/>
      <c r="O796" s="27"/>
      <c r="P796" s="500"/>
      <c r="Q796" s="500"/>
      <c r="R796" s="114" t="s">
        <v>296</v>
      </c>
      <c r="S796" s="114"/>
      <c r="T796" s="114"/>
      <c r="U796" s="114"/>
      <c r="V796" s="65" t="s">
        <v>77</v>
      </c>
      <c r="X796" s="114"/>
      <c r="Y796" s="114"/>
      <c r="Z796" s="389"/>
    </row>
    <row r="797" spans="2:26" ht="21.95" customHeight="1" x14ac:dyDescent="0.2">
      <c r="B797" s="26"/>
      <c r="C797" s="20"/>
      <c r="D797" s="20"/>
      <c r="E797" s="20"/>
      <c r="F797" s="20"/>
      <c r="G797" s="20"/>
      <c r="H797" s="27"/>
      <c r="I797" s="49"/>
      <c r="J797" s="20"/>
      <c r="K797" s="20"/>
      <c r="L797" s="20"/>
      <c r="M797" s="20"/>
      <c r="N797" s="20"/>
      <c r="O797" s="27"/>
      <c r="P797" s="500"/>
      <c r="Q797" s="500"/>
      <c r="R797" s="114"/>
      <c r="S797" s="114"/>
      <c r="T797" s="114"/>
      <c r="U797" s="114"/>
      <c r="V797" s="65"/>
      <c r="X797" s="114"/>
      <c r="Y797" s="114"/>
      <c r="Z797" s="389"/>
    </row>
    <row r="798" spans="2:26" ht="21.95" customHeight="1" x14ac:dyDescent="0.2">
      <c r="B798" s="26"/>
      <c r="C798" s="20"/>
      <c r="D798" s="20"/>
      <c r="E798" s="20"/>
      <c r="F798" s="20"/>
      <c r="G798" s="20"/>
      <c r="H798" s="27"/>
      <c r="I798" s="49"/>
      <c r="J798" s="20"/>
      <c r="K798" s="20"/>
      <c r="L798" s="20"/>
      <c r="M798" s="20"/>
      <c r="N798" s="20"/>
      <c r="O798" s="27"/>
      <c r="P798" s="532"/>
      <c r="Q798" s="528"/>
      <c r="R798" s="114"/>
      <c r="S798" s="114"/>
      <c r="T798" s="114"/>
      <c r="U798" s="114"/>
      <c r="V798" s="81"/>
      <c r="X798" s="122"/>
      <c r="Y798" s="122"/>
      <c r="Z798" s="124"/>
    </row>
    <row r="799" spans="2:26" ht="21.95" customHeight="1" x14ac:dyDescent="0.2">
      <c r="B799" s="26"/>
      <c r="C799" s="20"/>
      <c r="D799" s="20"/>
      <c r="E799" s="20"/>
      <c r="F799" s="20"/>
      <c r="G799" s="20"/>
      <c r="H799" s="27"/>
      <c r="I799" s="49"/>
      <c r="J799" s="20"/>
      <c r="K799" s="20"/>
      <c r="L799" s="20"/>
      <c r="M799" s="20"/>
      <c r="N799" s="20"/>
      <c r="O799" s="20"/>
      <c r="P799" s="532"/>
      <c r="Q799" s="109"/>
      <c r="R799" s="109" t="str">
        <f t="shared" ref="R799:R808" si="198">R196</f>
        <v>VA FICO Adjustments</v>
      </c>
      <c r="S799" s="110"/>
      <c r="T799" s="110"/>
      <c r="U799" s="110"/>
      <c r="V799" s="110"/>
      <c r="W799" s="110"/>
      <c r="X799" s="109"/>
      <c r="Y799" s="109"/>
      <c r="Z799" s="111"/>
    </row>
    <row r="800" spans="2:26" ht="21.95" customHeight="1" x14ac:dyDescent="0.2">
      <c r="B800" s="26"/>
      <c r="C800" s="20"/>
      <c r="D800" s="20"/>
      <c r="E800" s="20"/>
      <c r="F800" s="20"/>
      <c r="G800" s="20"/>
      <c r="H800" s="27"/>
      <c r="I800" s="49"/>
      <c r="J800" s="20"/>
      <c r="K800" s="20"/>
      <c r="L800" s="20"/>
      <c r="M800" s="20"/>
      <c r="N800" s="20"/>
      <c r="O800" s="20"/>
      <c r="P800" s="532"/>
      <c r="Q800" s="528"/>
      <c r="R800" s="114" t="str">
        <f t="shared" si="198"/>
        <v>FICO</v>
      </c>
      <c r="S800" s="114" t="str">
        <f t="shared" ref="S800:S808" si="199">S197</f>
        <v>740+</v>
      </c>
      <c r="T800" s="114"/>
      <c r="U800" s="65"/>
      <c r="V800" s="65">
        <f t="shared" ref="V800:V808" si="200">V197</f>
        <v>0.15</v>
      </c>
      <c r="X800" s="114"/>
      <c r="Y800" s="114"/>
      <c r="Z800" s="389"/>
    </row>
    <row r="801" spans="2:26" ht="21.95" customHeight="1" x14ac:dyDescent="0.2">
      <c r="B801" s="26"/>
      <c r="C801" s="20"/>
      <c r="D801" s="20"/>
      <c r="E801" s="20"/>
      <c r="F801" s="20"/>
      <c r="G801" s="20"/>
      <c r="H801" s="27"/>
      <c r="I801" s="49"/>
      <c r="J801" s="20"/>
      <c r="K801" s="20"/>
      <c r="L801" s="20"/>
      <c r="M801" s="20"/>
      <c r="N801" s="20"/>
      <c r="O801" s="20"/>
      <c r="P801" s="532"/>
      <c r="Q801" s="528"/>
      <c r="R801" s="114" t="str">
        <f t="shared" si="198"/>
        <v>FICO</v>
      </c>
      <c r="S801" s="114" t="str">
        <f t="shared" si="199"/>
        <v>739 - 720</v>
      </c>
      <c r="T801" s="114"/>
      <c r="U801" s="65"/>
      <c r="V801" s="65">
        <f t="shared" si="200"/>
        <v>7.4999999999999997E-2</v>
      </c>
      <c r="X801" s="114"/>
      <c r="Y801" s="114"/>
      <c r="Z801" s="389"/>
    </row>
    <row r="802" spans="2:26" ht="21.95" customHeight="1" x14ac:dyDescent="0.2">
      <c r="B802" s="26"/>
      <c r="C802" s="20"/>
      <c r="D802" s="20"/>
      <c r="E802" s="20"/>
      <c r="F802" s="20"/>
      <c r="G802" s="20"/>
      <c r="H802" s="27"/>
      <c r="I802" s="49"/>
      <c r="J802" s="20"/>
      <c r="K802" s="20"/>
      <c r="L802" s="20"/>
      <c r="M802" s="20"/>
      <c r="N802" s="20"/>
      <c r="O802" s="20"/>
      <c r="P802" s="532"/>
      <c r="Q802" s="528"/>
      <c r="R802" s="114" t="str">
        <f t="shared" si="198"/>
        <v>FICO</v>
      </c>
      <c r="S802" s="114" t="str">
        <f t="shared" si="199"/>
        <v>719 - 700</v>
      </c>
      <c r="T802" s="114"/>
      <c r="U802" s="65"/>
      <c r="V802" s="65">
        <f t="shared" si="200"/>
        <v>7.4999999999999997E-2</v>
      </c>
      <c r="X802" s="114"/>
      <c r="Y802" s="114"/>
      <c r="Z802" s="389"/>
    </row>
    <row r="803" spans="2:26" ht="21.95" customHeight="1" x14ac:dyDescent="0.2">
      <c r="B803" s="26"/>
      <c r="C803" s="20"/>
      <c r="D803" s="20"/>
      <c r="E803" s="20"/>
      <c r="F803" s="20"/>
      <c r="G803" s="20"/>
      <c r="H803" s="27"/>
      <c r="I803" s="49"/>
      <c r="J803" s="20"/>
      <c r="K803" s="20"/>
      <c r="L803" s="20"/>
      <c r="M803" s="20"/>
      <c r="N803" s="20"/>
      <c r="O803" s="20"/>
      <c r="P803" s="533"/>
      <c r="Q803" s="500"/>
      <c r="R803" s="114" t="str">
        <f t="shared" si="198"/>
        <v>FICO</v>
      </c>
      <c r="S803" s="114" t="str">
        <f t="shared" si="199"/>
        <v>699-680</v>
      </c>
      <c r="T803" s="114"/>
      <c r="U803" s="65"/>
      <c r="V803" s="65">
        <f t="shared" si="200"/>
        <v>0</v>
      </c>
      <c r="X803" s="114"/>
      <c r="Y803" s="114"/>
      <c r="Z803" s="389"/>
    </row>
    <row r="804" spans="2:26" ht="21.95" customHeight="1" x14ac:dyDescent="0.25">
      <c r="B804" s="953" t="s">
        <v>25</v>
      </c>
      <c r="C804" s="954"/>
      <c r="D804" s="954"/>
      <c r="E804" s="954"/>
      <c r="F804" s="954"/>
      <c r="G804" s="954"/>
      <c r="H804" s="1026"/>
      <c r="I804" s="1027"/>
      <c r="J804" s="954"/>
      <c r="K804" s="954"/>
      <c r="L804" s="954"/>
      <c r="M804" s="954"/>
      <c r="N804" s="954"/>
      <c r="O804" s="1026"/>
      <c r="P804" s="146"/>
      <c r="Q804" s="374"/>
      <c r="R804" s="114" t="str">
        <f t="shared" si="198"/>
        <v>FICO</v>
      </c>
      <c r="S804" s="114" t="str">
        <f t="shared" si="199"/>
        <v>679-660</v>
      </c>
      <c r="T804" s="114"/>
      <c r="U804" s="65"/>
      <c r="V804" s="65">
        <f t="shared" si="200"/>
        <v>0</v>
      </c>
      <c r="X804" s="114"/>
      <c r="Y804" s="114"/>
      <c r="Z804" s="389"/>
    </row>
    <row r="805" spans="2:26" ht="21.95" customHeight="1" x14ac:dyDescent="0.25">
      <c r="B805" s="359" t="s">
        <v>4</v>
      </c>
      <c r="C805" s="353"/>
      <c r="D805" s="353"/>
      <c r="E805" s="353"/>
      <c r="F805" s="353" t="s">
        <v>75</v>
      </c>
      <c r="G805" s="353" t="s">
        <v>302</v>
      </c>
      <c r="H805" s="367" t="s">
        <v>303</v>
      </c>
      <c r="I805" s="372"/>
      <c r="J805" s="353"/>
      <c r="K805" s="353"/>
      <c r="L805" s="353"/>
      <c r="M805" s="353"/>
      <c r="N805" s="353"/>
      <c r="O805" s="367"/>
      <c r="P805" s="146"/>
      <c r="Q805" s="374"/>
      <c r="R805" s="114" t="str">
        <f t="shared" si="198"/>
        <v>FICO</v>
      </c>
      <c r="S805" s="114" t="str">
        <f t="shared" si="199"/>
        <v>659-640</v>
      </c>
      <c r="T805" s="114"/>
      <c r="U805" s="65"/>
      <c r="V805" s="65">
        <f t="shared" si="200"/>
        <v>-0.15</v>
      </c>
      <c r="X805" s="84"/>
      <c r="Y805" s="114"/>
      <c r="Z805" s="389"/>
    </row>
    <row r="806" spans="2:26" ht="21.95" customHeight="1" x14ac:dyDescent="0.2">
      <c r="B806" s="26">
        <f t="shared" ref="B806:B815" si="201">B725</f>
        <v>5</v>
      </c>
      <c r="C806" s="20"/>
      <c r="D806" s="20"/>
      <c r="E806" s="20"/>
      <c r="F806" s="20">
        <f t="shared" ref="F806:H815" si="202">F725-0.25</f>
        <v>95.43</v>
      </c>
      <c r="G806" s="20">
        <f t="shared" si="202"/>
        <v>95.213999999999999</v>
      </c>
      <c r="H806" s="27">
        <f t="shared" si="202"/>
        <v>95.029499999999999</v>
      </c>
      <c r="I806" s="49"/>
      <c r="J806" s="20"/>
      <c r="K806" s="20"/>
      <c r="L806" s="20"/>
      <c r="M806" s="20"/>
      <c r="N806" s="20"/>
      <c r="O806" s="20"/>
      <c r="P806" s="532"/>
      <c r="Q806" s="528"/>
      <c r="R806" s="114" t="str">
        <f t="shared" si="198"/>
        <v>FICO</v>
      </c>
      <c r="S806" s="114" t="str">
        <f t="shared" si="199"/>
        <v>639-620</v>
      </c>
      <c r="T806" s="114"/>
      <c r="U806" s="65"/>
      <c r="V806" s="65">
        <f t="shared" si="200"/>
        <v>-1.25</v>
      </c>
      <c r="X806" s="114"/>
      <c r="Y806" s="114"/>
      <c r="Z806" s="389"/>
    </row>
    <row r="807" spans="2:26" ht="21.95" customHeight="1" x14ac:dyDescent="0.2">
      <c r="B807" s="26">
        <f t="shared" si="201"/>
        <v>5.125</v>
      </c>
      <c r="C807" s="20"/>
      <c r="D807" s="20"/>
      <c r="E807" s="20"/>
      <c r="F807" s="20">
        <f t="shared" si="202"/>
        <v>95.991699999999994</v>
      </c>
      <c r="G807" s="20">
        <f t="shared" si="202"/>
        <v>95.775800000000004</v>
      </c>
      <c r="H807" s="27">
        <f t="shared" si="202"/>
        <v>95.591200000000001</v>
      </c>
      <c r="I807" s="49"/>
      <c r="J807" s="20"/>
      <c r="K807" s="20"/>
      <c r="L807" s="20"/>
      <c r="M807" s="20"/>
      <c r="N807" s="20"/>
      <c r="O807" s="20"/>
      <c r="P807" s="532"/>
      <c r="Q807" s="528"/>
      <c r="R807" s="114" t="str">
        <f t="shared" si="198"/>
        <v>FICO</v>
      </c>
      <c r="S807" s="114" t="str">
        <f t="shared" si="199"/>
        <v>600-619</v>
      </c>
      <c r="T807" s="114"/>
      <c r="U807" s="65"/>
      <c r="V807" s="65">
        <f t="shared" si="200"/>
        <v>-1.75</v>
      </c>
      <c r="X807" s="114"/>
      <c r="Y807" s="114"/>
      <c r="Z807" s="389"/>
    </row>
    <row r="808" spans="2:26" ht="21.95" customHeight="1" x14ac:dyDescent="0.2">
      <c r="B808" s="26">
        <f t="shared" si="201"/>
        <v>5.25</v>
      </c>
      <c r="C808" s="20"/>
      <c r="D808" s="20"/>
      <c r="E808" s="20"/>
      <c r="F808" s="20">
        <f t="shared" si="202"/>
        <v>97.037000000000006</v>
      </c>
      <c r="G808" s="20">
        <f t="shared" si="202"/>
        <v>96.821000000000012</v>
      </c>
      <c r="H808" s="27">
        <f t="shared" si="202"/>
        <v>96.654600000000002</v>
      </c>
      <c r="I808" s="49"/>
      <c r="J808" s="20"/>
      <c r="K808" s="20"/>
      <c r="L808" s="20"/>
      <c r="M808" s="20"/>
      <c r="N808" s="20"/>
      <c r="O808" s="20"/>
      <c r="P808" s="532"/>
      <c r="Q808" s="528"/>
      <c r="R808" s="114" t="str">
        <f t="shared" si="198"/>
        <v>FICO</v>
      </c>
      <c r="S808" s="114" t="str">
        <f t="shared" si="199"/>
        <v>580-599</v>
      </c>
      <c r="T808" s="114"/>
      <c r="U808" s="65"/>
      <c r="V808" s="65">
        <f t="shared" si="200"/>
        <v>-2</v>
      </c>
      <c r="X808" s="114"/>
      <c r="Y808" s="114"/>
      <c r="Z808" s="389"/>
    </row>
    <row r="809" spans="2:26" ht="21.95" customHeight="1" x14ac:dyDescent="0.2">
      <c r="B809" s="26">
        <f t="shared" si="201"/>
        <v>5.375</v>
      </c>
      <c r="C809" s="20"/>
      <c r="D809" s="20"/>
      <c r="E809" s="20"/>
      <c r="F809" s="20">
        <f t="shared" si="202"/>
        <v>97.733000000000004</v>
      </c>
      <c r="G809" s="20">
        <f t="shared" si="202"/>
        <v>97.51700000000001</v>
      </c>
      <c r="H809" s="27">
        <f t="shared" si="202"/>
        <v>97.350500000000011</v>
      </c>
      <c r="I809" s="49"/>
      <c r="J809" s="20"/>
      <c r="K809" s="20"/>
      <c r="L809" s="20"/>
      <c r="M809" s="20"/>
      <c r="N809" s="20"/>
      <c r="O809" s="20"/>
      <c r="P809" s="532"/>
      <c r="Q809" s="528"/>
      <c r="R809" s="4"/>
      <c r="S809" s="147"/>
      <c r="T809" s="147"/>
      <c r="U809" s="147"/>
      <c r="V809" s="379"/>
      <c r="X809" s="114"/>
      <c r="Y809" s="114"/>
      <c r="Z809" s="389"/>
    </row>
    <row r="810" spans="2:26" ht="21.95" customHeight="1" x14ac:dyDescent="0.2">
      <c r="B810" s="26">
        <f t="shared" si="201"/>
        <v>5.5</v>
      </c>
      <c r="C810" s="20"/>
      <c r="D810" s="20"/>
      <c r="E810" s="20"/>
      <c r="F810" s="20">
        <f t="shared" si="202"/>
        <v>98.474100000000007</v>
      </c>
      <c r="G810" s="20">
        <f t="shared" si="202"/>
        <v>98.258099999999999</v>
      </c>
      <c r="H810" s="27">
        <f t="shared" si="202"/>
        <v>98.091700000000003</v>
      </c>
      <c r="I810" s="49"/>
      <c r="J810" s="20"/>
      <c r="K810" s="20"/>
      <c r="L810" s="20"/>
      <c r="M810" s="20"/>
      <c r="N810" s="20"/>
      <c r="O810" s="20"/>
      <c r="P810" s="532"/>
      <c r="Q810" s="534"/>
      <c r="R810" s="109"/>
      <c r="S810" s="110"/>
      <c r="T810" s="110"/>
      <c r="U810" s="110"/>
      <c r="V810" s="110"/>
      <c r="W810" s="516"/>
      <c r="X810" s="109"/>
      <c r="Y810" s="109"/>
      <c r="Z810" s="111"/>
    </row>
    <row r="811" spans="2:26" ht="21.95" customHeight="1" x14ac:dyDescent="0.2">
      <c r="B811" s="26">
        <f t="shared" si="201"/>
        <v>5.625</v>
      </c>
      <c r="C811" s="20"/>
      <c r="D811" s="20"/>
      <c r="E811" s="20"/>
      <c r="F811" s="20">
        <f t="shared" si="202"/>
        <v>98.898799999999994</v>
      </c>
      <c r="G811" s="20">
        <f t="shared" si="202"/>
        <v>98.6828</v>
      </c>
      <c r="H811" s="27">
        <f t="shared" si="202"/>
        <v>98.516300000000001</v>
      </c>
      <c r="I811" s="49"/>
      <c r="J811" s="20"/>
      <c r="K811" s="20"/>
      <c r="L811" s="20"/>
      <c r="M811" s="20"/>
      <c r="N811" s="20"/>
      <c r="O811" s="20"/>
      <c r="P811" s="532"/>
      <c r="Q811" s="528"/>
      <c r="R811" s="114"/>
      <c r="S811" s="114"/>
      <c r="T811" s="114"/>
      <c r="U811" s="114"/>
      <c r="V811" s="65"/>
      <c r="X811" s="114"/>
      <c r="Y811" s="114"/>
      <c r="Z811" s="389"/>
    </row>
    <row r="812" spans="2:26" ht="21.95" customHeight="1" x14ac:dyDescent="0.2">
      <c r="B812" s="26">
        <f t="shared" si="201"/>
        <v>5.75</v>
      </c>
      <c r="C812" s="20"/>
      <c r="D812" s="20"/>
      <c r="E812" s="20"/>
      <c r="F812" s="20">
        <f t="shared" si="202"/>
        <v>98.855699999999999</v>
      </c>
      <c r="G812" s="20">
        <f t="shared" si="202"/>
        <v>98.622200000000007</v>
      </c>
      <c r="H812" s="27">
        <f t="shared" si="202"/>
        <v>98.4495</v>
      </c>
      <c r="I812" s="49"/>
      <c r="J812" s="20"/>
      <c r="K812" s="20"/>
      <c r="L812" s="20"/>
      <c r="M812" s="20"/>
      <c r="N812" s="20"/>
      <c r="O812" s="20"/>
      <c r="P812" s="532"/>
      <c r="Q812" s="528"/>
      <c r="R812" s="114"/>
      <c r="S812" s="114"/>
      <c r="T812" s="114"/>
      <c r="U812" s="114"/>
      <c r="V812" s="65"/>
      <c r="X812" s="114"/>
      <c r="Y812" s="114"/>
      <c r="Z812" s="389"/>
    </row>
    <row r="813" spans="2:26" ht="21.95" customHeight="1" x14ac:dyDescent="0.2">
      <c r="B813" s="26">
        <f t="shared" si="201"/>
        <v>5.875</v>
      </c>
      <c r="C813" s="20"/>
      <c r="D813" s="20"/>
      <c r="E813" s="20"/>
      <c r="F813" s="20">
        <f t="shared" si="202"/>
        <v>99.550700000000006</v>
      </c>
      <c r="G813" s="20">
        <f t="shared" si="202"/>
        <v>99.3172</v>
      </c>
      <c r="H813" s="27">
        <f t="shared" si="202"/>
        <v>99.144500000000008</v>
      </c>
      <c r="I813" s="49"/>
      <c r="J813" s="20"/>
      <c r="K813" s="20"/>
      <c r="L813" s="20"/>
      <c r="M813" s="20"/>
      <c r="N813" s="20"/>
      <c r="O813" s="20"/>
      <c r="P813" s="532"/>
      <c r="Q813" s="528"/>
      <c r="R813" s="114"/>
      <c r="S813" s="114"/>
      <c r="T813" s="114"/>
      <c r="U813" s="114"/>
      <c r="V813" s="65"/>
      <c r="X813" s="114"/>
      <c r="Y813" s="114"/>
      <c r="Z813" s="389"/>
    </row>
    <row r="814" spans="2:26" ht="21.95" customHeight="1" x14ac:dyDescent="0.2">
      <c r="B814" s="26">
        <f t="shared" si="201"/>
        <v>6</v>
      </c>
      <c r="C814" s="20"/>
      <c r="D814" s="20"/>
      <c r="E814" s="20"/>
      <c r="F814" s="20">
        <f t="shared" si="202"/>
        <v>100.2216</v>
      </c>
      <c r="G814" s="20">
        <f t="shared" si="202"/>
        <v>99.988100000000003</v>
      </c>
      <c r="H814" s="27">
        <f t="shared" si="202"/>
        <v>99.815400000000011</v>
      </c>
      <c r="I814" s="49"/>
      <c r="J814" s="20"/>
      <c r="K814" s="20"/>
      <c r="L814" s="20"/>
      <c r="M814" s="20"/>
      <c r="N814" s="20"/>
      <c r="O814" s="20"/>
      <c r="P814" s="532"/>
      <c r="Q814" s="528"/>
      <c r="R814" s="114"/>
      <c r="S814" s="114"/>
      <c r="T814" s="114"/>
      <c r="U814" s="114"/>
      <c r="V814" s="65"/>
      <c r="X814" s="114"/>
      <c r="Y814" s="114"/>
      <c r="Z814" s="389"/>
    </row>
    <row r="815" spans="2:26" ht="21.95" customHeight="1" x14ac:dyDescent="0.2">
      <c r="B815" s="26">
        <f t="shared" si="201"/>
        <v>6.125</v>
      </c>
      <c r="C815" s="20"/>
      <c r="D815" s="20"/>
      <c r="E815" s="20"/>
      <c r="F815" s="20">
        <f t="shared" si="202"/>
        <v>100.6061</v>
      </c>
      <c r="G815" s="20">
        <f t="shared" si="202"/>
        <v>100.37270000000001</v>
      </c>
      <c r="H815" s="27">
        <f t="shared" si="202"/>
        <v>100.1999</v>
      </c>
      <c r="I815" s="49"/>
      <c r="J815" s="20"/>
      <c r="K815" s="20"/>
      <c r="L815" s="20"/>
      <c r="M815" s="20"/>
      <c r="N815" s="20"/>
      <c r="O815" s="20"/>
      <c r="P815" s="532"/>
      <c r="Q815" s="528"/>
      <c r="R815" s="114"/>
      <c r="S815" s="114"/>
      <c r="T815" s="114"/>
      <c r="U815" s="114"/>
      <c r="V815" s="65"/>
      <c r="X815" s="114"/>
      <c r="Y815" s="114"/>
      <c r="Z815" s="389"/>
    </row>
    <row r="816" spans="2:26" ht="21.95" customHeight="1" x14ac:dyDescent="0.2">
      <c r="B816" s="26"/>
      <c r="C816" s="20"/>
      <c r="D816" s="20"/>
      <c r="E816" s="20"/>
      <c r="F816" s="20"/>
      <c r="G816" s="20"/>
      <c r="H816" s="27"/>
      <c r="I816" s="49"/>
      <c r="J816" s="20"/>
      <c r="K816" s="20"/>
      <c r="L816" s="20"/>
      <c r="M816" s="20"/>
      <c r="N816" s="20"/>
      <c r="O816" s="20"/>
      <c r="P816" s="532"/>
      <c r="Q816" s="528"/>
      <c r="R816" s="4"/>
      <c r="S816" s="528"/>
      <c r="T816" s="528"/>
      <c r="U816" s="528"/>
      <c r="V816" s="380"/>
      <c r="X816" s="114"/>
      <c r="Y816" s="114"/>
      <c r="Z816" s="389"/>
    </row>
    <row r="817" spans="2:26" ht="21.95" customHeight="1" x14ac:dyDescent="0.2">
      <c r="B817" s="26"/>
      <c r="C817" s="20"/>
      <c r="D817" s="20"/>
      <c r="E817" s="20"/>
      <c r="F817" s="20"/>
      <c r="G817" s="20"/>
      <c r="H817" s="27"/>
      <c r="I817" s="49"/>
      <c r="J817" s="20"/>
      <c r="K817" s="20"/>
      <c r="L817" s="20"/>
      <c r="M817" s="20"/>
      <c r="N817" s="20"/>
      <c r="O817" s="20"/>
      <c r="P817" s="532"/>
      <c r="Q817" s="534"/>
      <c r="R817" s="109"/>
      <c r="S817" s="110"/>
      <c r="T817" s="110"/>
      <c r="U817" s="110"/>
      <c r="V817" s="381"/>
      <c r="W817" s="516"/>
      <c r="X817" s="128"/>
      <c r="Y817" s="128"/>
      <c r="Z817" s="390"/>
    </row>
    <row r="818" spans="2:26" ht="21.95" customHeight="1" x14ac:dyDescent="0.2">
      <c r="B818" s="26"/>
      <c r="C818" s="20"/>
      <c r="D818" s="20"/>
      <c r="E818" s="20"/>
      <c r="F818" s="20"/>
      <c r="G818" s="20"/>
      <c r="H818" s="27"/>
      <c r="I818" s="49"/>
      <c r="J818" s="20"/>
      <c r="K818" s="20"/>
      <c r="L818" s="20"/>
      <c r="M818" s="20"/>
      <c r="N818" s="20"/>
      <c r="O818" s="20"/>
      <c r="P818" s="532"/>
      <c r="Q818" s="528"/>
      <c r="R818" s="114"/>
      <c r="S818" s="114"/>
      <c r="T818" s="114"/>
      <c r="U818" s="114"/>
      <c r="V818" s="65"/>
      <c r="X818" s="114"/>
      <c r="Y818" s="114"/>
      <c r="Z818" s="389"/>
    </row>
    <row r="819" spans="2:26" ht="21.95" customHeight="1" x14ac:dyDescent="0.2">
      <c r="B819" s="26"/>
      <c r="C819" s="20"/>
      <c r="D819" s="20"/>
      <c r="E819" s="20"/>
      <c r="F819" s="20"/>
      <c r="G819" s="20"/>
      <c r="H819" s="27"/>
      <c r="I819" s="49"/>
      <c r="J819" s="20"/>
      <c r="K819" s="20"/>
      <c r="L819" s="20"/>
      <c r="M819" s="20"/>
      <c r="N819" s="20"/>
      <c r="O819" s="20"/>
      <c r="P819" s="532"/>
      <c r="Q819" s="528"/>
      <c r="R819" s="114"/>
      <c r="S819" s="114"/>
      <c r="T819" s="114"/>
      <c r="U819" s="114"/>
      <c r="V819" s="65"/>
      <c r="X819" s="114"/>
      <c r="Y819" s="114"/>
      <c r="Z819" s="389"/>
    </row>
    <row r="820" spans="2:26" ht="21.95" customHeight="1" x14ac:dyDescent="0.2">
      <c r="B820" s="26"/>
      <c r="C820" s="20"/>
      <c r="D820" s="20"/>
      <c r="E820" s="20"/>
      <c r="F820" s="20"/>
      <c r="G820" s="20"/>
      <c r="H820" s="27"/>
      <c r="I820" s="49"/>
      <c r="J820" s="20"/>
      <c r="K820" s="20"/>
      <c r="L820" s="20"/>
      <c r="M820" s="20"/>
      <c r="N820" s="20"/>
      <c r="O820" s="20"/>
      <c r="P820" s="532"/>
      <c r="Q820" s="528"/>
      <c r="R820" s="4"/>
      <c r="S820" s="528"/>
      <c r="T820" s="528"/>
      <c r="U820" s="528"/>
      <c r="V820" s="65"/>
      <c r="X820" s="114"/>
      <c r="Y820" s="114"/>
      <c r="Z820" s="389"/>
    </row>
    <row r="821" spans="2:26" ht="21.95" customHeight="1" x14ac:dyDescent="0.2">
      <c r="B821" s="26"/>
      <c r="C821" s="20"/>
      <c r="D821" s="20"/>
      <c r="E821" s="20"/>
      <c r="F821" s="20"/>
      <c r="G821" s="20"/>
      <c r="H821" s="27"/>
      <c r="I821" s="49"/>
      <c r="J821" s="20"/>
      <c r="K821" s="20"/>
      <c r="L821" s="20"/>
      <c r="M821" s="20"/>
      <c r="N821" s="20"/>
      <c r="O821" s="20"/>
      <c r="P821" s="532"/>
      <c r="Q821" s="528"/>
      <c r="R821" s="114"/>
      <c r="S821" s="127"/>
      <c r="T821" s="127"/>
      <c r="U821" s="127"/>
      <c r="V821" s="65"/>
      <c r="X821" s="114"/>
      <c r="Y821" s="114"/>
      <c r="Z821" s="389"/>
    </row>
    <row r="822" spans="2:26" ht="21.95" customHeight="1" x14ac:dyDescent="0.2">
      <c r="B822" s="141"/>
      <c r="C822" s="371"/>
      <c r="D822" s="371"/>
      <c r="E822" s="371"/>
      <c r="F822" s="371"/>
      <c r="G822" s="371"/>
      <c r="H822" s="373"/>
      <c r="I822" s="143"/>
      <c r="J822" s="40"/>
      <c r="K822" s="40"/>
      <c r="L822" s="40"/>
      <c r="M822" s="40"/>
      <c r="N822" s="40"/>
      <c r="O822" s="20"/>
      <c r="P822" s="532"/>
      <c r="Q822" s="528"/>
      <c r="R822" s="114"/>
      <c r="S822" s="127"/>
      <c r="T822" s="127"/>
      <c r="U822" s="127"/>
      <c r="V822" s="380"/>
      <c r="X822" s="114"/>
      <c r="Y822" s="114"/>
      <c r="Z822" s="389"/>
    </row>
    <row r="823" spans="2:26" ht="21.95" customHeight="1" x14ac:dyDescent="0.2">
      <c r="B823" s="141"/>
      <c r="C823" s="40"/>
      <c r="D823" s="40"/>
      <c r="E823" s="40"/>
      <c r="F823" s="40"/>
      <c r="G823" s="371"/>
      <c r="H823" s="142"/>
      <c r="I823" s="143"/>
      <c r="J823" s="40"/>
      <c r="K823" s="40"/>
      <c r="L823" s="40"/>
      <c r="M823" s="40"/>
      <c r="N823" s="40"/>
      <c r="O823" s="20"/>
      <c r="P823" s="532"/>
      <c r="Q823" s="528"/>
      <c r="R823" s="114"/>
      <c r="S823" s="127"/>
      <c r="T823" s="127"/>
      <c r="U823" s="127"/>
      <c r="V823" s="81"/>
      <c r="X823" s="114"/>
      <c r="Y823" s="114"/>
      <c r="Z823" s="389"/>
    </row>
    <row r="824" spans="2:26" ht="21.95" customHeight="1" x14ac:dyDescent="0.2">
      <c r="B824" s="141"/>
      <c r="C824" s="40"/>
      <c r="D824" s="40"/>
      <c r="E824" s="40"/>
      <c r="F824" s="40"/>
      <c r="G824" s="40"/>
      <c r="H824" s="142"/>
      <c r="I824" s="371"/>
      <c r="J824" s="40"/>
      <c r="K824" s="40"/>
      <c r="L824" s="40"/>
      <c r="M824" s="40"/>
      <c r="N824" s="40"/>
      <c r="O824" s="142"/>
      <c r="P824" s="534"/>
      <c r="Q824" s="534"/>
      <c r="R824" s="128"/>
      <c r="S824" s="129"/>
      <c r="T824" s="129"/>
      <c r="U824" s="129"/>
      <c r="V824" s="382"/>
      <c r="W824" s="516"/>
      <c r="X824" s="128"/>
      <c r="Y824" s="128"/>
      <c r="Z824" s="390"/>
    </row>
    <row r="825" spans="2:26" ht="21.95" customHeight="1" x14ac:dyDescent="0.2">
      <c r="B825" s="509"/>
      <c r="C825" s="500"/>
      <c r="D825" s="500"/>
      <c r="E825" s="500"/>
      <c r="F825" s="500"/>
      <c r="G825" s="500"/>
      <c r="H825" s="145"/>
      <c r="I825" s="369"/>
      <c r="J825" s="500"/>
      <c r="K825" s="500"/>
      <c r="L825" s="500"/>
      <c r="M825" s="500"/>
      <c r="N825" s="500"/>
      <c r="O825" s="527"/>
      <c r="P825" s="144"/>
      <c r="Q825" s="144"/>
      <c r="R825" s="144"/>
      <c r="S825" s="144"/>
      <c r="T825" s="144"/>
      <c r="U825" s="534"/>
      <c r="V825" s="128"/>
      <c r="W825" s="129"/>
      <c r="X825" s="129"/>
      <c r="Y825" s="129"/>
      <c r="Z825" s="130"/>
    </row>
    <row r="826" spans="2:26" s="44" customFormat="1" ht="21.95" customHeight="1" x14ac:dyDescent="0.2">
      <c r="B826" s="100" t="s">
        <v>295</v>
      </c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1021" t="s">
        <v>90</v>
      </c>
      <c r="W826" s="1021"/>
      <c r="X826" s="74"/>
      <c r="Y826" s="74"/>
      <c r="Z826" s="101"/>
    </row>
    <row r="827" spans="2:26" s="44" customFormat="1" ht="21.95" customHeight="1" x14ac:dyDescent="0.2">
      <c r="B827" s="131" t="s">
        <v>305</v>
      </c>
      <c r="C827" s="80"/>
      <c r="D827" s="80"/>
      <c r="E827" s="81">
        <v>-0.02</v>
      </c>
      <c r="F827" s="9"/>
      <c r="G827" s="9"/>
      <c r="H827" s="1022"/>
      <c r="I827" s="1022"/>
      <c r="J827" s="1022"/>
      <c r="K827" s="1022"/>
      <c r="L827" s="132"/>
      <c r="M827" s="133"/>
      <c r="N827" s="133"/>
      <c r="O827" s="133"/>
      <c r="P827" s="133"/>
      <c r="Q827" s="133"/>
      <c r="R827" s="133"/>
      <c r="S827" s="133"/>
      <c r="T827" s="133"/>
      <c r="U827" s="1136" t="s">
        <v>311</v>
      </c>
      <c r="V827" s="1136"/>
      <c r="W827" s="1136"/>
      <c r="X827" s="757">
        <v>1125</v>
      </c>
      <c r="Z827" s="134"/>
    </row>
    <row r="828" spans="2:26" s="44" customFormat="1" ht="21.95" customHeight="1" x14ac:dyDescent="0.2">
      <c r="B828" s="135" t="s">
        <v>306</v>
      </c>
      <c r="C828" s="80"/>
      <c r="D828" s="80"/>
      <c r="E828" s="81">
        <v>-0.02</v>
      </c>
      <c r="F828" s="85"/>
      <c r="G828" s="85"/>
      <c r="H828" s="85"/>
      <c r="I828" s="136"/>
      <c r="J828" s="114"/>
      <c r="K828" s="114"/>
      <c r="L828" s="84"/>
      <c r="M828" s="84"/>
      <c r="N828" s="84"/>
      <c r="O828" s="84"/>
      <c r="P828" s="84"/>
      <c r="Q828" s="84"/>
      <c r="R828" s="84"/>
      <c r="S828" s="84"/>
      <c r="T828" s="84"/>
      <c r="U828" s="1137" t="s">
        <v>313</v>
      </c>
      <c r="V828" s="1137"/>
      <c r="W828" s="1137"/>
      <c r="X828" s="758">
        <v>695</v>
      </c>
      <c r="Z828" s="115"/>
    </row>
    <row r="829" spans="2:26" s="44" customFormat="1" ht="21.95" customHeight="1" x14ac:dyDescent="0.2">
      <c r="B829" s="135" t="s">
        <v>307</v>
      </c>
      <c r="C829" s="80"/>
      <c r="D829" s="80"/>
      <c r="E829" s="81">
        <v>-0.04</v>
      </c>
      <c r="F829" s="85"/>
      <c r="G829" s="85"/>
      <c r="H829" s="85"/>
      <c r="I829" s="136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1175" t="s">
        <v>516</v>
      </c>
      <c r="V829" s="1175"/>
      <c r="W829" s="1175"/>
      <c r="X829" s="758">
        <v>795</v>
      </c>
      <c r="Z829" s="137"/>
    </row>
    <row r="830" spans="2:26" s="44" customFormat="1" ht="21.95" customHeight="1" x14ac:dyDescent="0.2">
      <c r="B830" s="135" t="s">
        <v>308</v>
      </c>
      <c r="C830" s="80"/>
      <c r="D830" s="80"/>
      <c r="E830" s="81">
        <v>-0.04</v>
      </c>
      <c r="F830" s="85"/>
      <c r="G830" s="85"/>
      <c r="H830" s="85"/>
      <c r="I830" s="136"/>
      <c r="J830" s="138"/>
      <c r="K830" s="138"/>
      <c r="L830" s="133"/>
      <c r="M830" s="133"/>
      <c r="N830" s="133"/>
      <c r="O830" s="133"/>
      <c r="P830" s="133"/>
      <c r="Q830" s="133"/>
      <c r="R830" s="133"/>
      <c r="S830" s="133"/>
      <c r="T830" s="133"/>
      <c r="U830" s="1020"/>
      <c r="V830" s="1020"/>
      <c r="W830" s="1020"/>
      <c r="X830" s="139"/>
      <c r="Y830" s="80"/>
      <c r="Z830" s="115"/>
    </row>
    <row r="831" spans="2:26" s="44" customFormat="1" ht="21.95" customHeight="1" x14ac:dyDescent="0.2">
      <c r="B831" s="135" t="s">
        <v>85</v>
      </c>
      <c r="C831" s="87"/>
      <c r="D831" s="87"/>
      <c r="E831" s="81">
        <v>-0.125</v>
      </c>
      <c r="F831" s="85"/>
      <c r="G831" s="85"/>
      <c r="H831" s="85"/>
      <c r="I831" s="136"/>
      <c r="J831" s="138"/>
      <c r="K831" s="138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80"/>
      <c r="X831" s="80"/>
      <c r="Y831" s="80"/>
      <c r="Z831" s="115"/>
    </row>
    <row r="832" spans="2:26" s="44" customFormat="1" ht="21.95" customHeight="1" thickBot="1" x14ac:dyDescent="0.25">
      <c r="B832" s="10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40"/>
    </row>
    <row r="833" spans="2:26" s="44" customFormat="1" ht="21.95" customHeight="1" x14ac:dyDescent="0.2">
      <c r="B833" s="90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711" t="s">
        <v>57</v>
      </c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91"/>
    </row>
    <row r="834" spans="2:26" s="44" customFormat="1" ht="21.95" customHeight="1" x14ac:dyDescent="0.2">
      <c r="B834" s="90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711" t="s">
        <v>58</v>
      </c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91"/>
    </row>
    <row r="835" spans="2:26" s="44" customFormat="1" ht="21.95" customHeight="1" x14ac:dyDescent="0.2">
      <c r="B835" s="90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712" t="s">
        <v>67</v>
      </c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91"/>
    </row>
    <row r="836" spans="2:26" s="44" customFormat="1" ht="21.95" customHeight="1" thickBot="1" x14ac:dyDescent="0.25">
      <c r="B836" s="90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712" t="s">
        <v>59</v>
      </c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91"/>
    </row>
    <row r="837" spans="2:26" ht="21.95" hidden="1" customHeight="1" thickBot="1" x14ac:dyDescent="0.25">
      <c r="B837" s="866" t="s">
        <v>376</v>
      </c>
      <c r="C837" s="867"/>
      <c r="D837" s="867"/>
      <c r="E837" s="867"/>
      <c r="F837" s="867"/>
      <c r="G837" s="867"/>
      <c r="H837" s="867"/>
      <c r="I837" s="867"/>
      <c r="J837" s="867"/>
      <c r="K837" s="867"/>
      <c r="L837" s="867"/>
      <c r="M837" s="867"/>
      <c r="N837" s="867"/>
      <c r="O837" s="867"/>
      <c r="P837" s="867"/>
      <c r="Q837" s="867"/>
      <c r="R837" s="867"/>
      <c r="S837" s="867"/>
      <c r="T837" s="867"/>
      <c r="U837" s="867"/>
      <c r="V837" s="868"/>
    </row>
    <row r="838" spans="2:26" ht="21.95" hidden="1" customHeight="1" x14ac:dyDescent="0.25">
      <c r="B838" s="793" t="s">
        <v>372</v>
      </c>
      <c r="C838" s="794"/>
      <c r="D838" s="794"/>
      <c r="E838" s="794"/>
      <c r="F838" s="795"/>
      <c r="G838" s="796" t="s">
        <v>375</v>
      </c>
      <c r="H838" s="794"/>
      <c r="I838" s="794"/>
      <c r="J838" s="794"/>
      <c r="K838" s="795"/>
      <c r="L838" s="848" t="s">
        <v>166</v>
      </c>
      <c r="M838" s="848"/>
      <c r="N838" s="848"/>
      <c r="O838" s="848"/>
      <c r="P838" s="848"/>
      <c r="Q838" s="848"/>
      <c r="R838" s="848"/>
      <c r="S838" s="848"/>
      <c r="T838" s="848"/>
      <c r="U838" s="848"/>
      <c r="V838" s="849"/>
    </row>
    <row r="839" spans="2:26" ht="21.95" hidden="1" customHeight="1" x14ac:dyDescent="0.3">
      <c r="B839" s="359" t="s">
        <v>4</v>
      </c>
      <c r="C839" s="353" t="s">
        <v>434</v>
      </c>
      <c r="D839" s="353" t="s">
        <v>5</v>
      </c>
      <c r="E839" s="353" t="s">
        <v>6</v>
      </c>
      <c r="F839" s="353" t="s">
        <v>75</v>
      </c>
      <c r="G839" s="359" t="s">
        <v>4</v>
      </c>
      <c r="H839" s="353" t="s">
        <v>434</v>
      </c>
      <c r="I839" s="353" t="s">
        <v>5</v>
      </c>
      <c r="J839" s="353" t="s">
        <v>6</v>
      </c>
      <c r="K839" s="424" t="s">
        <v>75</v>
      </c>
      <c r="L839" s="850" t="s">
        <v>15</v>
      </c>
      <c r="M839" s="853" t="s">
        <v>49</v>
      </c>
      <c r="N839" s="854"/>
      <c r="O839" s="854"/>
      <c r="P839" s="854"/>
      <c r="Q839" s="854"/>
      <c r="R839" s="854"/>
      <c r="S839" s="854"/>
      <c r="T839" s="854"/>
      <c r="U839" s="854"/>
      <c r="V839" s="855"/>
    </row>
    <row r="840" spans="2:26" ht="21.95" hidden="1" customHeight="1" x14ac:dyDescent="0.25">
      <c r="B840" s="49">
        <v>7.5</v>
      </c>
      <c r="C840" s="20">
        <v>85</v>
      </c>
      <c r="D840" s="20">
        <v>85</v>
      </c>
      <c r="E840" s="20">
        <v>85</v>
      </c>
      <c r="F840" s="20">
        <v>85</v>
      </c>
      <c r="G840" s="49">
        <v>7.5</v>
      </c>
      <c r="H840" s="20">
        <v>85</v>
      </c>
      <c r="I840" s="20">
        <v>85</v>
      </c>
      <c r="J840" s="20">
        <v>85</v>
      </c>
      <c r="K840" s="27">
        <v>85</v>
      </c>
      <c r="L840" s="851"/>
      <c r="M840" s="547" t="s">
        <v>167</v>
      </c>
      <c r="N840" s="547" t="s">
        <v>168</v>
      </c>
      <c r="O840" s="547" t="s">
        <v>169</v>
      </c>
      <c r="P840" s="547" t="s">
        <v>170</v>
      </c>
      <c r="Q840" s="547" t="s">
        <v>171</v>
      </c>
      <c r="R840" s="547" t="s">
        <v>172</v>
      </c>
      <c r="S840" s="547" t="s">
        <v>173</v>
      </c>
      <c r="T840" s="547" t="s">
        <v>174</v>
      </c>
      <c r="U840" s="547" t="s">
        <v>175</v>
      </c>
      <c r="V840" s="548"/>
    </row>
    <row r="841" spans="2:26" ht="21.95" hidden="1" customHeight="1" x14ac:dyDescent="0.25">
      <c r="B841" s="49">
        <f>B840-0.125</f>
        <v>7.375</v>
      </c>
      <c r="C841" s="20">
        <v>85</v>
      </c>
      <c r="D841" s="20">
        <v>85</v>
      </c>
      <c r="E841" s="20">
        <v>85</v>
      </c>
      <c r="F841" s="20">
        <v>85</v>
      </c>
      <c r="G841" s="49">
        <f>G840-0.125</f>
        <v>7.375</v>
      </c>
      <c r="H841" s="20">
        <v>85</v>
      </c>
      <c r="I841" s="20">
        <v>85</v>
      </c>
      <c r="J841" s="20">
        <v>85</v>
      </c>
      <c r="K841" s="27">
        <v>85</v>
      </c>
      <c r="L841" s="852"/>
      <c r="M841" s="549">
        <v>50</v>
      </c>
      <c r="N841" s="550">
        <v>55</v>
      </c>
      <c r="O841" s="550">
        <v>60</v>
      </c>
      <c r="P841" s="550">
        <v>65</v>
      </c>
      <c r="Q841" s="550">
        <v>70</v>
      </c>
      <c r="R841" s="550">
        <v>75</v>
      </c>
      <c r="S841" s="550">
        <v>80</v>
      </c>
      <c r="T841" s="550">
        <v>85</v>
      </c>
      <c r="U841" s="550">
        <v>89.99</v>
      </c>
      <c r="V841" s="551" t="s">
        <v>176</v>
      </c>
    </row>
    <row r="842" spans="2:26" ht="21.95" hidden="1" customHeight="1" x14ac:dyDescent="0.25">
      <c r="B842" s="49">
        <f t="shared" ref="B842:B850" si="203">B841-0.125</f>
        <v>7.25</v>
      </c>
      <c r="C842" s="20">
        <v>85</v>
      </c>
      <c r="D842" s="20">
        <v>85</v>
      </c>
      <c r="E842" s="20">
        <v>85</v>
      </c>
      <c r="F842" s="20">
        <v>85</v>
      </c>
      <c r="G842" s="49">
        <f t="shared" ref="G842:G850" si="204">G841-0.125</f>
        <v>7.25</v>
      </c>
      <c r="H842" s="20">
        <v>85</v>
      </c>
      <c r="I842" s="20">
        <v>85</v>
      </c>
      <c r="J842" s="20">
        <v>85</v>
      </c>
      <c r="K842" s="27">
        <v>85</v>
      </c>
      <c r="L842" s="856" t="s">
        <v>177</v>
      </c>
      <c r="M842" s="857"/>
      <c r="N842" s="857"/>
      <c r="O842" s="857"/>
      <c r="P842" s="857"/>
      <c r="Q842" s="857"/>
      <c r="R842" s="857"/>
      <c r="S842" s="857"/>
      <c r="T842" s="857"/>
      <c r="U842" s="857"/>
      <c r="V842" s="858"/>
    </row>
    <row r="843" spans="2:26" ht="21.95" hidden="1" customHeight="1" x14ac:dyDescent="0.25">
      <c r="B843" s="49">
        <f t="shared" si="203"/>
        <v>7.125</v>
      </c>
      <c r="C843" s="20">
        <v>85</v>
      </c>
      <c r="D843" s="20">
        <v>85</v>
      </c>
      <c r="E843" s="20">
        <v>85</v>
      </c>
      <c r="F843" s="20">
        <v>85</v>
      </c>
      <c r="G843" s="49">
        <f t="shared" si="204"/>
        <v>7.125</v>
      </c>
      <c r="H843" s="20">
        <v>85</v>
      </c>
      <c r="I843" s="20">
        <v>85</v>
      </c>
      <c r="J843" s="20">
        <v>85</v>
      </c>
      <c r="K843" s="27">
        <v>85</v>
      </c>
      <c r="L843" s="552" t="s">
        <v>120</v>
      </c>
      <c r="M843" s="553">
        <v>0</v>
      </c>
      <c r="N843" s="553">
        <v>-0.125</v>
      </c>
      <c r="O843" s="553">
        <v>-0.25</v>
      </c>
      <c r="P843" s="553">
        <v>-0.375</v>
      </c>
      <c r="Q843" s="553">
        <v>-0.375</v>
      </c>
      <c r="R843" s="553">
        <v>-0.375</v>
      </c>
      <c r="S843" s="553">
        <v>-0.375</v>
      </c>
      <c r="T843" s="556" t="s">
        <v>121</v>
      </c>
      <c r="U843" s="556" t="s">
        <v>121</v>
      </c>
      <c r="V843" s="556" t="s">
        <v>121</v>
      </c>
    </row>
    <row r="844" spans="2:26" ht="21.95" hidden="1" customHeight="1" x14ac:dyDescent="0.25">
      <c r="B844" s="49">
        <f t="shared" si="203"/>
        <v>7</v>
      </c>
      <c r="C844" s="20">
        <v>85</v>
      </c>
      <c r="D844" s="20">
        <v>85</v>
      </c>
      <c r="E844" s="20">
        <v>85</v>
      </c>
      <c r="F844" s="20">
        <v>85</v>
      </c>
      <c r="G844" s="49">
        <f t="shared" si="204"/>
        <v>7</v>
      </c>
      <c r="H844" s="20">
        <v>85</v>
      </c>
      <c r="I844" s="20">
        <v>85</v>
      </c>
      <c r="J844" s="20">
        <v>85</v>
      </c>
      <c r="K844" s="27">
        <v>85</v>
      </c>
      <c r="L844" s="552" t="s">
        <v>122</v>
      </c>
      <c r="M844" s="553">
        <v>0</v>
      </c>
      <c r="N844" s="553">
        <v>-0.125</v>
      </c>
      <c r="O844" s="553">
        <v>-0.25</v>
      </c>
      <c r="P844" s="553">
        <v>-0.375</v>
      </c>
      <c r="Q844" s="553">
        <v>-0.375</v>
      </c>
      <c r="R844" s="553">
        <v>-0.375</v>
      </c>
      <c r="S844" s="553">
        <v>-0.375</v>
      </c>
      <c r="T844" s="556" t="s">
        <v>121</v>
      </c>
      <c r="U844" s="556" t="s">
        <v>121</v>
      </c>
      <c r="V844" s="556" t="s">
        <v>121</v>
      </c>
    </row>
    <row r="845" spans="2:26" ht="21.95" hidden="1" customHeight="1" x14ac:dyDescent="0.25">
      <c r="B845" s="49">
        <f t="shared" si="203"/>
        <v>6.875</v>
      </c>
      <c r="C845" s="20">
        <v>85</v>
      </c>
      <c r="D845" s="20">
        <v>85</v>
      </c>
      <c r="E845" s="20">
        <v>85</v>
      </c>
      <c r="F845" s="20">
        <v>85</v>
      </c>
      <c r="G845" s="49">
        <f t="shared" si="204"/>
        <v>6.875</v>
      </c>
      <c r="H845" s="20">
        <v>85</v>
      </c>
      <c r="I845" s="20">
        <v>85</v>
      </c>
      <c r="J845" s="20">
        <v>85</v>
      </c>
      <c r="K845" s="27">
        <v>85</v>
      </c>
      <c r="L845" s="552" t="s">
        <v>123</v>
      </c>
      <c r="M845" s="553">
        <v>-0.125</v>
      </c>
      <c r="N845" s="553">
        <v>-0.25</v>
      </c>
      <c r="O845" s="553">
        <v>-0.25</v>
      </c>
      <c r="P845" s="553">
        <v>-0.375</v>
      </c>
      <c r="Q845" s="553">
        <v>-0.375</v>
      </c>
      <c r="R845" s="553">
        <v>-0.375</v>
      </c>
      <c r="S845" s="553">
        <v>-0.375</v>
      </c>
      <c r="T845" s="556" t="s">
        <v>121</v>
      </c>
      <c r="U845" s="556" t="s">
        <v>121</v>
      </c>
      <c r="V845" s="556" t="s">
        <v>121</v>
      </c>
    </row>
    <row r="846" spans="2:26" ht="21.95" hidden="1" customHeight="1" x14ac:dyDescent="0.25">
      <c r="B846" s="49">
        <f t="shared" si="203"/>
        <v>6.75</v>
      </c>
      <c r="C846" s="20">
        <v>85</v>
      </c>
      <c r="D846" s="20">
        <v>85</v>
      </c>
      <c r="E846" s="20">
        <v>85</v>
      </c>
      <c r="F846" s="20">
        <v>85</v>
      </c>
      <c r="G846" s="49">
        <f t="shared" si="204"/>
        <v>6.75</v>
      </c>
      <c r="H846" s="20">
        <v>85</v>
      </c>
      <c r="I846" s="20">
        <v>85</v>
      </c>
      <c r="J846" s="20">
        <v>85</v>
      </c>
      <c r="K846" s="27">
        <v>85</v>
      </c>
      <c r="L846" s="552" t="s">
        <v>124</v>
      </c>
      <c r="M846" s="553">
        <v>-0.25</v>
      </c>
      <c r="N846" s="553">
        <v>-0.375</v>
      </c>
      <c r="O846" s="553">
        <v>-0.375</v>
      </c>
      <c r="P846" s="553">
        <v>-0.375</v>
      </c>
      <c r="Q846" s="553">
        <v>-0.375</v>
      </c>
      <c r="R846" s="553">
        <v>-0.375</v>
      </c>
      <c r="S846" s="553">
        <v>-0.5</v>
      </c>
      <c r="T846" s="556" t="s">
        <v>121</v>
      </c>
      <c r="U846" s="556" t="s">
        <v>121</v>
      </c>
      <c r="V846" s="556" t="s">
        <v>121</v>
      </c>
    </row>
    <row r="847" spans="2:26" ht="21.95" hidden="1" customHeight="1" x14ac:dyDescent="0.25">
      <c r="B847" s="49">
        <f t="shared" si="203"/>
        <v>6.625</v>
      </c>
      <c r="C847" s="20">
        <v>85</v>
      </c>
      <c r="D847" s="20">
        <v>85</v>
      </c>
      <c r="E847" s="20">
        <v>85</v>
      </c>
      <c r="F847" s="20">
        <v>85</v>
      </c>
      <c r="G847" s="49">
        <f t="shared" si="204"/>
        <v>6.625</v>
      </c>
      <c r="H847" s="20">
        <v>85</v>
      </c>
      <c r="I847" s="20">
        <v>85</v>
      </c>
      <c r="J847" s="20">
        <v>85</v>
      </c>
      <c r="K847" s="27">
        <v>85</v>
      </c>
      <c r="L847" s="552" t="s">
        <v>46</v>
      </c>
      <c r="M847" s="553">
        <v>-0.25</v>
      </c>
      <c r="N847" s="553">
        <v>-0.375</v>
      </c>
      <c r="O847" s="553">
        <v>-0.37499999999999994</v>
      </c>
      <c r="P847" s="553">
        <v>-0.375</v>
      </c>
      <c r="Q847" s="553">
        <v>-0.375</v>
      </c>
      <c r="R847" s="553">
        <v>-0.5</v>
      </c>
      <c r="S847" s="553">
        <v>-0.625</v>
      </c>
      <c r="T847" s="556" t="s">
        <v>121</v>
      </c>
      <c r="U847" s="556" t="s">
        <v>121</v>
      </c>
      <c r="V847" s="556" t="s">
        <v>121</v>
      </c>
    </row>
    <row r="848" spans="2:26" ht="21.95" hidden="1" customHeight="1" x14ac:dyDescent="0.25">
      <c r="B848" s="49">
        <f t="shared" si="203"/>
        <v>6.5</v>
      </c>
      <c r="C848" s="20">
        <v>85</v>
      </c>
      <c r="D848" s="20">
        <v>85</v>
      </c>
      <c r="E848" s="20">
        <v>85</v>
      </c>
      <c r="F848" s="20">
        <v>85</v>
      </c>
      <c r="G848" s="49">
        <f t="shared" si="204"/>
        <v>6.5</v>
      </c>
      <c r="H848" s="20">
        <v>85</v>
      </c>
      <c r="I848" s="20">
        <v>85</v>
      </c>
      <c r="J848" s="20">
        <v>85</v>
      </c>
      <c r="K848" s="27">
        <v>85</v>
      </c>
      <c r="L848" s="552" t="s">
        <v>16</v>
      </c>
      <c r="M848" s="553">
        <v>-0.25</v>
      </c>
      <c r="N848" s="553">
        <v>-0.375</v>
      </c>
      <c r="O848" s="553">
        <v>-0.375</v>
      </c>
      <c r="P848" s="553">
        <v>-0.375</v>
      </c>
      <c r="Q848" s="553">
        <v>-0.375</v>
      </c>
      <c r="R848" s="553" t="s">
        <v>121</v>
      </c>
      <c r="S848" s="553" t="s">
        <v>121</v>
      </c>
      <c r="T848" s="556" t="s">
        <v>121</v>
      </c>
      <c r="U848" s="556" t="s">
        <v>121</v>
      </c>
      <c r="V848" s="556" t="s">
        <v>121</v>
      </c>
    </row>
    <row r="849" spans="2:22" ht="21.95" hidden="1" customHeight="1" x14ac:dyDescent="0.25">
      <c r="B849" s="49">
        <f t="shared" si="203"/>
        <v>6.375</v>
      </c>
      <c r="C849" s="20">
        <v>85</v>
      </c>
      <c r="D849" s="20">
        <v>85</v>
      </c>
      <c r="E849" s="20">
        <v>85</v>
      </c>
      <c r="F849" s="20">
        <v>85</v>
      </c>
      <c r="G849" s="49">
        <f t="shared" si="204"/>
        <v>6.375</v>
      </c>
      <c r="H849" s="20">
        <v>85</v>
      </c>
      <c r="I849" s="20">
        <v>85</v>
      </c>
      <c r="J849" s="20">
        <v>85</v>
      </c>
      <c r="K849" s="27">
        <v>85</v>
      </c>
      <c r="L849" s="552" t="s">
        <v>17</v>
      </c>
      <c r="M849" s="553" t="s">
        <v>121</v>
      </c>
      <c r="N849" s="553" t="s">
        <v>121</v>
      </c>
      <c r="O849" s="553" t="s">
        <v>121</v>
      </c>
      <c r="P849" s="553" t="s">
        <v>121</v>
      </c>
      <c r="Q849" s="553" t="s">
        <v>121</v>
      </c>
      <c r="R849" s="553" t="s">
        <v>121</v>
      </c>
      <c r="S849" s="553" t="s">
        <v>121</v>
      </c>
      <c r="T849" s="556" t="s">
        <v>121</v>
      </c>
      <c r="U849" s="556" t="s">
        <v>121</v>
      </c>
      <c r="V849" s="556" t="s">
        <v>121</v>
      </c>
    </row>
    <row r="850" spans="2:22" ht="21.95" hidden="1" customHeight="1" x14ac:dyDescent="0.25">
      <c r="B850" s="49">
        <f t="shared" si="203"/>
        <v>6.25</v>
      </c>
      <c r="C850" s="20">
        <v>85</v>
      </c>
      <c r="D850" s="20">
        <v>85</v>
      </c>
      <c r="E850" s="20">
        <v>85</v>
      </c>
      <c r="F850" s="20">
        <v>85</v>
      </c>
      <c r="G850" s="49">
        <f t="shared" si="204"/>
        <v>6.25</v>
      </c>
      <c r="H850" s="20">
        <v>85</v>
      </c>
      <c r="I850" s="20">
        <v>85</v>
      </c>
      <c r="J850" s="20">
        <v>85</v>
      </c>
      <c r="K850" s="27">
        <v>85</v>
      </c>
      <c r="L850" s="552" t="s">
        <v>18</v>
      </c>
      <c r="M850" s="553" t="s">
        <v>121</v>
      </c>
      <c r="N850" s="553" t="s">
        <v>121</v>
      </c>
      <c r="O850" s="553" t="s">
        <v>121</v>
      </c>
      <c r="P850" s="553" t="s">
        <v>121</v>
      </c>
      <c r="Q850" s="553" t="s">
        <v>121</v>
      </c>
      <c r="R850" s="553" t="s">
        <v>121</v>
      </c>
      <c r="S850" s="553" t="s">
        <v>121</v>
      </c>
      <c r="T850" s="556" t="s">
        <v>121</v>
      </c>
      <c r="U850" s="556" t="s">
        <v>121</v>
      </c>
      <c r="V850" s="556" t="s">
        <v>121</v>
      </c>
    </row>
    <row r="851" spans="2:22" ht="21.95" hidden="1" customHeight="1" x14ac:dyDescent="0.25">
      <c r="B851" s="49"/>
      <c r="C851" s="20"/>
      <c r="D851" s="20"/>
      <c r="E851" s="20"/>
      <c r="F851" s="20"/>
      <c r="G851" s="49"/>
      <c r="H851" s="20"/>
      <c r="I851" s="20"/>
      <c r="J851" s="20"/>
      <c r="K851" s="27"/>
      <c r="L851" s="859" t="s">
        <v>178</v>
      </c>
      <c r="M851" s="833"/>
      <c r="N851" s="833"/>
      <c r="O851" s="833"/>
      <c r="P851" s="833"/>
      <c r="Q851" s="833"/>
      <c r="R851" s="833"/>
      <c r="S851" s="833"/>
      <c r="T851" s="833"/>
      <c r="U851" s="833"/>
      <c r="V851" s="834"/>
    </row>
    <row r="852" spans="2:22" ht="21.95" hidden="1" customHeight="1" x14ac:dyDescent="0.25">
      <c r="B852" s="49"/>
      <c r="C852" s="20"/>
      <c r="D852" s="20"/>
      <c r="E852" s="20"/>
      <c r="F852" s="20"/>
      <c r="G852" s="49"/>
      <c r="H852" s="20"/>
      <c r="I852" s="20"/>
      <c r="J852" s="20"/>
      <c r="K852" s="39"/>
      <c r="L852" s="552" t="s">
        <v>120</v>
      </c>
      <c r="M852" s="553">
        <v>-0.125</v>
      </c>
      <c r="N852" s="553">
        <v>-0.125</v>
      </c>
      <c r="O852" s="553">
        <v>-0.25</v>
      </c>
      <c r="P852" s="553">
        <v>-0.375</v>
      </c>
      <c r="Q852" s="553">
        <v>-0.375</v>
      </c>
      <c r="R852" s="553">
        <v>-0.375</v>
      </c>
      <c r="S852" s="553">
        <v>-0.375</v>
      </c>
      <c r="T852" s="556" t="s">
        <v>121</v>
      </c>
      <c r="U852" s="556" t="s">
        <v>121</v>
      </c>
      <c r="V852" s="556" t="s">
        <v>121</v>
      </c>
    </row>
    <row r="853" spans="2:22" ht="21.95" hidden="1" customHeight="1" x14ac:dyDescent="0.25">
      <c r="B853" s="860"/>
      <c r="C853" s="861"/>
      <c r="D853" s="861"/>
      <c r="E853" s="861"/>
      <c r="F853" s="861"/>
      <c r="G853" s="861"/>
      <c r="H853" s="861"/>
      <c r="I853" s="861"/>
      <c r="J853" s="861"/>
      <c r="K853" s="862"/>
      <c r="L853" s="555" t="s">
        <v>122</v>
      </c>
      <c r="M853" s="553">
        <v>-0.125</v>
      </c>
      <c r="N853" s="553">
        <v>-0.125</v>
      </c>
      <c r="O853" s="553">
        <v>-0.25</v>
      </c>
      <c r="P853" s="553">
        <v>-0.375</v>
      </c>
      <c r="Q853" s="553">
        <v>-0.375</v>
      </c>
      <c r="R853" s="553">
        <v>-0.375</v>
      </c>
      <c r="S853" s="553">
        <v>-0.375</v>
      </c>
      <c r="T853" s="556" t="s">
        <v>121</v>
      </c>
      <c r="U853" s="556" t="s">
        <v>121</v>
      </c>
      <c r="V853" s="556" t="s">
        <v>121</v>
      </c>
    </row>
    <row r="854" spans="2:22" ht="21.95" hidden="1" customHeight="1" x14ac:dyDescent="0.25">
      <c r="B854" s="824"/>
      <c r="C854" s="825"/>
      <c r="D854" s="825"/>
      <c r="E854" s="825"/>
      <c r="F854" s="825"/>
      <c r="G854" s="825"/>
      <c r="H854" s="825"/>
      <c r="I854" s="825"/>
      <c r="J854" s="825"/>
      <c r="K854" s="826"/>
      <c r="L854" s="555" t="s">
        <v>123</v>
      </c>
      <c r="M854" s="553">
        <v>-0.25</v>
      </c>
      <c r="N854" s="553">
        <v>-0.25</v>
      </c>
      <c r="O854" s="553">
        <v>-0.25</v>
      </c>
      <c r="P854" s="553">
        <v>-0.375</v>
      </c>
      <c r="Q854" s="553">
        <v>-0.375</v>
      </c>
      <c r="R854" s="553">
        <v>-0.375</v>
      </c>
      <c r="S854" s="553">
        <v>-0.375</v>
      </c>
      <c r="T854" s="556" t="s">
        <v>121</v>
      </c>
      <c r="U854" s="556" t="s">
        <v>121</v>
      </c>
      <c r="V854" s="556" t="s">
        <v>121</v>
      </c>
    </row>
    <row r="855" spans="2:22" ht="21.95" hidden="1" customHeight="1" x14ac:dyDescent="0.25">
      <c r="B855" s="838"/>
      <c r="C855" s="839"/>
      <c r="D855" s="840"/>
      <c r="E855" s="844"/>
      <c r="F855" s="844"/>
      <c r="G855" s="457"/>
      <c r="H855" s="844"/>
      <c r="I855" s="844"/>
      <c r="J855" s="844"/>
      <c r="K855" s="830"/>
      <c r="L855" s="555" t="s">
        <v>124</v>
      </c>
      <c r="M855" s="553">
        <v>-0.375</v>
      </c>
      <c r="N855" s="553">
        <v>-0.375</v>
      </c>
      <c r="O855" s="553">
        <v>-0.375</v>
      </c>
      <c r="P855" s="553">
        <v>-0.375</v>
      </c>
      <c r="Q855" s="553">
        <v>-0.375</v>
      </c>
      <c r="R855" s="553">
        <v>-0.375</v>
      </c>
      <c r="S855" s="553">
        <v>-0.5</v>
      </c>
      <c r="T855" s="556" t="s">
        <v>121</v>
      </c>
      <c r="U855" s="556" t="s">
        <v>121</v>
      </c>
      <c r="V855" s="556" t="s">
        <v>121</v>
      </c>
    </row>
    <row r="856" spans="2:22" ht="21.95" hidden="1" customHeight="1" x14ac:dyDescent="0.25">
      <c r="B856" s="841"/>
      <c r="C856" s="842"/>
      <c r="D856" s="843"/>
      <c r="E856" s="845"/>
      <c r="F856" s="845"/>
      <c r="G856" s="458"/>
      <c r="H856" s="845"/>
      <c r="I856" s="845"/>
      <c r="J856" s="845"/>
      <c r="K856" s="831"/>
      <c r="L856" s="555" t="s">
        <v>46</v>
      </c>
      <c r="M856" s="553">
        <v>-0.375</v>
      </c>
      <c r="N856" s="553">
        <v>-0.375</v>
      </c>
      <c r="O856" s="553">
        <v>-0.375</v>
      </c>
      <c r="P856" s="553">
        <v>-0.375</v>
      </c>
      <c r="Q856" s="553">
        <v>-0.375</v>
      </c>
      <c r="R856" s="553">
        <v>-0.5</v>
      </c>
      <c r="S856" s="553">
        <v>-0.625</v>
      </c>
      <c r="T856" s="556" t="s">
        <v>121</v>
      </c>
      <c r="U856" s="556" t="s">
        <v>121</v>
      </c>
      <c r="V856" s="556" t="s">
        <v>121</v>
      </c>
    </row>
    <row r="857" spans="2:22" ht="21.95" hidden="1" customHeight="1" x14ac:dyDescent="0.25">
      <c r="B857" s="807"/>
      <c r="C857" s="808"/>
      <c r="D857" s="809"/>
      <c r="E857" s="813"/>
      <c r="F857" s="214"/>
      <c r="G857" s="215"/>
      <c r="H857" s="215"/>
      <c r="I857" s="816"/>
      <c r="J857" s="173"/>
      <c r="K857" s="175"/>
      <c r="L857" s="555" t="s">
        <v>16</v>
      </c>
      <c r="M857" s="553">
        <v>-0.375</v>
      </c>
      <c r="N857" s="553">
        <v>-0.375</v>
      </c>
      <c r="O857" s="553">
        <v>-0.375</v>
      </c>
      <c r="P857" s="553">
        <v>-0.375</v>
      </c>
      <c r="Q857" s="553">
        <v>-0.375</v>
      </c>
      <c r="R857" s="553" t="s">
        <v>121</v>
      </c>
      <c r="S857" s="553" t="s">
        <v>121</v>
      </c>
      <c r="T857" s="556" t="s">
        <v>121</v>
      </c>
      <c r="U857" s="556" t="s">
        <v>121</v>
      </c>
      <c r="V857" s="556" t="s">
        <v>121</v>
      </c>
    </row>
    <row r="858" spans="2:22" ht="21.95" hidden="1" customHeight="1" x14ac:dyDescent="0.25">
      <c r="B858" s="810"/>
      <c r="C858" s="811"/>
      <c r="D858" s="812"/>
      <c r="E858" s="814"/>
      <c r="F858" s="214"/>
      <c r="G858" s="215"/>
      <c r="H858" s="215"/>
      <c r="I858" s="817"/>
      <c r="J858" s="173"/>
      <c r="K858" s="175"/>
      <c r="L858" s="555" t="s">
        <v>17</v>
      </c>
      <c r="M858" s="553" t="s">
        <v>121</v>
      </c>
      <c r="N858" s="553" t="s">
        <v>121</v>
      </c>
      <c r="O858" s="553" t="s">
        <v>121</v>
      </c>
      <c r="P858" s="553" t="s">
        <v>121</v>
      </c>
      <c r="Q858" s="553" t="s">
        <v>121</v>
      </c>
      <c r="R858" s="553" t="s">
        <v>121</v>
      </c>
      <c r="S858" s="553" t="s">
        <v>121</v>
      </c>
      <c r="T858" s="556" t="s">
        <v>121</v>
      </c>
      <c r="U858" s="556" t="s">
        <v>121</v>
      </c>
      <c r="V858" s="556" t="s">
        <v>121</v>
      </c>
    </row>
    <row r="859" spans="2:22" ht="21.95" hidden="1" customHeight="1" x14ac:dyDescent="0.25">
      <c r="B859" s="807"/>
      <c r="C859" s="808"/>
      <c r="D859" s="809"/>
      <c r="E859" s="814"/>
      <c r="F859" s="214"/>
      <c r="G859" s="215"/>
      <c r="H859" s="215"/>
      <c r="I859" s="817"/>
      <c r="J859" s="173"/>
      <c r="K859" s="835"/>
      <c r="L859" s="555" t="s">
        <v>18</v>
      </c>
      <c r="M859" s="553" t="s">
        <v>121</v>
      </c>
      <c r="N859" s="553" t="s">
        <v>121</v>
      </c>
      <c r="O859" s="553" t="s">
        <v>121</v>
      </c>
      <c r="P859" s="553" t="s">
        <v>121</v>
      </c>
      <c r="Q859" s="553" t="s">
        <v>121</v>
      </c>
      <c r="R859" s="553" t="s">
        <v>121</v>
      </c>
      <c r="S859" s="553" t="s">
        <v>121</v>
      </c>
      <c r="T859" s="556" t="s">
        <v>121</v>
      </c>
      <c r="U859" s="556" t="s">
        <v>121</v>
      </c>
      <c r="V859" s="556" t="s">
        <v>121</v>
      </c>
    </row>
    <row r="860" spans="2:22" ht="21.95" hidden="1" customHeight="1" x14ac:dyDescent="0.25">
      <c r="B860" s="810"/>
      <c r="C860" s="811"/>
      <c r="D860" s="812"/>
      <c r="E860" s="815"/>
      <c r="F860" s="214"/>
      <c r="G860" s="215"/>
      <c r="H860" s="215"/>
      <c r="I860" s="818"/>
      <c r="J860" s="173"/>
      <c r="K860" s="836"/>
      <c r="L860" s="832" t="s">
        <v>185</v>
      </c>
      <c r="M860" s="833"/>
      <c r="N860" s="833"/>
      <c r="O860" s="833"/>
      <c r="P860" s="833"/>
      <c r="Q860" s="833"/>
      <c r="R860" s="833"/>
      <c r="S860" s="833"/>
      <c r="T860" s="833"/>
      <c r="U860" s="833"/>
      <c r="V860" s="834"/>
    </row>
    <row r="861" spans="2:22" ht="21.95" hidden="1" customHeight="1" x14ac:dyDescent="0.25">
      <c r="B861" s="784"/>
      <c r="C861" s="785"/>
      <c r="D861" s="785"/>
      <c r="E861" s="785"/>
      <c r="F861" s="785"/>
      <c r="G861" s="785"/>
      <c r="H861" s="785"/>
      <c r="I861" s="785"/>
      <c r="J861" s="785"/>
      <c r="K861" s="786"/>
      <c r="L861" s="555" t="s">
        <v>120</v>
      </c>
      <c r="M861" s="553">
        <v>-0.125</v>
      </c>
      <c r="N861" s="553">
        <v>-0.125</v>
      </c>
      <c r="O861" s="553">
        <v>-0.25</v>
      </c>
      <c r="P861" s="553">
        <v>-0.375</v>
      </c>
      <c r="Q861" s="553" t="s">
        <v>121</v>
      </c>
      <c r="R861" s="553" t="s">
        <v>121</v>
      </c>
      <c r="S861" s="553" t="s">
        <v>121</v>
      </c>
      <c r="T861" s="553" t="s">
        <v>121</v>
      </c>
      <c r="U861" s="553" t="s">
        <v>121</v>
      </c>
      <c r="V861" s="554" t="s">
        <v>121</v>
      </c>
    </row>
    <row r="862" spans="2:22" ht="21.95" hidden="1" customHeight="1" x14ac:dyDescent="0.25">
      <c r="B862" s="821"/>
      <c r="C862" s="822"/>
      <c r="D862" s="823"/>
      <c r="E862" s="813"/>
      <c r="F862" s="214"/>
      <c r="G862" s="215"/>
      <c r="H862" s="816"/>
      <c r="I862" s="816"/>
      <c r="J862" s="173"/>
      <c r="K862" s="175"/>
      <c r="L862" s="555" t="s">
        <v>122</v>
      </c>
      <c r="M862" s="553">
        <v>-0.125</v>
      </c>
      <c r="N862" s="553">
        <v>-0.125</v>
      </c>
      <c r="O862" s="553">
        <v>-0.25</v>
      </c>
      <c r="P862" s="553">
        <v>-0.375</v>
      </c>
      <c r="Q862" s="553" t="s">
        <v>121</v>
      </c>
      <c r="R862" s="553" t="s">
        <v>121</v>
      </c>
      <c r="S862" s="553" t="s">
        <v>121</v>
      </c>
      <c r="T862" s="553" t="s">
        <v>121</v>
      </c>
      <c r="U862" s="553" t="s">
        <v>121</v>
      </c>
      <c r="V862" s="554" t="s">
        <v>121</v>
      </c>
    </row>
    <row r="863" spans="2:22" ht="21.95" hidden="1" customHeight="1" x14ac:dyDescent="0.25">
      <c r="B863" s="821"/>
      <c r="C863" s="822"/>
      <c r="D863" s="823"/>
      <c r="E863" s="815"/>
      <c r="F863" s="214"/>
      <c r="G863" s="215"/>
      <c r="H863" s="818"/>
      <c r="I863" s="818"/>
      <c r="J863" s="173"/>
      <c r="K863" s="456"/>
      <c r="L863" s="555" t="s">
        <v>123</v>
      </c>
      <c r="M863" s="553">
        <v>-0.25</v>
      </c>
      <c r="N863" s="553">
        <v>-0.25</v>
      </c>
      <c r="O863" s="553">
        <v>-0.25</v>
      </c>
      <c r="P863" s="553">
        <v>-0.375</v>
      </c>
      <c r="Q863" s="553" t="s">
        <v>121</v>
      </c>
      <c r="R863" s="553" t="s">
        <v>121</v>
      </c>
      <c r="S863" s="553" t="s">
        <v>121</v>
      </c>
      <c r="T863" s="553" t="s">
        <v>121</v>
      </c>
      <c r="U863" s="553" t="s">
        <v>121</v>
      </c>
      <c r="V863" s="554" t="s">
        <v>121</v>
      </c>
    </row>
    <row r="864" spans="2:22" ht="21.95" hidden="1" customHeight="1" x14ac:dyDescent="0.25">
      <c r="B864" s="824"/>
      <c r="C864" s="825"/>
      <c r="D864" s="825"/>
      <c r="E864" s="825"/>
      <c r="F864" s="825"/>
      <c r="G864" s="825"/>
      <c r="H864" s="825"/>
      <c r="I864" s="825"/>
      <c r="J864" s="825"/>
      <c r="K864" s="826"/>
      <c r="L864" s="555" t="s">
        <v>124</v>
      </c>
      <c r="M864" s="553">
        <v>-0.375</v>
      </c>
      <c r="N864" s="553">
        <v>-0.375</v>
      </c>
      <c r="O864" s="553">
        <v>-0.375</v>
      </c>
      <c r="P864" s="553">
        <v>-0.375</v>
      </c>
      <c r="Q864" s="553" t="s">
        <v>121</v>
      </c>
      <c r="R864" s="553" t="s">
        <v>121</v>
      </c>
      <c r="S864" s="553" t="s">
        <v>121</v>
      </c>
      <c r="T864" s="553" t="s">
        <v>121</v>
      </c>
      <c r="U864" s="553" t="s">
        <v>121</v>
      </c>
      <c r="V864" s="554" t="s">
        <v>121</v>
      </c>
    </row>
    <row r="865" spans="2:22" ht="21.95" hidden="1" customHeight="1" x14ac:dyDescent="0.25">
      <c r="B865" s="807"/>
      <c r="C865" s="808"/>
      <c r="D865" s="809"/>
      <c r="E865" s="813"/>
      <c r="F865" s="214"/>
      <c r="G865" s="215"/>
      <c r="H865" s="215"/>
      <c r="I865" s="816"/>
      <c r="J865" s="173"/>
      <c r="K865" s="175"/>
      <c r="L865" s="555" t="s">
        <v>46</v>
      </c>
      <c r="M865" s="553">
        <v>-0.375</v>
      </c>
      <c r="N865" s="553">
        <v>-0.375</v>
      </c>
      <c r="O865" s="553">
        <v>-0.375</v>
      </c>
      <c r="P865" s="553">
        <v>-0.375</v>
      </c>
      <c r="Q865" s="553" t="s">
        <v>121</v>
      </c>
      <c r="R865" s="553" t="s">
        <v>121</v>
      </c>
      <c r="S865" s="553" t="s">
        <v>121</v>
      </c>
      <c r="T865" s="553" t="s">
        <v>121</v>
      </c>
      <c r="U865" s="553" t="s">
        <v>121</v>
      </c>
      <c r="V865" s="554" t="s">
        <v>121</v>
      </c>
    </row>
    <row r="866" spans="2:22" ht="21.95" hidden="1" customHeight="1" x14ac:dyDescent="0.25">
      <c r="B866" s="810"/>
      <c r="C866" s="811"/>
      <c r="D866" s="812"/>
      <c r="E866" s="814"/>
      <c r="F866" s="214"/>
      <c r="G866" s="215"/>
      <c r="H866" s="215"/>
      <c r="I866" s="817"/>
      <c r="J866" s="173"/>
      <c r="K866" s="175"/>
      <c r="L866" s="555" t="s">
        <v>16</v>
      </c>
      <c r="M866" s="553" t="s">
        <v>121</v>
      </c>
      <c r="N866" s="553" t="s">
        <v>121</v>
      </c>
      <c r="O866" s="553" t="s">
        <v>121</v>
      </c>
      <c r="P866" s="553" t="s">
        <v>121</v>
      </c>
      <c r="Q866" s="553" t="s">
        <v>121</v>
      </c>
      <c r="R866" s="553" t="s">
        <v>121</v>
      </c>
      <c r="S866" s="553" t="s">
        <v>121</v>
      </c>
      <c r="T866" s="553" t="s">
        <v>121</v>
      </c>
      <c r="U866" s="553" t="s">
        <v>121</v>
      </c>
      <c r="V866" s="554" t="s">
        <v>121</v>
      </c>
    </row>
    <row r="867" spans="2:22" ht="21.95" hidden="1" customHeight="1" x14ac:dyDescent="0.25">
      <c r="B867" s="807"/>
      <c r="C867" s="808"/>
      <c r="D867" s="809"/>
      <c r="E867" s="814"/>
      <c r="F867" s="214"/>
      <c r="G867" s="215"/>
      <c r="H867" s="215"/>
      <c r="I867" s="817"/>
      <c r="J867" s="173"/>
      <c r="K867" s="835"/>
      <c r="L867" s="555" t="s">
        <v>17</v>
      </c>
      <c r="M867" s="553" t="s">
        <v>121</v>
      </c>
      <c r="N867" s="553" t="s">
        <v>121</v>
      </c>
      <c r="O867" s="553" t="s">
        <v>121</v>
      </c>
      <c r="P867" s="553" t="s">
        <v>121</v>
      </c>
      <c r="Q867" s="553" t="s">
        <v>121</v>
      </c>
      <c r="R867" s="553" t="s">
        <v>121</v>
      </c>
      <c r="S867" s="553" t="s">
        <v>121</v>
      </c>
      <c r="T867" s="553" t="s">
        <v>121</v>
      </c>
      <c r="U867" s="553" t="s">
        <v>121</v>
      </c>
      <c r="V867" s="554" t="s">
        <v>121</v>
      </c>
    </row>
    <row r="868" spans="2:22" ht="21.95" hidden="1" customHeight="1" x14ac:dyDescent="0.25">
      <c r="B868" s="810"/>
      <c r="C868" s="811"/>
      <c r="D868" s="812"/>
      <c r="E868" s="815"/>
      <c r="F868" s="214"/>
      <c r="G868" s="215"/>
      <c r="H868" s="215"/>
      <c r="I868" s="818"/>
      <c r="J868" s="173"/>
      <c r="K868" s="836"/>
      <c r="L868" s="837"/>
      <c r="M868" s="557" t="s">
        <v>167</v>
      </c>
      <c r="N868" s="557" t="s">
        <v>168</v>
      </c>
      <c r="O868" s="557" t="s">
        <v>169</v>
      </c>
      <c r="P868" s="557" t="s">
        <v>170</v>
      </c>
      <c r="Q868" s="557" t="s">
        <v>171</v>
      </c>
      <c r="R868" s="557" t="s">
        <v>172</v>
      </c>
      <c r="S868" s="557" t="s">
        <v>173</v>
      </c>
      <c r="T868" s="557" t="s">
        <v>174</v>
      </c>
      <c r="U868" s="557" t="s">
        <v>175</v>
      </c>
      <c r="V868" s="558" t="s">
        <v>188</v>
      </c>
    </row>
    <row r="869" spans="2:22" ht="21.95" hidden="1" customHeight="1" x14ac:dyDescent="0.25">
      <c r="B869" s="784"/>
      <c r="C869" s="785"/>
      <c r="D869" s="785"/>
      <c r="E869" s="785"/>
      <c r="F869" s="785"/>
      <c r="G869" s="785"/>
      <c r="H869" s="785"/>
      <c r="I869" s="785"/>
      <c r="J869" s="785"/>
      <c r="K869" s="786"/>
      <c r="L869" s="837"/>
      <c r="M869" s="559">
        <v>50</v>
      </c>
      <c r="N869" s="559">
        <v>55</v>
      </c>
      <c r="O869" s="559">
        <v>60</v>
      </c>
      <c r="P869" s="559">
        <v>65</v>
      </c>
      <c r="Q869" s="559">
        <v>70</v>
      </c>
      <c r="R869" s="559">
        <v>75</v>
      </c>
      <c r="S869" s="559">
        <v>80</v>
      </c>
      <c r="T869" s="559">
        <v>85</v>
      </c>
      <c r="U869" s="559">
        <v>90</v>
      </c>
      <c r="V869" s="600">
        <v>95</v>
      </c>
    </row>
    <row r="870" spans="2:22" ht="21.95" hidden="1" customHeight="1" x14ac:dyDescent="0.25">
      <c r="B870" s="838"/>
      <c r="C870" s="839"/>
      <c r="D870" s="840"/>
      <c r="E870" s="844"/>
      <c r="F870" s="844"/>
      <c r="G870" s="457"/>
      <c r="H870" s="844"/>
      <c r="I870" s="844"/>
      <c r="J870" s="844"/>
      <c r="K870" s="830"/>
      <c r="L870" s="555" t="s">
        <v>192</v>
      </c>
      <c r="M870" s="553" t="s">
        <v>121</v>
      </c>
      <c r="N870" s="553" t="s">
        <v>121</v>
      </c>
      <c r="O870" s="553" t="s">
        <v>121</v>
      </c>
      <c r="P870" s="553" t="s">
        <v>121</v>
      </c>
      <c r="Q870" s="553" t="s">
        <v>121</v>
      </c>
      <c r="R870" s="553" t="s">
        <v>121</v>
      </c>
      <c r="S870" s="553" t="s">
        <v>121</v>
      </c>
      <c r="T870" s="553" t="s">
        <v>121</v>
      </c>
      <c r="U870" s="553" t="s">
        <v>121</v>
      </c>
      <c r="V870" s="553" t="s">
        <v>121</v>
      </c>
    </row>
    <row r="871" spans="2:22" ht="21.95" hidden="1" customHeight="1" x14ac:dyDescent="0.25">
      <c r="B871" s="841"/>
      <c r="C871" s="842"/>
      <c r="D871" s="843"/>
      <c r="E871" s="845"/>
      <c r="F871" s="845"/>
      <c r="G871" s="458"/>
      <c r="H871" s="845"/>
      <c r="I871" s="845"/>
      <c r="J871" s="845"/>
      <c r="K871" s="831"/>
      <c r="L871" s="555" t="s">
        <v>220</v>
      </c>
      <c r="M871" s="553" t="s">
        <v>121</v>
      </c>
      <c r="N871" s="553" t="s">
        <v>121</v>
      </c>
      <c r="O871" s="553" t="s">
        <v>121</v>
      </c>
      <c r="P871" s="553" t="s">
        <v>121</v>
      </c>
      <c r="Q871" s="553" t="s">
        <v>121</v>
      </c>
      <c r="R871" s="553" t="s">
        <v>121</v>
      </c>
      <c r="S871" s="553" t="s">
        <v>121</v>
      </c>
      <c r="T871" s="553" t="s">
        <v>121</v>
      </c>
      <c r="U871" s="553" t="s">
        <v>121</v>
      </c>
      <c r="V871" s="553" t="s">
        <v>121</v>
      </c>
    </row>
    <row r="872" spans="2:22" ht="21.95" hidden="1" customHeight="1" x14ac:dyDescent="0.25">
      <c r="B872" s="807"/>
      <c r="C872" s="808"/>
      <c r="D872" s="809"/>
      <c r="E872" s="813"/>
      <c r="F872" s="214"/>
      <c r="G872" s="215"/>
      <c r="H872" s="816"/>
      <c r="I872" s="816"/>
      <c r="J872" s="173"/>
      <c r="K872" s="175"/>
      <c r="L872" s="555" t="s">
        <v>189</v>
      </c>
      <c r="M872" s="553">
        <v>0</v>
      </c>
      <c r="N872" s="553">
        <v>0</v>
      </c>
      <c r="O872" s="553">
        <v>0</v>
      </c>
      <c r="P872" s="553">
        <v>0</v>
      </c>
      <c r="Q872" s="553">
        <v>0</v>
      </c>
      <c r="R872" s="553">
        <v>0</v>
      </c>
      <c r="S872" s="553">
        <v>0</v>
      </c>
      <c r="T872" s="553" t="s">
        <v>121</v>
      </c>
      <c r="U872" s="553" t="s">
        <v>121</v>
      </c>
      <c r="V872" s="553" t="s">
        <v>121</v>
      </c>
    </row>
    <row r="873" spans="2:22" ht="21.95" hidden="1" customHeight="1" x14ac:dyDescent="0.25">
      <c r="B873" s="810"/>
      <c r="C873" s="811"/>
      <c r="D873" s="812"/>
      <c r="E873" s="814"/>
      <c r="F873" s="214"/>
      <c r="G873" s="215"/>
      <c r="H873" s="817"/>
      <c r="I873" s="817"/>
      <c r="J873" s="173"/>
      <c r="K873" s="175"/>
      <c r="L873" s="555" t="s">
        <v>221</v>
      </c>
      <c r="M873" s="553">
        <v>0</v>
      </c>
      <c r="N873" s="553">
        <v>0</v>
      </c>
      <c r="O873" s="553">
        <v>0</v>
      </c>
      <c r="P873" s="553">
        <v>0</v>
      </c>
      <c r="Q873" s="553">
        <v>0</v>
      </c>
      <c r="R873" s="553">
        <v>0</v>
      </c>
      <c r="S873" s="553">
        <v>0</v>
      </c>
      <c r="T873" s="553" t="s">
        <v>121</v>
      </c>
      <c r="U873" s="553" t="s">
        <v>121</v>
      </c>
      <c r="V873" s="553" t="s">
        <v>121</v>
      </c>
    </row>
    <row r="874" spans="2:22" ht="21.95" hidden="1" customHeight="1" x14ac:dyDescent="0.25">
      <c r="B874" s="807"/>
      <c r="C874" s="808"/>
      <c r="D874" s="809"/>
      <c r="E874" s="814"/>
      <c r="F874" s="214"/>
      <c r="G874" s="215"/>
      <c r="H874" s="817"/>
      <c r="I874" s="817"/>
      <c r="J874" s="173"/>
      <c r="K874" s="835"/>
      <c r="L874" s="555" t="s">
        <v>226</v>
      </c>
      <c r="M874" s="553">
        <v>0</v>
      </c>
      <c r="N874" s="553">
        <v>0</v>
      </c>
      <c r="O874" s="553">
        <v>0</v>
      </c>
      <c r="P874" s="553">
        <v>0</v>
      </c>
      <c r="Q874" s="553">
        <v>0</v>
      </c>
      <c r="R874" s="553">
        <v>0</v>
      </c>
      <c r="S874" s="553">
        <v>0</v>
      </c>
      <c r="T874" s="553" t="s">
        <v>121</v>
      </c>
      <c r="U874" s="553" t="s">
        <v>121</v>
      </c>
      <c r="V874" s="553" t="s">
        <v>121</v>
      </c>
    </row>
    <row r="875" spans="2:22" ht="21.95" hidden="1" customHeight="1" x14ac:dyDescent="0.25">
      <c r="B875" s="810"/>
      <c r="C875" s="811"/>
      <c r="D875" s="812"/>
      <c r="E875" s="815"/>
      <c r="F875" s="214"/>
      <c r="G875" s="215"/>
      <c r="H875" s="818"/>
      <c r="I875" s="818"/>
      <c r="J875" s="173"/>
      <c r="K875" s="836"/>
      <c r="L875" s="555" t="s">
        <v>224</v>
      </c>
      <c r="M875" s="553">
        <v>0</v>
      </c>
      <c r="N875" s="553">
        <v>0</v>
      </c>
      <c r="O875" s="553">
        <v>0</v>
      </c>
      <c r="P875" s="553">
        <v>0</v>
      </c>
      <c r="Q875" s="553">
        <v>0</v>
      </c>
      <c r="R875" s="553">
        <v>0</v>
      </c>
      <c r="S875" s="553">
        <v>0</v>
      </c>
      <c r="T875" s="553" t="s">
        <v>121</v>
      </c>
      <c r="U875" s="553" t="s">
        <v>121</v>
      </c>
      <c r="V875" s="553" t="s">
        <v>121</v>
      </c>
    </row>
    <row r="876" spans="2:22" ht="21.95" hidden="1" customHeight="1" x14ac:dyDescent="0.25">
      <c r="B876" s="784"/>
      <c r="C876" s="785"/>
      <c r="D876" s="785"/>
      <c r="E876" s="785"/>
      <c r="F876" s="785"/>
      <c r="G876" s="785"/>
      <c r="H876" s="785"/>
      <c r="I876" s="785"/>
      <c r="J876" s="785"/>
      <c r="K876" s="786"/>
      <c r="L876" s="555" t="s">
        <v>225</v>
      </c>
      <c r="M876" s="553">
        <v>-0.25</v>
      </c>
      <c r="N876" s="553">
        <v>-0.25</v>
      </c>
      <c r="O876" s="553">
        <v>-0.25</v>
      </c>
      <c r="P876" s="553">
        <v>-0.25</v>
      </c>
      <c r="Q876" s="553">
        <v>-0.25</v>
      </c>
      <c r="R876" s="553">
        <v>-0.25</v>
      </c>
      <c r="S876" s="553">
        <v>-0.25</v>
      </c>
      <c r="T876" s="553" t="s">
        <v>121</v>
      </c>
      <c r="U876" s="553" t="s">
        <v>121</v>
      </c>
      <c r="V876" s="553" t="s">
        <v>121</v>
      </c>
    </row>
    <row r="877" spans="2:22" ht="21.95" hidden="1" customHeight="1" x14ac:dyDescent="0.25">
      <c r="B877" s="807"/>
      <c r="C877" s="808"/>
      <c r="D877" s="809"/>
      <c r="E877" s="813"/>
      <c r="F877" s="214"/>
      <c r="G877" s="215"/>
      <c r="H877" s="816"/>
      <c r="I877" s="816"/>
      <c r="J877" s="173"/>
      <c r="K877" s="175"/>
      <c r="L877" s="555" t="s">
        <v>416</v>
      </c>
      <c r="M877" s="553">
        <v>0</v>
      </c>
      <c r="N877" s="553">
        <v>0</v>
      </c>
      <c r="O877" s="553">
        <v>0</v>
      </c>
      <c r="P877" s="553">
        <v>-0.5</v>
      </c>
      <c r="Q877" s="553">
        <v>-0.75</v>
      </c>
      <c r="R877" s="553">
        <v>-1</v>
      </c>
      <c r="S877" s="553">
        <v>-1.25</v>
      </c>
      <c r="T877" s="553" t="s">
        <v>121</v>
      </c>
      <c r="U877" s="553" t="s">
        <v>121</v>
      </c>
      <c r="V877" s="553" t="s">
        <v>121</v>
      </c>
    </row>
    <row r="878" spans="2:22" ht="21.95" hidden="1" customHeight="1" x14ac:dyDescent="0.25">
      <c r="B878" s="810"/>
      <c r="C878" s="811"/>
      <c r="D878" s="812"/>
      <c r="E878" s="814"/>
      <c r="F878" s="214"/>
      <c r="G878" s="215"/>
      <c r="H878" s="817"/>
      <c r="I878" s="817"/>
      <c r="J878" s="173"/>
      <c r="K878" s="175"/>
      <c r="L878" s="555" t="s">
        <v>222</v>
      </c>
      <c r="M878" s="553">
        <v>0</v>
      </c>
      <c r="N878" s="553">
        <v>0</v>
      </c>
      <c r="O878" s="553">
        <v>0</v>
      </c>
      <c r="P878" s="553">
        <v>0</v>
      </c>
      <c r="Q878" s="553">
        <v>0</v>
      </c>
      <c r="R878" s="553">
        <v>0</v>
      </c>
      <c r="S878" s="553">
        <v>0</v>
      </c>
      <c r="T878" s="553" t="s">
        <v>121</v>
      </c>
      <c r="U878" s="553" t="s">
        <v>121</v>
      </c>
      <c r="V878" s="553" t="s">
        <v>121</v>
      </c>
    </row>
    <row r="879" spans="2:22" ht="21.95" hidden="1" customHeight="1" x14ac:dyDescent="0.25">
      <c r="B879" s="807"/>
      <c r="C879" s="808"/>
      <c r="D879" s="809"/>
      <c r="E879" s="814"/>
      <c r="F879" s="214"/>
      <c r="G879" s="215"/>
      <c r="H879" s="817"/>
      <c r="I879" s="817"/>
      <c r="J879" s="173"/>
      <c r="K879" s="819"/>
      <c r="L879" s="555" t="s">
        <v>130</v>
      </c>
      <c r="M879" s="553">
        <v>0</v>
      </c>
      <c r="N879" s="553">
        <v>0</v>
      </c>
      <c r="O879" s="553">
        <v>0</v>
      </c>
      <c r="P879" s="553">
        <v>0</v>
      </c>
      <c r="Q879" s="553">
        <v>0</v>
      </c>
      <c r="R879" s="553">
        <v>0</v>
      </c>
      <c r="S879" s="553">
        <v>0</v>
      </c>
      <c r="T879" s="553" t="s">
        <v>121</v>
      </c>
      <c r="U879" s="553" t="s">
        <v>121</v>
      </c>
      <c r="V879" s="553" t="s">
        <v>121</v>
      </c>
    </row>
    <row r="880" spans="2:22" ht="21.95" hidden="1" customHeight="1" x14ac:dyDescent="0.25">
      <c r="B880" s="810"/>
      <c r="C880" s="811"/>
      <c r="D880" s="812"/>
      <c r="E880" s="815"/>
      <c r="F880" s="214"/>
      <c r="G880" s="215"/>
      <c r="H880" s="818"/>
      <c r="I880" s="818"/>
      <c r="J880" s="173"/>
      <c r="K880" s="820"/>
      <c r="L880" s="555" t="s">
        <v>223</v>
      </c>
      <c r="M880" s="553">
        <v>0</v>
      </c>
      <c r="N880" s="553">
        <v>0</v>
      </c>
      <c r="O880" s="553">
        <v>0</v>
      </c>
      <c r="P880" s="553">
        <v>0</v>
      </c>
      <c r="Q880" s="553">
        <v>0</v>
      </c>
      <c r="R880" s="553">
        <v>0</v>
      </c>
      <c r="S880" s="553">
        <v>0</v>
      </c>
      <c r="T880" s="553" t="s">
        <v>121</v>
      </c>
      <c r="U880" s="553" t="s">
        <v>121</v>
      </c>
      <c r="V880" s="553" t="s">
        <v>121</v>
      </c>
    </row>
    <row r="881" spans="2:22" ht="21.95" hidden="1" customHeight="1" x14ac:dyDescent="0.25">
      <c r="B881" s="784"/>
      <c r="C881" s="785"/>
      <c r="D881" s="785"/>
      <c r="E881" s="785"/>
      <c r="F881" s="785"/>
      <c r="G881" s="785"/>
      <c r="H881" s="785"/>
      <c r="I881" s="785"/>
      <c r="J881" s="785"/>
      <c r="K881" s="786"/>
      <c r="L881" s="560"/>
      <c r="M881" s="601"/>
      <c r="N881" s="601"/>
      <c r="O881" s="601"/>
      <c r="P881" s="601"/>
      <c r="Q881" s="601"/>
      <c r="R881" s="601"/>
      <c r="S881" s="601"/>
      <c r="T881" s="601"/>
      <c r="U881" s="601"/>
      <c r="V881" s="561"/>
    </row>
    <row r="882" spans="2:22" ht="21.95" hidden="1" customHeight="1" thickBot="1" x14ac:dyDescent="0.25">
      <c r="B882" s="787"/>
      <c r="C882" s="788"/>
      <c r="D882" s="789"/>
      <c r="E882" s="216"/>
      <c r="F882" s="217"/>
      <c r="G882" s="218"/>
      <c r="H882" s="218"/>
      <c r="I882" s="218"/>
      <c r="J882" s="219"/>
      <c r="K882" s="220"/>
      <c r="L882" s="602"/>
      <c r="M882" s="603"/>
      <c r="N882" s="603"/>
      <c r="O882" s="603"/>
      <c r="P882" s="603"/>
      <c r="Q882" s="603"/>
      <c r="R882" s="603"/>
      <c r="S882" s="603"/>
      <c r="T882" s="603"/>
      <c r="U882" s="603"/>
      <c r="V882" s="562"/>
    </row>
    <row r="883" spans="2:22" ht="21.95" hidden="1" customHeight="1" thickBot="1" x14ac:dyDescent="0.25">
      <c r="B883" s="790" t="s">
        <v>392</v>
      </c>
      <c r="C883" s="791"/>
      <c r="D883" s="791"/>
      <c r="E883" s="791"/>
      <c r="F883" s="791"/>
      <c r="G883" s="791"/>
      <c r="H883" s="791"/>
      <c r="I883" s="791"/>
      <c r="J883" s="791"/>
      <c r="K883" s="791"/>
      <c r="L883" s="791"/>
      <c r="M883" s="791"/>
      <c r="N883" s="791"/>
      <c r="O883" s="791"/>
      <c r="P883" s="791"/>
      <c r="Q883" s="791"/>
      <c r="R883" s="791"/>
      <c r="S883" s="791"/>
      <c r="T883" s="791"/>
      <c r="U883" s="791"/>
      <c r="V883" s="792"/>
    </row>
    <row r="884" spans="2:22" ht="21.95" hidden="1" customHeight="1" x14ac:dyDescent="0.3">
      <c r="B884" s="793" t="s">
        <v>393</v>
      </c>
      <c r="C884" s="794"/>
      <c r="D884" s="794"/>
      <c r="E884" s="794"/>
      <c r="F884" s="795"/>
      <c r="G884" s="796"/>
      <c r="H884" s="794"/>
      <c r="I884" s="794"/>
      <c r="J884" s="794"/>
      <c r="K884" s="795"/>
      <c r="L884" s="797" t="s">
        <v>394</v>
      </c>
      <c r="M884" s="798"/>
      <c r="N884" s="798"/>
      <c r="O884" s="798"/>
      <c r="P884" s="798"/>
      <c r="Q884" s="798"/>
      <c r="R884" s="798"/>
      <c r="S884" s="798"/>
      <c r="T884" s="798"/>
      <c r="U884" s="798"/>
      <c r="V884" s="799"/>
    </row>
    <row r="885" spans="2:22" ht="21.95" hidden="1" customHeight="1" x14ac:dyDescent="0.25">
      <c r="B885" s="359" t="s">
        <v>4</v>
      </c>
      <c r="C885" s="353" t="s">
        <v>434</v>
      </c>
      <c r="D885" s="353" t="s">
        <v>5</v>
      </c>
      <c r="E885" s="353" t="s">
        <v>6</v>
      </c>
      <c r="F885" s="353" t="s">
        <v>75</v>
      </c>
      <c r="G885" s="359" t="s">
        <v>4</v>
      </c>
      <c r="H885" s="353" t="s">
        <v>434</v>
      </c>
      <c r="I885" s="353" t="s">
        <v>5</v>
      </c>
      <c r="J885" s="353" t="s">
        <v>6</v>
      </c>
      <c r="K885" s="424" t="s">
        <v>75</v>
      </c>
      <c r="L885" s="605"/>
      <c r="M885" s="547"/>
      <c r="N885" s="547"/>
      <c r="O885" s="547"/>
      <c r="P885" s="547"/>
      <c r="Q885" s="547"/>
      <c r="R885" s="800" t="s">
        <v>395</v>
      </c>
      <c r="S885" s="801"/>
      <c r="T885" s="1192" t="s">
        <v>396</v>
      </c>
      <c r="U885" s="1193"/>
      <c r="V885" s="548"/>
    </row>
    <row r="886" spans="2:22" ht="21.95" hidden="1" customHeight="1" x14ac:dyDescent="0.25">
      <c r="B886" s="26">
        <v>6.75</v>
      </c>
      <c r="C886" s="20">
        <v>85</v>
      </c>
      <c r="D886" s="20">
        <v>85</v>
      </c>
      <c r="E886" s="20">
        <v>85</v>
      </c>
      <c r="F886" s="20">
        <v>85</v>
      </c>
      <c r="G886" s="49"/>
      <c r="H886" s="20"/>
      <c r="I886" s="20"/>
      <c r="J886" s="20"/>
      <c r="K886" s="27"/>
      <c r="L886" s="605"/>
      <c r="M886" s="547" t="s">
        <v>397</v>
      </c>
      <c r="N886" s="547" t="s">
        <v>170</v>
      </c>
      <c r="O886" s="547" t="s">
        <v>171</v>
      </c>
      <c r="P886" s="547" t="s">
        <v>172</v>
      </c>
      <c r="Q886" s="547" t="s">
        <v>173</v>
      </c>
      <c r="R886" s="606" t="s">
        <v>174</v>
      </c>
      <c r="S886" s="606" t="s">
        <v>175</v>
      </c>
      <c r="T886" s="607" t="s">
        <v>174</v>
      </c>
      <c r="U886" s="607" t="s">
        <v>175</v>
      </c>
      <c r="V886" s="548"/>
    </row>
    <row r="887" spans="2:22" ht="21.95" hidden="1" customHeight="1" x14ac:dyDescent="0.25">
      <c r="B887" s="26">
        <f>B886+0.125</f>
        <v>6.875</v>
      </c>
      <c r="C887" s="20">
        <v>85</v>
      </c>
      <c r="D887" s="20">
        <v>85</v>
      </c>
      <c r="E887" s="20">
        <v>85</v>
      </c>
      <c r="F887" s="20">
        <v>85</v>
      </c>
      <c r="G887" s="49"/>
      <c r="H887" s="20"/>
      <c r="I887" s="20"/>
      <c r="J887" s="20"/>
      <c r="K887" s="27"/>
      <c r="L887" s="608"/>
      <c r="M887" s="550">
        <v>60</v>
      </c>
      <c r="N887" s="550">
        <v>65</v>
      </c>
      <c r="O887" s="550">
        <v>70</v>
      </c>
      <c r="P887" s="550">
        <v>75</v>
      </c>
      <c r="Q887" s="550">
        <v>80</v>
      </c>
      <c r="R887" s="609">
        <v>85</v>
      </c>
      <c r="S887" s="609">
        <v>89.99</v>
      </c>
      <c r="T887" s="610">
        <v>85</v>
      </c>
      <c r="U887" s="610">
        <v>89.99</v>
      </c>
      <c r="V887" s="551" t="s">
        <v>414</v>
      </c>
    </row>
    <row r="888" spans="2:22" ht="21.95" hidden="1" customHeight="1" x14ac:dyDescent="0.25">
      <c r="B888" s="26">
        <f t="shared" ref="B888:B897" si="205">B887+0.125</f>
        <v>7</v>
      </c>
      <c r="C888" s="20">
        <v>85</v>
      </c>
      <c r="D888" s="20">
        <v>85</v>
      </c>
      <c r="E888" s="20">
        <v>85</v>
      </c>
      <c r="F888" s="20">
        <v>85</v>
      </c>
      <c r="G888" s="49"/>
      <c r="H888" s="20"/>
      <c r="I888" s="20"/>
      <c r="J888" s="20"/>
      <c r="K888" s="27"/>
      <c r="L888" s="611" t="s">
        <v>398</v>
      </c>
      <c r="M888" s="612">
        <v>0.625</v>
      </c>
      <c r="N888" s="612">
        <v>0.5</v>
      </c>
      <c r="O888" s="612">
        <v>0.375</v>
      </c>
      <c r="P888" s="612">
        <v>0.25</v>
      </c>
      <c r="Q888" s="612">
        <v>0.125</v>
      </c>
      <c r="R888" s="613">
        <v>-0.125</v>
      </c>
      <c r="S888" s="614">
        <v>-0.125</v>
      </c>
      <c r="T888" s="615">
        <v>-0.25</v>
      </c>
      <c r="U888" s="616">
        <v>-1</v>
      </c>
      <c r="V888" s="617" t="s">
        <v>121</v>
      </c>
    </row>
    <row r="889" spans="2:22" ht="21.95" hidden="1" customHeight="1" x14ac:dyDescent="0.25">
      <c r="B889" s="26">
        <f t="shared" si="205"/>
        <v>7.125</v>
      </c>
      <c r="C889" s="20">
        <v>85</v>
      </c>
      <c r="D889" s="20">
        <v>85</v>
      </c>
      <c r="E889" s="20">
        <v>85</v>
      </c>
      <c r="F889" s="20">
        <v>85</v>
      </c>
      <c r="G889" s="49"/>
      <c r="H889" s="20"/>
      <c r="I889" s="20"/>
      <c r="J889" s="20"/>
      <c r="K889" s="27"/>
      <c r="L889" s="611" t="s">
        <v>399</v>
      </c>
      <c r="M889" s="612">
        <v>0.5</v>
      </c>
      <c r="N889" s="612">
        <v>0.5</v>
      </c>
      <c r="O889" s="612">
        <v>0.375</v>
      </c>
      <c r="P889" s="612">
        <v>0.25</v>
      </c>
      <c r="Q889" s="612">
        <v>0.125</v>
      </c>
      <c r="R889" s="613">
        <v>-0.125</v>
      </c>
      <c r="S889" s="614">
        <v>-0.125</v>
      </c>
      <c r="T889" s="615">
        <v>-0.375</v>
      </c>
      <c r="U889" s="616">
        <v>-1.25</v>
      </c>
      <c r="V889" s="617" t="s">
        <v>121</v>
      </c>
    </row>
    <row r="890" spans="2:22" ht="21.95" hidden="1" customHeight="1" x14ac:dyDescent="0.25">
      <c r="B890" s="26">
        <f t="shared" si="205"/>
        <v>7.25</v>
      </c>
      <c r="C890" s="20">
        <v>85</v>
      </c>
      <c r="D890" s="20">
        <v>85</v>
      </c>
      <c r="E890" s="20">
        <v>85</v>
      </c>
      <c r="F890" s="20">
        <v>85</v>
      </c>
      <c r="G890" s="49"/>
      <c r="H890" s="20"/>
      <c r="I890" s="20"/>
      <c r="J890" s="20"/>
      <c r="K890" s="27"/>
      <c r="L890" s="611" t="s">
        <v>400</v>
      </c>
      <c r="M890" s="612">
        <v>0.5</v>
      </c>
      <c r="N890" s="612">
        <v>0.5</v>
      </c>
      <c r="O890" s="612">
        <v>0.375</v>
      </c>
      <c r="P890" s="612">
        <v>0.25</v>
      </c>
      <c r="Q890" s="612">
        <v>0</v>
      </c>
      <c r="R890" s="613">
        <v>-0.125</v>
      </c>
      <c r="S890" s="614">
        <v>-0.125</v>
      </c>
      <c r="T890" s="615">
        <v>-0.5</v>
      </c>
      <c r="U890" s="616">
        <v>-1.5</v>
      </c>
      <c r="V890" s="617" t="s">
        <v>121</v>
      </c>
    </row>
    <row r="891" spans="2:22" ht="21.95" hidden="1" customHeight="1" x14ac:dyDescent="0.25">
      <c r="B891" s="26">
        <f t="shared" si="205"/>
        <v>7.375</v>
      </c>
      <c r="C891" s="20">
        <v>85</v>
      </c>
      <c r="D891" s="20">
        <v>85</v>
      </c>
      <c r="E891" s="20">
        <v>85</v>
      </c>
      <c r="F891" s="20">
        <v>85</v>
      </c>
      <c r="G891" s="49"/>
      <c r="H891" s="20"/>
      <c r="I891" s="20"/>
      <c r="J891" s="20"/>
      <c r="K891" s="27"/>
      <c r="L891" s="611" t="s">
        <v>401</v>
      </c>
      <c r="M891" s="612">
        <v>0.5</v>
      </c>
      <c r="N891" s="612">
        <v>0.375</v>
      </c>
      <c r="O891" s="612">
        <v>0.375</v>
      </c>
      <c r="P891" s="612">
        <v>0.125</v>
      </c>
      <c r="Q891" s="612">
        <v>0</v>
      </c>
      <c r="R891" s="613">
        <v>-0.25</v>
      </c>
      <c r="S891" s="614">
        <v>-0.125</v>
      </c>
      <c r="T891" s="615">
        <v>-0.75</v>
      </c>
      <c r="U891" s="616">
        <v>-2</v>
      </c>
      <c r="V891" s="617" t="s">
        <v>121</v>
      </c>
    </row>
    <row r="892" spans="2:22" ht="21.95" hidden="1" customHeight="1" x14ac:dyDescent="0.25">
      <c r="B892" s="26">
        <f t="shared" si="205"/>
        <v>7.5</v>
      </c>
      <c r="C892" s="20">
        <v>85</v>
      </c>
      <c r="D892" s="20">
        <v>85</v>
      </c>
      <c r="E892" s="20">
        <v>85</v>
      </c>
      <c r="F892" s="20">
        <v>85</v>
      </c>
      <c r="G892" s="49"/>
      <c r="H892" s="20"/>
      <c r="I892" s="20"/>
      <c r="J892" s="20"/>
      <c r="K892" s="27"/>
      <c r="L892" s="611" t="s">
        <v>402</v>
      </c>
      <c r="M892" s="612">
        <v>0.375</v>
      </c>
      <c r="N892" s="612">
        <v>0.25</v>
      </c>
      <c r="O892" s="612">
        <v>0</v>
      </c>
      <c r="P892" s="612">
        <v>-0.25</v>
      </c>
      <c r="Q892" s="612">
        <v>-0.5</v>
      </c>
      <c r="R892" s="613">
        <v>-0.5</v>
      </c>
      <c r="S892" s="614">
        <v>-0.625</v>
      </c>
      <c r="T892" s="615">
        <v>-1.25</v>
      </c>
      <c r="U892" s="616">
        <v>-2.25</v>
      </c>
      <c r="V892" s="617" t="s">
        <v>121</v>
      </c>
    </row>
    <row r="893" spans="2:22" ht="21.95" hidden="1" customHeight="1" x14ac:dyDescent="0.25">
      <c r="B893" s="26">
        <f t="shared" si="205"/>
        <v>7.625</v>
      </c>
      <c r="C893" s="20">
        <v>85</v>
      </c>
      <c r="D893" s="20">
        <v>85</v>
      </c>
      <c r="E893" s="20">
        <v>85</v>
      </c>
      <c r="F893" s="20">
        <v>85</v>
      </c>
      <c r="G893" s="49"/>
      <c r="H893" s="20"/>
      <c r="I893" s="20"/>
      <c r="J893" s="20"/>
      <c r="K893" s="27"/>
      <c r="L893" s="611" t="s">
        <v>403</v>
      </c>
      <c r="M893" s="612">
        <v>0.25</v>
      </c>
      <c r="N893" s="612">
        <v>0.25</v>
      </c>
      <c r="O893" s="612">
        <v>0</v>
      </c>
      <c r="P893" s="612">
        <v>-0.375</v>
      </c>
      <c r="Q893" s="612">
        <v>-0.75</v>
      </c>
      <c r="R893" s="613">
        <v>-0.87499999999999989</v>
      </c>
      <c r="S893" s="614">
        <v>-0.87499999999999989</v>
      </c>
      <c r="T893" s="615">
        <v>-2</v>
      </c>
      <c r="U893" s="616">
        <v>-3.5000000000000004</v>
      </c>
      <c r="V893" s="617" t="s">
        <v>121</v>
      </c>
    </row>
    <row r="894" spans="2:22" ht="21.95" hidden="1" customHeight="1" thickBot="1" x14ac:dyDescent="0.25">
      <c r="B894" s="26">
        <f t="shared" si="205"/>
        <v>7.75</v>
      </c>
      <c r="C894" s="20">
        <v>85</v>
      </c>
      <c r="D894" s="20">
        <v>85</v>
      </c>
      <c r="E894" s="20">
        <v>85</v>
      </c>
      <c r="F894" s="20">
        <v>85</v>
      </c>
      <c r="G894" s="49"/>
      <c r="H894" s="20"/>
      <c r="I894" s="20"/>
      <c r="J894" s="20"/>
      <c r="K894" s="27"/>
      <c r="L894" s="618" t="s">
        <v>404</v>
      </c>
      <c r="M894" s="619">
        <v>0.25</v>
      </c>
      <c r="N894" s="619">
        <v>0.125</v>
      </c>
      <c r="O894" s="619">
        <v>-0.125</v>
      </c>
      <c r="P894" s="619">
        <v>-0.5</v>
      </c>
      <c r="Q894" s="619">
        <v>-1.25</v>
      </c>
      <c r="R894" s="620">
        <v>-1.125</v>
      </c>
      <c r="S894" s="621">
        <v>-1.375</v>
      </c>
      <c r="T894" s="622">
        <v>-2.5</v>
      </c>
      <c r="U894" s="623">
        <v>-4</v>
      </c>
      <c r="V894" s="617" t="s">
        <v>121</v>
      </c>
    </row>
    <row r="895" spans="2:22" ht="21.95" hidden="1" customHeight="1" thickBot="1" x14ac:dyDescent="0.3">
      <c r="B895" s="26">
        <f t="shared" si="205"/>
        <v>7.875</v>
      </c>
      <c r="C895" s="20">
        <v>85</v>
      </c>
      <c r="D895" s="20">
        <v>85</v>
      </c>
      <c r="E895" s="20">
        <v>85</v>
      </c>
      <c r="F895" s="20">
        <v>85</v>
      </c>
      <c r="G895" s="49"/>
      <c r="H895" s="20"/>
      <c r="I895" s="20"/>
      <c r="J895" s="20"/>
      <c r="K895" s="27"/>
      <c r="L895" s="1138" t="s">
        <v>405</v>
      </c>
      <c r="M895" s="892"/>
      <c r="N895" s="892"/>
      <c r="O895" s="892"/>
      <c r="P895" s="892"/>
      <c r="Q895" s="892"/>
      <c r="R895" s="892"/>
      <c r="S895" s="892"/>
      <c r="T895" s="892"/>
      <c r="U895" s="892"/>
      <c r="V895" s="893"/>
    </row>
    <row r="896" spans="2:22" ht="21.95" hidden="1" customHeight="1" x14ac:dyDescent="0.3">
      <c r="B896" s="26">
        <f t="shared" si="205"/>
        <v>8</v>
      </c>
      <c r="C896" s="20">
        <v>85</v>
      </c>
      <c r="D896" s="20">
        <v>85</v>
      </c>
      <c r="E896" s="20">
        <v>85</v>
      </c>
      <c r="F896" s="20">
        <v>85</v>
      </c>
      <c r="G896" s="49"/>
      <c r="H896" s="20"/>
      <c r="I896" s="20"/>
      <c r="J896" s="20"/>
      <c r="K896" s="27"/>
      <c r="L896" s="604"/>
      <c r="M896" s="547" t="s">
        <v>397</v>
      </c>
      <c r="N896" s="547" t="s">
        <v>170</v>
      </c>
      <c r="O896" s="547" t="s">
        <v>171</v>
      </c>
      <c r="P896" s="547" t="s">
        <v>172</v>
      </c>
      <c r="Q896" s="547" t="s">
        <v>173</v>
      </c>
      <c r="R896" s="547" t="s">
        <v>174</v>
      </c>
      <c r="S896" s="547" t="s">
        <v>175</v>
      </c>
      <c r="T896" s="547"/>
      <c r="U896" s="624"/>
      <c r="V896" s="548"/>
    </row>
    <row r="897" spans="2:22" ht="21.95" hidden="1" customHeight="1" x14ac:dyDescent="0.3">
      <c r="B897" s="26">
        <f t="shared" si="205"/>
        <v>8.125</v>
      </c>
      <c r="C897" s="20">
        <v>85</v>
      </c>
      <c r="D897" s="20">
        <v>85</v>
      </c>
      <c r="E897" s="20">
        <v>85</v>
      </c>
      <c r="F897" s="20">
        <v>85</v>
      </c>
      <c r="G897" s="49"/>
      <c r="H897" s="20"/>
      <c r="I897" s="20"/>
      <c r="J897" s="20"/>
      <c r="K897" s="27"/>
      <c r="L897" s="625"/>
      <c r="M897" s="550">
        <v>60</v>
      </c>
      <c r="N897" s="550">
        <v>65</v>
      </c>
      <c r="O897" s="550">
        <v>70</v>
      </c>
      <c r="P897" s="550">
        <v>75</v>
      </c>
      <c r="Q897" s="550">
        <v>80</v>
      </c>
      <c r="R897" s="550">
        <v>85</v>
      </c>
      <c r="S897" s="550">
        <v>89.99</v>
      </c>
      <c r="T897" s="550" t="s">
        <v>414</v>
      </c>
      <c r="U897" s="549"/>
      <c r="V897" s="551"/>
    </row>
    <row r="898" spans="2:22" ht="21.95" hidden="1" customHeight="1" x14ac:dyDescent="0.25">
      <c r="B898" s="26">
        <v>8.25</v>
      </c>
      <c r="C898" s="20">
        <v>85</v>
      </c>
      <c r="D898" s="20">
        <v>85</v>
      </c>
      <c r="E898" s="20">
        <v>85</v>
      </c>
      <c r="F898" s="20">
        <v>85</v>
      </c>
      <c r="G898" s="49"/>
      <c r="H898" s="20"/>
      <c r="I898" s="20"/>
      <c r="J898" s="20"/>
      <c r="K898" s="39"/>
      <c r="L898" s="611" t="s">
        <v>406</v>
      </c>
      <c r="M898" s="626">
        <v>0</v>
      </c>
      <c r="N898" s="626">
        <v>0</v>
      </c>
      <c r="O898" s="626">
        <v>0</v>
      </c>
      <c r="P898" s="626">
        <v>-0.375</v>
      </c>
      <c r="Q898" s="626">
        <v>-0.49999999999999994</v>
      </c>
      <c r="R898" s="626">
        <v>-0.49999999999999994</v>
      </c>
      <c r="S898" s="627">
        <v>-0.49999999999999994</v>
      </c>
      <c r="T898" s="556" t="s">
        <v>121</v>
      </c>
      <c r="U898" s="1183"/>
      <c r="V898" s="1184"/>
    </row>
    <row r="899" spans="2:22" ht="21.95" hidden="1" customHeight="1" x14ac:dyDescent="0.25">
      <c r="B899" s="860"/>
      <c r="C899" s="861"/>
      <c r="D899" s="861"/>
      <c r="E899" s="861"/>
      <c r="F899" s="861"/>
      <c r="G899" s="861"/>
      <c r="H899" s="861"/>
      <c r="I899" s="861"/>
      <c r="J899" s="861"/>
      <c r="K899" s="862"/>
      <c r="L899" s="611" t="s">
        <v>192</v>
      </c>
      <c r="M899" s="626">
        <v>0</v>
      </c>
      <c r="N899" s="626">
        <v>-0.25</v>
      </c>
      <c r="O899" s="626">
        <v>-0.25</v>
      </c>
      <c r="P899" s="556" t="s">
        <v>121</v>
      </c>
      <c r="Q899" s="556" t="s">
        <v>121</v>
      </c>
      <c r="R899" s="556" t="s">
        <v>121</v>
      </c>
      <c r="S899" s="556" t="s">
        <v>121</v>
      </c>
      <c r="T899" s="556" t="s">
        <v>121</v>
      </c>
      <c r="U899" s="1185"/>
      <c r="V899" s="1186"/>
    </row>
    <row r="900" spans="2:22" ht="21.95" hidden="1" customHeight="1" x14ac:dyDescent="0.25">
      <c r="B900" s="824"/>
      <c r="C900" s="825"/>
      <c r="D900" s="825"/>
      <c r="E900" s="825"/>
      <c r="F900" s="825"/>
      <c r="G900" s="825"/>
      <c r="H900" s="825"/>
      <c r="I900" s="825"/>
      <c r="J900" s="825"/>
      <c r="K900" s="826"/>
      <c r="L900" s="611" t="s">
        <v>163</v>
      </c>
      <c r="M900" s="556" t="s">
        <v>121</v>
      </c>
      <c r="N900" s="556" t="s">
        <v>121</v>
      </c>
      <c r="O900" s="556" t="s">
        <v>121</v>
      </c>
      <c r="P900" s="556" t="s">
        <v>121</v>
      </c>
      <c r="Q900" s="556" t="s">
        <v>121</v>
      </c>
      <c r="R900" s="556" t="s">
        <v>121</v>
      </c>
      <c r="S900" s="556" t="s">
        <v>121</v>
      </c>
      <c r="T900" s="556" t="s">
        <v>121</v>
      </c>
      <c r="U900" s="1185"/>
      <c r="V900" s="1186"/>
    </row>
    <row r="901" spans="2:22" ht="21.95" hidden="1" customHeight="1" x14ac:dyDescent="0.25">
      <c r="B901" s="838"/>
      <c r="C901" s="839"/>
      <c r="D901" s="839"/>
      <c r="E901" s="839"/>
      <c r="F901" s="839"/>
      <c r="G901" s="839"/>
      <c r="H901" s="839"/>
      <c r="I901" s="839"/>
      <c r="J901" s="839"/>
      <c r="K901" s="840"/>
      <c r="L901" s="611" t="s">
        <v>407</v>
      </c>
      <c r="M901" s="626">
        <v>-0.25</v>
      </c>
      <c r="N901" s="626">
        <v>-0.375</v>
      </c>
      <c r="O901" s="626">
        <v>-0.625</v>
      </c>
      <c r="P901" s="626">
        <v>-0.87500000000000011</v>
      </c>
      <c r="Q901" s="556" t="s">
        <v>121</v>
      </c>
      <c r="R901" s="556" t="s">
        <v>121</v>
      </c>
      <c r="S901" s="556" t="s">
        <v>121</v>
      </c>
      <c r="T901" s="556" t="s">
        <v>121</v>
      </c>
      <c r="U901" s="1185"/>
      <c r="V901" s="1186"/>
    </row>
    <row r="902" spans="2:22" ht="21.95" hidden="1" customHeight="1" x14ac:dyDescent="0.25">
      <c r="B902" s="1194"/>
      <c r="C902" s="1195"/>
      <c r="D902" s="1195"/>
      <c r="E902" s="1195"/>
      <c r="F902" s="1195"/>
      <c r="G902" s="1195"/>
      <c r="H902" s="1195"/>
      <c r="I902" s="1195"/>
      <c r="J902" s="1195"/>
      <c r="K902" s="1196"/>
      <c r="L902" s="628" t="s">
        <v>408</v>
      </c>
      <c r="M902" s="626">
        <v>-0.25</v>
      </c>
      <c r="N902" s="626">
        <v>-0.5</v>
      </c>
      <c r="O902" s="556" t="s">
        <v>121</v>
      </c>
      <c r="P902" s="556" t="s">
        <v>121</v>
      </c>
      <c r="Q902" s="556" t="s">
        <v>121</v>
      </c>
      <c r="R902" s="556" t="s">
        <v>121</v>
      </c>
      <c r="S902" s="556" t="s">
        <v>121</v>
      </c>
      <c r="T902" s="556" t="s">
        <v>121</v>
      </c>
      <c r="U902" s="1185"/>
      <c r="V902" s="1186"/>
    </row>
    <row r="903" spans="2:22" ht="21.95" hidden="1" customHeight="1" x14ac:dyDescent="0.25">
      <c r="B903" s="1194"/>
      <c r="C903" s="1195"/>
      <c r="D903" s="1195"/>
      <c r="E903" s="1195"/>
      <c r="F903" s="1195"/>
      <c r="G903" s="1195"/>
      <c r="H903" s="1195"/>
      <c r="I903" s="1195"/>
      <c r="J903" s="1195"/>
      <c r="K903" s="1196"/>
      <c r="L903" s="628" t="s">
        <v>208</v>
      </c>
      <c r="M903" s="626">
        <v>-0.25</v>
      </c>
      <c r="N903" s="626">
        <v>-0.5</v>
      </c>
      <c r="O903" s="556" t="s">
        <v>121</v>
      </c>
      <c r="P903" s="556" t="s">
        <v>121</v>
      </c>
      <c r="Q903" s="556" t="s">
        <v>121</v>
      </c>
      <c r="R903" s="556" t="s">
        <v>121</v>
      </c>
      <c r="S903" s="556" t="s">
        <v>121</v>
      </c>
      <c r="T903" s="556" t="s">
        <v>121</v>
      </c>
      <c r="U903" s="1185"/>
      <c r="V903" s="1186"/>
    </row>
    <row r="904" spans="2:22" ht="21.95" hidden="1" customHeight="1" x14ac:dyDescent="0.25">
      <c r="B904" s="1194"/>
      <c r="C904" s="1195"/>
      <c r="D904" s="1195"/>
      <c r="E904" s="1195"/>
      <c r="F904" s="1195"/>
      <c r="G904" s="1195"/>
      <c r="H904" s="1195"/>
      <c r="I904" s="1195"/>
      <c r="J904" s="1195"/>
      <c r="K904" s="1196"/>
      <c r="L904" s="628" t="s">
        <v>84</v>
      </c>
      <c r="M904" s="626">
        <v>-0.125</v>
      </c>
      <c r="N904" s="626">
        <v>-0.125</v>
      </c>
      <c r="O904" s="626">
        <v>-0.125</v>
      </c>
      <c r="P904" s="626">
        <v>-0.125</v>
      </c>
      <c r="Q904" s="626">
        <v>-0.125</v>
      </c>
      <c r="R904" s="626">
        <v>-0.125</v>
      </c>
      <c r="S904" s="627">
        <v>-0.125</v>
      </c>
      <c r="T904" s="556" t="s">
        <v>121</v>
      </c>
      <c r="U904" s="1185"/>
      <c r="V904" s="1186"/>
    </row>
    <row r="905" spans="2:22" ht="21.95" hidden="1" customHeight="1" x14ac:dyDescent="0.25">
      <c r="B905" s="1194"/>
      <c r="C905" s="1195"/>
      <c r="D905" s="1195"/>
      <c r="E905" s="1195"/>
      <c r="F905" s="1195"/>
      <c r="G905" s="1195"/>
      <c r="H905" s="1195"/>
      <c r="I905" s="1195"/>
      <c r="J905" s="1195"/>
      <c r="K905" s="1196"/>
      <c r="L905" s="628" t="s">
        <v>409</v>
      </c>
      <c r="M905" s="626">
        <v>-0.125</v>
      </c>
      <c r="N905" s="626">
        <v>-0.125</v>
      </c>
      <c r="O905" s="626">
        <v>-0.125</v>
      </c>
      <c r="P905" s="626">
        <v>-0.125</v>
      </c>
      <c r="Q905" s="626">
        <v>-0.125</v>
      </c>
      <c r="R905" s="626">
        <v>-0.125</v>
      </c>
      <c r="S905" s="627">
        <v>-0.125</v>
      </c>
      <c r="T905" s="556" t="s">
        <v>121</v>
      </c>
      <c r="U905" s="1185"/>
      <c r="V905" s="1186"/>
    </row>
    <row r="906" spans="2:22" ht="21.95" hidden="1" customHeight="1" thickBot="1" x14ac:dyDescent="0.25">
      <c r="B906" s="1194"/>
      <c r="C906" s="1195"/>
      <c r="D906" s="1195"/>
      <c r="E906" s="1195"/>
      <c r="F906" s="1195"/>
      <c r="G906" s="1195"/>
      <c r="H906" s="1195"/>
      <c r="I906" s="1195"/>
      <c r="J906" s="1195"/>
      <c r="K906" s="1196"/>
      <c r="L906" s="629" t="s">
        <v>410</v>
      </c>
      <c r="M906" s="630">
        <v>-0.125</v>
      </c>
      <c r="N906" s="630">
        <v>-0.375</v>
      </c>
      <c r="O906" s="630">
        <v>-0.5</v>
      </c>
      <c r="P906" s="630">
        <v>-0.75</v>
      </c>
      <c r="Q906" s="630">
        <v>-1</v>
      </c>
      <c r="R906" s="630">
        <v>-1</v>
      </c>
      <c r="S906" s="631">
        <v>-1.25</v>
      </c>
      <c r="T906" s="556" t="s">
        <v>121</v>
      </c>
      <c r="U906" s="1185"/>
      <c r="V906" s="1186"/>
    </row>
    <row r="907" spans="2:22" ht="21.95" hidden="1" customHeight="1" thickBot="1" x14ac:dyDescent="0.3">
      <c r="B907" s="1194"/>
      <c r="C907" s="1195"/>
      <c r="D907" s="1195"/>
      <c r="E907" s="1195"/>
      <c r="F907" s="1195"/>
      <c r="G907" s="1195"/>
      <c r="H907" s="1195"/>
      <c r="I907" s="1195"/>
      <c r="J907" s="1195"/>
      <c r="K907" s="1196"/>
      <c r="L907" s="1138" t="s">
        <v>411</v>
      </c>
      <c r="M907" s="892"/>
      <c r="N907" s="892"/>
      <c r="O907" s="892"/>
      <c r="P907" s="892"/>
      <c r="Q907" s="892"/>
      <c r="R907" s="892"/>
      <c r="S907" s="892"/>
      <c r="T907" s="892"/>
      <c r="U907" s="892"/>
      <c r="V907" s="893"/>
    </row>
    <row r="908" spans="2:22" ht="21.95" hidden="1" customHeight="1" x14ac:dyDescent="0.25">
      <c r="B908" s="1194"/>
      <c r="C908" s="1195"/>
      <c r="D908" s="1195"/>
      <c r="E908" s="1195"/>
      <c r="F908" s="1195"/>
      <c r="G908" s="1195"/>
      <c r="H908" s="1195"/>
      <c r="I908" s="1195"/>
      <c r="J908" s="1195"/>
      <c r="K908" s="1196"/>
      <c r="L908" s="632"/>
      <c r="M908" s="547" t="s">
        <v>397</v>
      </c>
      <c r="N908" s="547" t="s">
        <v>170</v>
      </c>
      <c r="O908" s="547" t="s">
        <v>171</v>
      </c>
      <c r="P908" s="547" t="s">
        <v>172</v>
      </c>
      <c r="Q908" s="547" t="s">
        <v>173</v>
      </c>
      <c r="R908" s="547" t="s">
        <v>174</v>
      </c>
      <c r="S908" s="547" t="s">
        <v>175</v>
      </c>
      <c r="T908" s="547"/>
      <c r="U908" s="624"/>
      <c r="V908" s="548"/>
    </row>
    <row r="909" spans="2:22" ht="21.95" hidden="1" customHeight="1" x14ac:dyDescent="0.25">
      <c r="B909" s="1194"/>
      <c r="C909" s="1195"/>
      <c r="D909" s="1195"/>
      <c r="E909" s="1195"/>
      <c r="F909" s="1195"/>
      <c r="G909" s="1195"/>
      <c r="H909" s="1195"/>
      <c r="I909" s="1195"/>
      <c r="J909" s="1195"/>
      <c r="K909" s="1196"/>
      <c r="L909" s="633"/>
      <c r="M909" s="550">
        <v>60</v>
      </c>
      <c r="N909" s="550">
        <v>65</v>
      </c>
      <c r="O909" s="550">
        <v>70</v>
      </c>
      <c r="P909" s="550">
        <v>75</v>
      </c>
      <c r="Q909" s="550">
        <v>80</v>
      </c>
      <c r="R909" s="550">
        <v>85</v>
      </c>
      <c r="S909" s="550">
        <v>89.99</v>
      </c>
      <c r="T909" s="550" t="s">
        <v>414</v>
      </c>
      <c r="U909" s="549"/>
      <c r="V909" s="551"/>
    </row>
    <row r="910" spans="2:22" ht="21.95" hidden="1" customHeight="1" x14ac:dyDescent="0.25">
      <c r="B910" s="1194"/>
      <c r="C910" s="1195"/>
      <c r="D910" s="1195"/>
      <c r="E910" s="1195"/>
      <c r="F910" s="1195"/>
      <c r="G910" s="1195"/>
      <c r="H910" s="1195"/>
      <c r="I910" s="1195"/>
      <c r="J910" s="1195"/>
      <c r="K910" s="1196"/>
      <c r="L910" s="628" t="s">
        <v>415</v>
      </c>
      <c r="M910" s="634">
        <v>0</v>
      </c>
      <c r="N910" s="634">
        <v>-0.125</v>
      </c>
      <c r="O910" s="634">
        <v>-0.125</v>
      </c>
      <c r="P910" s="634">
        <v>-0.125</v>
      </c>
      <c r="Q910" s="634">
        <v>-0.25</v>
      </c>
      <c r="R910" s="634">
        <v>-0.5</v>
      </c>
      <c r="S910" s="634">
        <v>-0.75</v>
      </c>
      <c r="T910" s="556" t="s">
        <v>121</v>
      </c>
      <c r="U910" s="1183"/>
      <c r="V910" s="1184"/>
    </row>
    <row r="911" spans="2:22" ht="21.95" hidden="1" customHeight="1" thickBot="1" x14ac:dyDescent="0.25">
      <c r="B911" s="841"/>
      <c r="C911" s="842"/>
      <c r="D911" s="842"/>
      <c r="E911" s="842"/>
      <c r="F911" s="842"/>
      <c r="G911" s="842"/>
      <c r="H911" s="842"/>
      <c r="I911" s="842"/>
      <c r="J911" s="842"/>
      <c r="K911" s="843"/>
      <c r="L911" s="629" t="s">
        <v>412</v>
      </c>
      <c r="M911" s="634">
        <v>0</v>
      </c>
      <c r="N911" s="634">
        <v>-0.125</v>
      </c>
      <c r="O911" s="634">
        <v>-0.125</v>
      </c>
      <c r="P911" s="634">
        <v>-0.25</v>
      </c>
      <c r="Q911" s="634">
        <v>-0.5</v>
      </c>
      <c r="R911" s="556" t="s">
        <v>121</v>
      </c>
      <c r="S911" s="556" t="s">
        <v>121</v>
      </c>
      <c r="T911" s="556" t="s">
        <v>121</v>
      </c>
      <c r="U911" s="1185"/>
      <c r="V911" s="1186"/>
    </row>
    <row r="912" spans="2:22" ht="21.95" hidden="1" customHeight="1" thickBot="1" x14ac:dyDescent="0.25">
      <c r="B912" s="459"/>
      <c r="C912" s="460"/>
      <c r="D912" s="460"/>
      <c r="E912" s="460"/>
      <c r="F912" s="460"/>
      <c r="G912" s="460"/>
      <c r="H912" s="460"/>
      <c r="I912" s="460"/>
      <c r="J912" s="460"/>
      <c r="K912" s="460"/>
      <c r="L912" s="629" t="s">
        <v>413</v>
      </c>
      <c r="M912" s="635" t="s">
        <v>121</v>
      </c>
      <c r="N912" s="635" t="s">
        <v>121</v>
      </c>
      <c r="O912" s="635" t="s">
        <v>121</v>
      </c>
      <c r="P912" s="635" t="s">
        <v>121</v>
      </c>
      <c r="Q912" s="635" t="s">
        <v>121</v>
      </c>
      <c r="R912" s="635" t="s">
        <v>121</v>
      </c>
      <c r="S912" s="635" t="s">
        <v>121</v>
      </c>
      <c r="T912" s="635" t="s">
        <v>121</v>
      </c>
      <c r="U912" s="1187"/>
      <c r="V912" s="1188"/>
    </row>
    <row r="913" spans="2:26" ht="21.95" hidden="1" customHeight="1" x14ac:dyDescent="0.25">
      <c r="B913" s="100" t="s">
        <v>295</v>
      </c>
      <c r="C913" s="74"/>
      <c r="D913" s="74"/>
      <c r="E913" s="74"/>
      <c r="F913" s="190"/>
      <c r="G913" s="190"/>
      <c r="H913" s="190"/>
      <c r="I913" s="190"/>
      <c r="J913" s="190"/>
      <c r="K913" s="190"/>
      <c r="L913" s="190"/>
      <c r="M913" s="190"/>
      <c r="N913" s="190"/>
      <c r="O913" s="190"/>
      <c r="P913" s="190"/>
      <c r="Q913" s="190"/>
      <c r="R913" s="1037" t="s">
        <v>90</v>
      </c>
      <c r="S913" s="1037"/>
      <c r="T913" s="190"/>
      <c r="U913" s="190"/>
      <c r="V913" s="191"/>
    </row>
    <row r="914" spans="2:26" ht="21.95" hidden="1" customHeight="1" x14ac:dyDescent="0.25">
      <c r="B914" s="131" t="s">
        <v>305</v>
      </c>
      <c r="C914" s="80"/>
      <c r="D914" s="80"/>
      <c r="E914" s="81">
        <v>-0.02</v>
      </c>
      <c r="F914" s="193"/>
      <c r="G914" s="193"/>
      <c r="H914" s="1083" t="s">
        <v>23</v>
      </c>
      <c r="I914" s="1083"/>
      <c r="J914" s="1083"/>
      <c r="K914" s="1083"/>
      <c r="L914" s="194">
        <v>102.5</v>
      </c>
      <c r="M914" s="195"/>
      <c r="N914" s="195"/>
      <c r="O914" s="195"/>
      <c r="P914" s="195"/>
      <c r="Q914" s="195"/>
      <c r="R914" s="1036" t="s">
        <v>91</v>
      </c>
      <c r="S914" s="1036"/>
      <c r="T914" s="210">
        <v>1595</v>
      </c>
      <c r="U914" s="500"/>
      <c r="V914" s="196"/>
    </row>
    <row r="915" spans="2:26" ht="21.95" hidden="1" customHeight="1" x14ac:dyDescent="0.25">
      <c r="B915" s="135" t="s">
        <v>306</v>
      </c>
      <c r="C915" s="80"/>
      <c r="D915" s="80"/>
      <c r="E915" s="81">
        <v>-0.02</v>
      </c>
      <c r="F915" s="523"/>
      <c r="G915" s="523"/>
      <c r="H915" s="523"/>
      <c r="I915" s="197"/>
      <c r="J915" s="198"/>
      <c r="K915" s="198"/>
      <c r="L915" s="500"/>
      <c r="M915" s="500"/>
      <c r="N915" s="500"/>
      <c r="O915" s="500"/>
      <c r="P915" s="500"/>
      <c r="Q915" s="84"/>
      <c r="R915" s="1020" t="s">
        <v>156</v>
      </c>
      <c r="S915" s="1020"/>
      <c r="T915" s="201">
        <v>700</v>
      </c>
      <c r="U915" s="192"/>
      <c r="V915" s="199"/>
    </row>
    <row r="916" spans="2:26" ht="21.95" hidden="1" customHeight="1" x14ac:dyDescent="0.25">
      <c r="B916" s="135" t="s">
        <v>307</v>
      </c>
      <c r="C916" s="80"/>
      <c r="D916" s="80"/>
      <c r="E916" s="81">
        <v>-0.04</v>
      </c>
      <c r="F916" s="523"/>
      <c r="G916" s="523"/>
      <c r="H916" s="523"/>
      <c r="I916" s="197"/>
      <c r="J916" s="500"/>
      <c r="K916" s="500"/>
      <c r="L916" s="500"/>
      <c r="M916" s="500"/>
      <c r="N916" s="500"/>
      <c r="O916" s="500"/>
      <c r="P916" s="500"/>
      <c r="Q916" s="84"/>
      <c r="R916" s="209"/>
      <c r="S916" s="200" t="s">
        <v>157</v>
      </c>
      <c r="T916" s="201">
        <v>295</v>
      </c>
      <c r="U916" s="192"/>
      <c r="V916" s="202"/>
    </row>
    <row r="917" spans="2:26" ht="21.95" hidden="1" customHeight="1" x14ac:dyDescent="0.25">
      <c r="B917" s="135" t="s">
        <v>308</v>
      </c>
      <c r="C917" s="80"/>
      <c r="D917" s="80"/>
      <c r="E917" s="81">
        <v>-0.04</v>
      </c>
      <c r="F917" s="523"/>
      <c r="G917" s="523"/>
      <c r="H917" s="523"/>
      <c r="I917" s="197"/>
      <c r="J917" s="203"/>
      <c r="K917" s="203"/>
      <c r="L917" s="195"/>
      <c r="M917" s="195"/>
      <c r="N917" s="195"/>
      <c r="O917" s="195"/>
      <c r="P917" s="195"/>
      <c r="Q917" s="1020" t="s">
        <v>158</v>
      </c>
      <c r="R917" s="1020"/>
      <c r="S917" s="1020"/>
      <c r="T917" s="201">
        <v>0</v>
      </c>
      <c r="U917" s="192"/>
      <c r="V917" s="199"/>
    </row>
    <row r="918" spans="2:26" ht="21.95" hidden="1" customHeight="1" x14ac:dyDescent="0.25">
      <c r="B918" s="135" t="s">
        <v>85</v>
      </c>
      <c r="C918" s="524"/>
      <c r="D918" s="524"/>
      <c r="E918" s="81">
        <v>-0.125</v>
      </c>
      <c r="F918" s="523"/>
      <c r="G918" s="523"/>
      <c r="H918" s="523"/>
      <c r="I918" s="197"/>
      <c r="J918" s="203"/>
      <c r="K918" s="203"/>
      <c r="L918" s="195"/>
      <c r="M918" s="195"/>
      <c r="N918" s="195"/>
      <c r="O918" s="195"/>
      <c r="P918" s="195"/>
      <c r="Q918" s="195"/>
      <c r="R918" s="195"/>
      <c r="S918" s="192"/>
      <c r="T918" s="192"/>
      <c r="U918" s="192"/>
      <c r="V918" s="199"/>
    </row>
    <row r="919" spans="2:26" ht="21.95" hidden="1" customHeight="1" thickBot="1" x14ac:dyDescent="0.25">
      <c r="B919" s="204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6"/>
    </row>
    <row r="920" spans="2:26" ht="21.95" hidden="1" customHeight="1" x14ac:dyDescent="0.25">
      <c r="B920" s="509"/>
      <c r="C920" s="500"/>
      <c r="D920" s="500"/>
      <c r="E920" s="500"/>
      <c r="F920" s="500"/>
      <c r="G920" s="500"/>
      <c r="H920" s="500"/>
      <c r="I920" s="500"/>
      <c r="J920" s="500"/>
      <c r="K920" s="500"/>
      <c r="L920" s="500"/>
      <c r="M920" s="207" t="s">
        <v>57</v>
      </c>
      <c r="N920" s="500"/>
      <c r="O920" s="500"/>
      <c r="P920" s="500"/>
      <c r="Q920" s="500"/>
      <c r="R920" s="500"/>
      <c r="S920" s="500"/>
      <c r="T920" s="500"/>
      <c r="U920" s="500"/>
      <c r="V920" s="502"/>
    </row>
    <row r="921" spans="2:26" ht="21.95" hidden="1" customHeight="1" x14ac:dyDescent="0.25">
      <c r="B921" s="509"/>
      <c r="C921" s="500"/>
      <c r="D921" s="500"/>
      <c r="E921" s="500"/>
      <c r="F921" s="500"/>
      <c r="G921" s="500"/>
      <c r="H921" s="500"/>
      <c r="I921" s="500"/>
      <c r="J921" s="500"/>
      <c r="K921" s="500"/>
      <c r="L921" s="500"/>
      <c r="M921" s="207" t="s">
        <v>58</v>
      </c>
      <c r="N921" s="500"/>
      <c r="O921" s="500"/>
      <c r="P921" s="500"/>
      <c r="Q921" s="500"/>
      <c r="R921" s="500"/>
      <c r="S921" s="500"/>
      <c r="T921" s="500"/>
      <c r="U921" s="500"/>
      <c r="V921" s="502"/>
    </row>
    <row r="922" spans="2:26" ht="21.95" hidden="1" customHeight="1" x14ac:dyDescent="0.25">
      <c r="B922" s="509"/>
      <c r="C922" s="500"/>
      <c r="D922" s="500"/>
      <c r="E922" s="500"/>
      <c r="F922" s="500"/>
      <c r="G922" s="500"/>
      <c r="H922" s="500"/>
      <c r="I922" s="500"/>
      <c r="J922" s="500"/>
      <c r="K922" s="500"/>
      <c r="L922" s="500"/>
      <c r="M922" s="208" t="s">
        <v>67</v>
      </c>
      <c r="N922" s="500"/>
      <c r="O922" s="500"/>
      <c r="P922" s="500"/>
      <c r="Q922" s="500"/>
      <c r="R922" s="500"/>
      <c r="S922" s="500"/>
      <c r="T922" s="500"/>
      <c r="U922" s="500"/>
      <c r="V922" s="502"/>
    </row>
    <row r="923" spans="2:26" ht="21.95" hidden="1" customHeight="1" x14ac:dyDescent="0.25">
      <c r="B923" s="509"/>
      <c r="C923" s="500"/>
      <c r="D923" s="500"/>
      <c r="E923" s="500"/>
      <c r="F923" s="500"/>
      <c r="G923" s="500"/>
      <c r="H923" s="500"/>
      <c r="I923" s="500"/>
      <c r="J923" s="500"/>
      <c r="K923" s="500"/>
      <c r="L923" s="500"/>
      <c r="M923" s="208" t="s">
        <v>59</v>
      </c>
      <c r="N923" s="500"/>
      <c r="O923" s="500"/>
      <c r="P923" s="500"/>
      <c r="Q923" s="500"/>
      <c r="R923" s="500"/>
      <c r="S923" s="500"/>
      <c r="T923" s="500"/>
      <c r="U923" s="500"/>
      <c r="V923" s="502"/>
    </row>
    <row r="924" spans="2:26" ht="21.95" hidden="1" customHeight="1" x14ac:dyDescent="0.25">
      <c r="B924" s="102"/>
      <c r="C924" s="103"/>
      <c r="D924" s="103"/>
      <c r="E924" s="103"/>
      <c r="F924" s="103"/>
      <c r="G924" s="103"/>
      <c r="H924" s="103"/>
      <c r="I924" s="103"/>
      <c r="J924" s="44"/>
      <c r="K924" s="44"/>
      <c r="N924" s="103"/>
      <c r="O924" s="103"/>
      <c r="P924" s="103"/>
      <c r="Q924" s="103"/>
      <c r="R924" s="103"/>
      <c r="S924" s="103"/>
      <c r="T924" s="103"/>
      <c r="U924" s="103"/>
      <c r="V924" s="511"/>
    </row>
    <row r="925" spans="2:26" ht="21.95" hidden="1" customHeight="1" thickBot="1" x14ac:dyDescent="0.25">
      <c r="B925" s="104"/>
      <c r="C925" s="105"/>
      <c r="D925" s="105"/>
      <c r="E925" s="105"/>
      <c r="F925" s="105"/>
      <c r="G925" s="105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7"/>
      <c r="T925" s="107"/>
      <c r="U925" s="107"/>
      <c r="V925" s="108"/>
    </row>
    <row r="926" spans="2:26" ht="21.95" hidden="1" customHeight="1" thickBot="1" x14ac:dyDescent="0.25"/>
    <row r="927" spans="2:26" s="651" customFormat="1" ht="21.95" customHeight="1" x14ac:dyDescent="0.3">
      <c r="B927" s="655" t="s">
        <v>515</v>
      </c>
      <c r="C927" s="656"/>
      <c r="D927" s="656"/>
      <c r="E927" s="656"/>
      <c r="F927" s="656"/>
      <c r="G927" s="656"/>
      <c r="H927" s="656"/>
      <c r="I927" s="656"/>
      <c r="J927" s="656"/>
      <c r="K927" s="656"/>
      <c r="L927" s="656"/>
      <c r="M927" s="656"/>
      <c r="N927" s="656"/>
      <c r="O927" s="656"/>
      <c r="P927" s="656"/>
      <c r="Q927" s="656"/>
      <c r="R927" s="656"/>
      <c r="S927" s="656"/>
      <c r="T927" s="656"/>
      <c r="U927" s="656"/>
      <c r="V927" s="656"/>
      <c r="W927" s="656"/>
      <c r="X927" s="962" t="s">
        <v>0</v>
      </c>
      <c r="Y927" s="962"/>
      <c r="Z927" s="963"/>
    </row>
    <row r="928" spans="2:26" s="651" customFormat="1" ht="21.95" customHeight="1" x14ac:dyDescent="0.3">
      <c r="B928" s="657" t="s">
        <v>68</v>
      </c>
      <c r="C928" s="658"/>
      <c r="D928" s="658"/>
      <c r="E928" s="658"/>
      <c r="F928" s="658"/>
      <c r="G928" s="658"/>
      <c r="H928" s="659"/>
      <c r="I928" s="659"/>
      <c r="J928" s="658"/>
      <c r="K928" s="658"/>
      <c r="L928" s="658"/>
      <c r="M928" s="658"/>
      <c r="N928" s="658"/>
      <c r="O928" s="658"/>
      <c r="P928" s="658"/>
      <c r="Q928" s="658"/>
      <c r="R928" s="658"/>
      <c r="S928" s="658"/>
      <c r="T928" s="658"/>
      <c r="U928" s="658"/>
      <c r="V928" s="658"/>
      <c r="W928" s="934">
        <f ca="1">TODAY()</f>
        <v>46101</v>
      </c>
      <c r="X928" s="934"/>
      <c r="Y928" s="935">
        <v>0.4375</v>
      </c>
      <c r="Z928" s="936"/>
    </row>
    <row r="929" spans="2:26" s="651" customFormat="1" ht="21.95" customHeight="1" x14ac:dyDescent="0.3">
      <c r="B929" s="657" t="s">
        <v>69</v>
      </c>
      <c r="C929" s="658"/>
      <c r="D929" s="658"/>
      <c r="E929" s="658"/>
      <c r="F929" s="658"/>
      <c r="G929" s="658"/>
      <c r="H929" s="658"/>
      <c r="I929" s="658"/>
      <c r="J929" s="658"/>
      <c r="K929" s="658"/>
      <c r="L929" s="658"/>
      <c r="M929" s="658"/>
      <c r="N929" s="658"/>
      <c r="O929" s="658"/>
      <c r="P929" s="658"/>
      <c r="Q929" s="658"/>
      <c r="R929" s="658"/>
      <c r="S929" s="658"/>
      <c r="T929" s="658"/>
      <c r="U929" s="658"/>
      <c r="V929" s="658"/>
      <c r="W929" s="658"/>
      <c r="X929" s="658"/>
      <c r="Y929" s="658"/>
      <c r="Z929" s="660"/>
    </row>
    <row r="930" spans="2:26" s="651" customFormat="1" ht="21.95" customHeight="1" x14ac:dyDescent="0.3">
      <c r="B930" s="661" t="s">
        <v>72</v>
      </c>
      <c r="C930" s="658"/>
      <c r="D930" s="658"/>
      <c r="E930" s="658"/>
      <c r="F930" s="658"/>
      <c r="G930" s="662"/>
      <c r="H930" s="662"/>
      <c r="I930" s="662"/>
      <c r="J930" s="662"/>
      <c r="K930" s="662"/>
      <c r="L930" s="662"/>
      <c r="M930" s="662"/>
      <c r="N930" s="662"/>
      <c r="O930" s="662"/>
      <c r="P930" s="662"/>
      <c r="Q930" s="662"/>
      <c r="R930" s="662"/>
      <c r="S930" s="662"/>
      <c r="T930" s="662"/>
      <c r="U930" s="662"/>
      <c r="V930" s="662"/>
      <c r="W930" s="658" t="s">
        <v>161</v>
      </c>
      <c r="X930" s="663"/>
      <c r="Y930" s="663"/>
      <c r="Z930" s="660"/>
    </row>
    <row r="931" spans="2:26" s="651" customFormat="1" ht="21.95" customHeight="1" x14ac:dyDescent="0.3">
      <c r="B931" s="657"/>
      <c r="C931" s="664"/>
      <c r="D931" s="664"/>
      <c r="E931" s="664"/>
      <c r="F931" s="664"/>
      <c r="G931" s="664"/>
      <c r="H931" s="664"/>
      <c r="I931" s="664"/>
      <c r="J931" s="664"/>
      <c r="K931" s="664"/>
      <c r="L931" s="664"/>
      <c r="M931" s="664"/>
      <c r="N931" s="664"/>
      <c r="O931" s="664"/>
      <c r="P931" s="664"/>
      <c r="Q931" s="664"/>
      <c r="R931" s="664"/>
      <c r="S931" s="664"/>
      <c r="T931" s="664"/>
      <c r="U931" s="664"/>
      <c r="V931" s="664"/>
      <c r="W931" s="663" t="s">
        <v>65</v>
      </c>
      <c r="X931" s="658"/>
      <c r="Y931" s="658"/>
      <c r="Z931" s="665"/>
    </row>
    <row r="932" spans="2:26" s="666" customFormat="1" ht="21.95" customHeight="1" thickBot="1" x14ac:dyDescent="0.35">
      <c r="B932" s="667" t="s">
        <v>73</v>
      </c>
      <c r="C932" s="668"/>
      <c r="D932" s="668"/>
      <c r="E932" s="668"/>
      <c r="F932" s="668"/>
      <c r="G932" s="668"/>
      <c r="H932" s="668"/>
      <c r="I932" s="668"/>
      <c r="J932" s="668"/>
      <c r="K932" s="668"/>
      <c r="L932" s="668"/>
      <c r="M932" s="668"/>
      <c r="N932" s="668"/>
      <c r="O932" s="668"/>
      <c r="P932" s="668"/>
      <c r="Q932" s="668"/>
      <c r="R932" s="668"/>
      <c r="S932" s="668"/>
      <c r="T932" s="668"/>
      <c r="U932" s="668"/>
      <c r="V932" s="668"/>
      <c r="W932" s="669"/>
      <c r="X932" s="670"/>
      <c r="Y932" s="670"/>
      <c r="Z932" s="671"/>
    </row>
    <row r="933" spans="2:26" ht="21.95" customHeight="1" thickBot="1" x14ac:dyDescent="0.25">
      <c r="B933" s="506"/>
      <c r="C933" s="507"/>
      <c r="D933" s="507"/>
      <c r="E933" s="507"/>
      <c r="F933" s="507"/>
      <c r="G933" s="507"/>
      <c r="H933" s="507"/>
      <c r="I933" s="507"/>
      <c r="J933" s="507"/>
      <c r="K933" s="507"/>
      <c r="L933" s="507"/>
      <c r="M933" s="507"/>
      <c r="N933" s="507"/>
      <c r="O933" s="507"/>
      <c r="P933" s="507"/>
      <c r="Q933" s="507"/>
      <c r="R933" s="507"/>
      <c r="S933" s="507"/>
      <c r="T933" s="507"/>
      <c r="U933" s="507"/>
      <c r="V933" s="507"/>
      <c r="W933" s="507"/>
      <c r="X933" s="507"/>
      <c r="Y933" s="507"/>
      <c r="Z933" s="508"/>
    </row>
    <row r="934" spans="2:26" ht="21.95" customHeight="1" thickBot="1" x14ac:dyDescent="0.25">
      <c r="B934" s="866" t="s">
        <v>417</v>
      </c>
      <c r="C934" s="867"/>
      <c r="D934" s="867"/>
      <c r="E934" s="867"/>
      <c r="F934" s="867"/>
      <c r="G934" s="867"/>
      <c r="H934" s="867"/>
      <c r="I934" s="867"/>
      <c r="J934" s="867"/>
      <c r="K934" s="867"/>
      <c r="L934" s="867"/>
      <c r="M934" s="867"/>
      <c r="N934" s="867"/>
      <c r="O934" s="867"/>
      <c r="P934" s="867"/>
      <c r="Q934" s="867"/>
      <c r="R934" s="867"/>
      <c r="S934" s="867"/>
      <c r="T934" s="867"/>
      <c r="U934" s="867"/>
      <c r="V934" s="867"/>
      <c r="W934" s="867"/>
      <c r="X934" s="867"/>
      <c r="Y934" s="867"/>
      <c r="Z934" s="868"/>
    </row>
    <row r="935" spans="2:26" s="578" customFormat="1" ht="21.95" customHeight="1" x14ac:dyDescent="0.2">
      <c r="B935" s="521"/>
      <c r="C935" s="499"/>
      <c r="D935" s="499"/>
      <c r="E935" s="499"/>
      <c r="F935" s="499"/>
      <c r="G935" s="499"/>
      <c r="H935" s="499"/>
      <c r="I935" s="499"/>
      <c r="J935" s="499"/>
      <c r="K935" s="499"/>
      <c r="L935" s="499"/>
      <c r="M935" s="499"/>
      <c r="N935" s="499"/>
      <c r="T935" s="636"/>
      <c r="Z935" s="511"/>
    </row>
    <row r="936" spans="2:26" s="578" customFormat="1" ht="21.95" customHeight="1" x14ac:dyDescent="0.2">
      <c r="B936" s="953" t="s">
        <v>34</v>
      </c>
      <c r="C936" s="954"/>
      <c r="D936" s="954"/>
      <c r="E936" s="954"/>
      <c r="F936" s="954"/>
      <c r="G936" s="954"/>
      <c r="H936" s="954"/>
      <c r="I936" s="954"/>
      <c r="J936" s="954"/>
      <c r="K936" s="954"/>
      <c r="L936" s="954"/>
      <c r="M936" s="954"/>
      <c r="N936" s="954"/>
      <c r="O936" s="954"/>
      <c r="P936" s="954"/>
      <c r="Q936" s="954"/>
      <c r="R936" s="954"/>
      <c r="S936" s="954"/>
      <c r="T936" s="955"/>
      <c r="Z936" s="511"/>
    </row>
    <row r="937" spans="2:26" s="578" customFormat="1" ht="37.5" customHeight="1" x14ac:dyDescent="0.2">
      <c r="B937" s="490" t="s">
        <v>4</v>
      </c>
      <c r="C937" s="497" t="s">
        <v>519</v>
      </c>
      <c r="D937" s="497" t="s">
        <v>520</v>
      </c>
      <c r="E937" s="497" t="s">
        <v>521</v>
      </c>
      <c r="F937" s="497" t="s">
        <v>522</v>
      </c>
      <c r="G937" s="497" t="s">
        <v>523</v>
      </c>
      <c r="H937" s="497" t="s">
        <v>524</v>
      </c>
      <c r="I937" s="497" t="s">
        <v>525</v>
      </c>
      <c r="J937" s="497" t="s">
        <v>526</v>
      </c>
      <c r="K937" s="497" t="s">
        <v>478</v>
      </c>
      <c r="L937" s="497" t="s">
        <v>479</v>
      </c>
      <c r="M937" s="497" t="s">
        <v>418</v>
      </c>
      <c r="N937" s="497" t="s">
        <v>419</v>
      </c>
      <c r="O937" s="497" t="s">
        <v>420</v>
      </c>
      <c r="P937" s="497" t="s">
        <v>421</v>
      </c>
      <c r="Q937" s="497" t="s">
        <v>422</v>
      </c>
      <c r="R937" s="497" t="s">
        <v>423</v>
      </c>
      <c r="S937" s="497" t="s">
        <v>424</v>
      </c>
      <c r="T937" s="498" t="s">
        <v>425</v>
      </c>
      <c r="Z937" s="511"/>
    </row>
    <row r="938" spans="2:26" s="578" customFormat="1" ht="21.95" customHeight="1" x14ac:dyDescent="0.2">
      <c r="B938" s="26">
        <v>4.75</v>
      </c>
      <c r="C938" s="493">
        <v>0.03</v>
      </c>
      <c r="D938" s="20">
        <v>0.03</v>
      </c>
      <c r="E938" s="20">
        <v>0.03</v>
      </c>
      <c r="F938" s="20">
        <v>0.03</v>
      </c>
      <c r="G938" s="20">
        <v>2.9999999999993178E-2</v>
      </c>
      <c r="H938" s="20">
        <v>2.9999999999993178E-2</v>
      </c>
      <c r="I938" s="20" t="s">
        <v>529</v>
      </c>
      <c r="J938" s="20" t="s">
        <v>529</v>
      </c>
      <c r="K938" s="20" t="s">
        <v>529</v>
      </c>
      <c r="L938" s="20">
        <v>-2.9999999999997723E-2</v>
      </c>
      <c r="M938" s="20">
        <v>-8.9999999999997721E-2</v>
      </c>
      <c r="N938" s="20">
        <v>-7.00000000000017E-2</v>
      </c>
      <c r="O938" s="20" t="s">
        <v>529</v>
      </c>
      <c r="P938" s="20" t="s">
        <v>529</v>
      </c>
      <c r="Q938" s="20" t="s">
        <v>529</v>
      </c>
      <c r="R938" s="20" t="s">
        <v>529</v>
      </c>
      <c r="S938" s="20" t="s">
        <v>529</v>
      </c>
      <c r="T938" s="50" t="s">
        <v>529</v>
      </c>
      <c r="Z938" s="511"/>
    </row>
    <row r="939" spans="2:26" s="578" customFormat="1" ht="21.95" customHeight="1" x14ac:dyDescent="0.2">
      <c r="B939" s="26">
        <v>4.875</v>
      </c>
      <c r="C939" s="493">
        <v>0.03</v>
      </c>
      <c r="D939" s="20">
        <v>0.03</v>
      </c>
      <c r="E939" s="20">
        <v>0.03</v>
      </c>
      <c r="F939" s="20">
        <v>0.03</v>
      </c>
      <c r="G939" s="20">
        <v>3.0000000000007389E-2</v>
      </c>
      <c r="H939" s="20">
        <v>3.0000000000007389E-2</v>
      </c>
      <c r="I939" s="20" t="s">
        <v>529</v>
      </c>
      <c r="J939" s="20" t="s">
        <v>529</v>
      </c>
      <c r="K939" s="20">
        <v>-3.9999999999988628E-2</v>
      </c>
      <c r="L939" s="20">
        <v>-2.9999999999997723E-2</v>
      </c>
      <c r="M939" s="20">
        <v>-8.9999999999997721E-2</v>
      </c>
      <c r="N939" s="20">
        <v>-7.00000000000017E-2</v>
      </c>
      <c r="O939" s="20" t="s">
        <v>529</v>
      </c>
      <c r="P939" s="20" t="s">
        <v>529</v>
      </c>
      <c r="Q939" s="20" t="s">
        <v>529</v>
      </c>
      <c r="R939" s="20" t="s">
        <v>529</v>
      </c>
      <c r="S939" s="20" t="s">
        <v>529</v>
      </c>
      <c r="T939" s="50" t="s">
        <v>529</v>
      </c>
      <c r="Z939" s="511"/>
    </row>
    <row r="940" spans="2:26" s="578" customFormat="1" ht="21.95" customHeight="1" x14ac:dyDescent="0.2">
      <c r="B940" s="26">
        <v>4.99</v>
      </c>
      <c r="C940" s="493">
        <v>0.03</v>
      </c>
      <c r="D940" s="20">
        <v>0.03</v>
      </c>
      <c r="E940" s="20">
        <v>0.03</v>
      </c>
      <c r="F940" s="20">
        <v>0.03</v>
      </c>
      <c r="G940" s="20">
        <v>3.0000000000007389E-2</v>
      </c>
      <c r="H940" s="20">
        <v>3.0000000000007389E-2</v>
      </c>
      <c r="I940" s="20" t="s">
        <v>529</v>
      </c>
      <c r="J940" s="20" t="s">
        <v>529</v>
      </c>
      <c r="K940" s="20">
        <v>-3.9999999999988628E-2</v>
      </c>
      <c r="L940" s="20">
        <v>-2.9999999999997723E-2</v>
      </c>
      <c r="M940" s="20">
        <v>-8.9999999999997721E-2</v>
      </c>
      <c r="N940" s="20">
        <v>-7.00000000000017E-2</v>
      </c>
      <c r="O940" s="20" t="s">
        <v>529</v>
      </c>
      <c r="P940" s="20" t="s">
        <v>529</v>
      </c>
      <c r="Q940" s="20" t="s">
        <v>529</v>
      </c>
      <c r="R940" s="20" t="s">
        <v>529</v>
      </c>
      <c r="S940" s="20" t="s">
        <v>529</v>
      </c>
      <c r="T940" s="50">
        <v>-0.81350000000000022</v>
      </c>
      <c r="Z940" s="511"/>
    </row>
    <row r="941" spans="2:26" s="578" customFormat="1" ht="21.95" customHeight="1" x14ac:dyDescent="0.2">
      <c r="B941" s="26">
        <v>5.125</v>
      </c>
      <c r="C941" s="493">
        <v>0.03</v>
      </c>
      <c r="D941" s="20">
        <v>0.03</v>
      </c>
      <c r="E941" s="20">
        <v>0.03</v>
      </c>
      <c r="F941" s="20">
        <v>0.03</v>
      </c>
      <c r="G941" s="20">
        <v>2.9999999999993178E-2</v>
      </c>
      <c r="H941" s="20">
        <v>2.9999999999993178E-2</v>
      </c>
      <c r="I941" s="20" t="s">
        <v>529</v>
      </c>
      <c r="J941" s="20" t="s">
        <v>529</v>
      </c>
      <c r="K941" s="20" t="s">
        <v>529</v>
      </c>
      <c r="L941" s="20">
        <v>-3.0000000000011934E-2</v>
      </c>
      <c r="M941" s="20">
        <v>-9.0000000000011932E-2</v>
      </c>
      <c r="N941" s="20">
        <v>-7.00000000000017E-2</v>
      </c>
      <c r="O941" s="20" t="s">
        <v>529</v>
      </c>
      <c r="P941" s="20">
        <v>-0.17790000000000705</v>
      </c>
      <c r="Q941" s="20">
        <v>-0.20850000000001045</v>
      </c>
      <c r="R941" s="20">
        <v>-8.980000000000643E-2</v>
      </c>
      <c r="S941" s="20">
        <v>-0.22070000000000445</v>
      </c>
      <c r="T941" s="50">
        <v>-0.38200000000000045</v>
      </c>
      <c r="Z941" s="511"/>
    </row>
    <row r="942" spans="2:26" s="578" customFormat="1" ht="21.95" customHeight="1" x14ac:dyDescent="0.2">
      <c r="B942" s="26">
        <v>5.25</v>
      </c>
      <c r="C942" s="493">
        <v>0.03</v>
      </c>
      <c r="D942" s="20">
        <v>0.03</v>
      </c>
      <c r="E942" s="20">
        <v>0.03</v>
      </c>
      <c r="F942" s="20">
        <v>0.03</v>
      </c>
      <c r="G942" s="20">
        <v>2.9999999999993178E-2</v>
      </c>
      <c r="H942" s="20">
        <v>2.9999999999993178E-2</v>
      </c>
      <c r="I942" s="20" t="s">
        <v>529</v>
      </c>
      <c r="J942" s="20" t="s">
        <v>529</v>
      </c>
      <c r="K942" s="20" t="s">
        <v>529</v>
      </c>
      <c r="L942" s="20">
        <v>8.6900000000003391E-2</v>
      </c>
      <c r="M942" s="20">
        <v>5.6599999999994571E-2</v>
      </c>
      <c r="N942" s="20">
        <v>0.13600000000000137</v>
      </c>
      <c r="O942" s="20">
        <v>7.5599999999997169E-2</v>
      </c>
      <c r="P942" s="20">
        <v>0.20349999999999224</v>
      </c>
      <c r="Q942" s="20">
        <v>0.17279999999999973</v>
      </c>
      <c r="R942" s="20">
        <v>0.29159999999999286</v>
      </c>
      <c r="S942" s="20">
        <v>0.16059999999999153</v>
      </c>
      <c r="T942" s="50">
        <v>-6.0000000000115516E-4</v>
      </c>
      <c r="Z942" s="511"/>
    </row>
    <row r="943" spans="2:26" s="578" customFormat="1" ht="21.95" customHeight="1" x14ac:dyDescent="0.2">
      <c r="B943" s="26">
        <v>5.375</v>
      </c>
      <c r="C943" s="493">
        <v>0.03</v>
      </c>
      <c r="D943" s="20">
        <v>0.03</v>
      </c>
      <c r="E943" s="20">
        <v>0.03</v>
      </c>
      <c r="F943" s="20">
        <v>0.03</v>
      </c>
      <c r="G943" s="20">
        <v>3.0000000000007389E-2</v>
      </c>
      <c r="H943" s="20">
        <v>3.0000000000007389E-2</v>
      </c>
      <c r="I943" s="20" t="s">
        <v>529</v>
      </c>
      <c r="J943" s="20" t="s">
        <v>529</v>
      </c>
      <c r="K943" s="20" t="s">
        <v>529</v>
      </c>
      <c r="L943" s="20">
        <v>8.6900000000003391E-2</v>
      </c>
      <c r="M943" s="20">
        <v>5.6599999999994571E-2</v>
      </c>
      <c r="N943" s="20">
        <v>0.13600000000000137</v>
      </c>
      <c r="O943" s="20">
        <v>7.5700000000000489E-2</v>
      </c>
      <c r="P943" s="20">
        <v>0.20350000000000645</v>
      </c>
      <c r="Q943" s="20">
        <v>0.17290000000000305</v>
      </c>
      <c r="R943" s="20">
        <v>0.29160000000000708</v>
      </c>
      <c r="S943" s="20">
        <v>0.16069999999999485</v>
      </c>
      <c r="T943" s="50">
        <v>-6.0000000000115516E-4</v>
      </c>
      <c r="Z943" s="511"/>
    </row>
    <row r="944" spans="2:26" s="578" customFormat="1" ht="21.95" customHeight="1" x14ac:dyDescent="0.2">
      <c r="B944" s="26">
        <v>5.5</v>
      </c>
      <c r="C944" s="493">
        <v>0.03</v>
      </c>
      <c r="D944" s="20">
        <v>0.03</v>
      </c>
      <c r="E944" s="20">
        <v>0.03</v>
      </c>
      <c r="F944" s="20">
        <v>0.03</v>
      </c>
      <c r="G944" s="20" t="s">
        <v>529</v>
      </c>
      <c r="H944" s="20" t="s">
        <v>529</v>
      </c>
      <c r="I944" s="20" t="s">
        <v>529</v>
      </c>
      <c r="J944" s="20" t="s">
        <v>529</v>
      </c>
      <c r="K944" s="20" t="s">
        <v>529</v>
      </c>
      <c r="L944" s="20">
        <v>2.6900000000001117E-2</v>
      </c>
      <c r="M944" s="20">
        <v>-3.3999999999934916E-3</v>
      </c>
      <c r="N944" s="20">
        <v>5.6000000000003075E-2</v>
      </c>
      <c r="O944" s="20">
        <v>8.4500000000008402E-2</v>
      </c>
      <c r="P944" s="20">
        <v>0.1635000000000002</v>
      </c>
      <c r="Q944" s="20">
        <v>0.13290000000001101</v>
      </c>
      <c r="R944" s="20">
        <v>0.25160000000000082</v>
      </c>
      <c r="S944" s="20">
        <v>0.12070000000000281</v>
      </c>
      <c r="T944" s="50">
        <v>-4.0599999999993197E-2</v>
      </c>
      <c r="Z944" s="511"/>
    </row>
    <row r="945" spans="2:26" s="578" customFormat="1" ht="21.95" customHeight="1" x14ac:dyDescent="0.2">
      <c r="B945" s="26">
        <v>5.625</v>
      </c>
      <c r="C945" s="493">
        <v>0.03</v>
      </c>
      <c r="D945" s="20">
        <v>0.03</v>
      </c>
      <c r="E945" s="20">
        <v>0.03</v>
      </c>
      <c r="F945" s="20">
        <v>0.03</v>
      </c>
      <c r="G945" s="20" t="s">
        <v>529</v>
      </c>
      <c r="H945" s="20" t="s">
        <v>529</v>
      </c>
      <c r="I945" s="20" t="s">
        <v>529</v>
      </c>
      <c r="J945" s="20">
        <v>5.4099999999997407E-2</v>
      </c>
      <c r="K945" s="20">
        <v>0.15259999999999593</v>
      </c>
      <c r="L945" s="20">
        <v>0.27129999999999999</v>
      </c>
      <c r="M945" s="20">
        <v>0.24100000000000535</v>
      </c>
      <c r="N945" s="20">
        <v>0.35979999999999845</v>
      </c>
      <c r="O945" s="20">
        <v>0.42850000000000249</v>
      </c>
      <c r="P945" s="20">
        <v>0.37819999999999365</v>
      </c>
      <c r="Q945" s="20">
        <v>0.31789999999999907</v>
      </c>
      <c r="R945" s="20">
        <v>0.34760000000000446</v>
      </c>
      <c r="S945" s="20">
        <v>0.18689999999999773</v>
      </c>
      <c r="T945" s="50">
        <v>-3.3700000000005725E-2</v>
      </c>
      <c r="Z945" s="511"/>
    </row>
    <row r="946" spans="2:26" s="578" customFormat="1" ht="21.95" customHeight="1" x14ac:dyDescent="0.2">
      <c r="B946" s="26">
        <v>5.75</v>
      </c>
      <c r="C946" s="493">
        <v>0.03</v>
      </c>
      <c r="D946" s="20">
        <v>0.03</v>
      </c>
      <c r="E946" s="20">
        <v>0.03</v>
      </c>
      <c r="F946" s="20">
        <v>0.03</v>
      </c>
      <c r="G946" s="20">
        <v>0.10659999999999228</v>
      </c>
      <c r="H946" s="20">
        <v>0.19560000000000513</v>
      </c>
      <c r="I946" s="20">
        <v>0.37379999999999486</v>
      </c>
      <c r="J946" s="20">
        <v>0.43310000000000232</v>
      </c>
      <c r="K946" s="20">
        <v>0.53160000000000085</v>
      </c>
      <c r="L946" s="20">
        <v>0.65030000000000487</v>
      </c>
      <c r="M946" s="20">
        <v>0.619999999999996</v>
      </c>
      <c r="N946" s="20">
        <v>0.73880000000000334</v>
      </c>
      <c r="O946" s="20">
        <v>0.80749999999999322</v>
      </c>
      <c r="P946" s="20">
        <v>0.75719999999999854</v>
      </c>
      <c r="Q946" s="20">
        <v>0.69690000000000396</v>
      </c>
      <c r="R946" s="20">
        <v>0.72659999999999514</v>
      </c>
      <c r="S946" s="20">
        <v>0.56599999999999173</v>
      </c>
      <c r="T946" s="50">
        <v>0.34529999999999916</v>
      </c>
      <c r="Z946" s="511"/>
    </row>
    <row r="947" spans="2:26" s="578" customFormat="1" ht="21.95" customHeight="1" x14ac:dyDescent="0.2">
      <c r="B947" s="26">
        <v>5.875</v>
      </c>
      <c r="C947" s="493">
        <v>0.03</v>
      </c>
      <c r="D947" s="20">
        <v>0.03</v>
      </c>
      <c r="E947" s="20">
        <v>0.03</v>
      </c>
      <c r="F947" s="20">
        <v>0.03</v>
      </c>
      <c r="G947" s="20">
        <v>0.1066000000000065</v>
      </c>
      <c r="H947" s="20">
        <v>0.19569999999999424</v>
      </c>
      <c r="I947" s="20">
        <v>0.37379999999999486</v>
      </c>
      <c r="J947" s="20">
        <v>0.43320000000000564</v>
      </c>
      <c r="K947" s="20">
        <v>0.53160000000000085</v>
      </c>
      <c r="L947" s="20">
        <v>0.65030000000000487</v>
      </c>
      <c r="M947" s="20">
        <v>0.619999999999996</v>
      </c>
      <c r="N947" s="20">
        <v>0.73880000000000334</v>
      </c>
      <c r="O947" s="20">
        <v>0.80750000000000743</v>
      </c>
      <c r="P947" s="20">
        <v>0.75719999999999854</v>
      </c>
      <c r="Q947" s="20">
        <v>0.69690000000000396</v>
      </c>
      <c r="R947" s="20">
        <v>0.72659999999999514</v>
      </c>
      <c r="S947" s="20">
        <v>0.56600000000000594</v>
      </c>
      <c r="T947" s="50">
        <v>0.34529999999999916</v>
      </c>
      <c r="Z947" s="511"/>
    </row>
    <row r="948" spans="2:26" s="578" customFormat="1" ht="21.95" customHeight="1" x14ac:dyDescent="0.2">
      <c r="B948" s="26">
        <v>5.99</v>
      </c>
      <c r="C948" s="493">
        <v>0.03</v>
      </c>
      <c r="D948" s="20">
        <v>0.03</v>
      </c>
      <c r="E948" s="20">
        <v>0.03</v>
      </c>
      <c r="F948" s="20">
        <v>0.03</v>
      </c>
      <c r="G948" s="20">
        <v>0.10659999999999228</v>
      </c>
      <c r="H948" s="20">
        <v>0.19569999999999424</v>
      </c>
      <c r="I948" s="20">
        <v>0.37379999999999486</v>
      </c>
      <c r="J948" s="20">
        <v>0.43319999999999143</v>
      </c>
      <c r="K948" s="20">
        <v>0.53160000000000085</v>
      </c>
      <c r="L948" s="20">
        <v>0.65039999999999398</v>
      </c>
      <c r="M948" s="20">
        <v>0.62009999999999932</v>
      </c>
      <c r="N948" s="20">
        <v>0.73880000000000334</v>
      </c>
      <c r="O948" s="20">
        <v>0.80759999999999654</v>
      </c>
      <c r="P948" s="20">
        <v>0.75719999999999854</v>
      </c>
      <c r="Q948" s="20">
        <v>0.69690000000000396</v>
      </c>
      <c r="R948" s="20">
        <v>0.72659999999999514</v>
      </c>
      <c r="S948" s="20">
        <v>0.56599999999999173</v>
      </c>
      <c r="T948" s="50">
        <v>0.34540000000000248</v>
      </c>
      <c r="Z948" s="511"/>
    </row>
    <row r="949" spans="2:26" s="578" customFormat="1" ht="21.95" customHeight="1" x14ac:dyDescent="0.2">
      <c r="B949" s="26">
        <v>6.125</v>
      </c>
      <c r="C949" s="493">
        <v>0.03</v>
      </c>
      <c r="D949" s="20">
        <v>0.03</v>
      </c>
      <c r="E949" s="20">
        <v>0.03</v>
      </c>
      <c r="F949" s="20">
        <v>0.03</v>
      </c>
      <c r="G949" s="20">
        <v>0.10659999999999228</v>
      </c>
      <c r="H949" s="20">
        <v>0.21689999999998746</v>
      </c>
      <c r="I949" s="20">
        <v>0.37379999999999486</v>
      </c>
      <c r="J949" s="20">
        <v>0.43319999999999143</v>
      </c>
      <c r="K949" s="20">
        <v>0.53160000000000085</v>
      </c>
      <c r="L949" s="20">
        <v>0.65029999999999066</v>
      </c>
      <c r="M949" s="20">
        <v>0.619999999999996</v>
      </c>
      <c r="N949" s="20">
        <v>0.73879999999998913</v>
      </c>
      <c r="O949" s="20">
        <v>0.80749999999999322</v>
      </c>
      <c r="P949" s="20">
        <v>0.75719999999999854</v>
      </c>
      <c r="Q949" s="20">
        <v>0.69689999999998975</v>
      </c>
      <c r="R949" s="20">
        <v>0.72659999999999514</v>
      </c>
      <c r="S949" s="20">
        <v>0.56599999999999173</v>
      </c>
      <c r="T949" s="50">
        <v>0.3963000000000011</v>
      </c>
      <c r="Z949" s="511"/>
    </row>
    <row r="950" spans="2:26" s="578" customFormat="1" ht="21.95" customHeight="1" x14ac:dyDescent="0.2">
      <c r="B950" s="26">
        <v>6.25</v>
      </c>
      <c r="C950" s="493">
        <v>0.03</v>
      </c>
      <c r="D950" s="20">
        <v>0.03</v>
      </c>
      <c r="E950" s="20">
        <v>0.03</v>
      </c>
      <c r="F950" s="20">
        <v>0.03</v>
      </c>
      <c r="G950" s="20">
        <v>0.50489999999999835</v>
      </c>
      <c r="H950" s="20">
        <v>0.62369999999999148</v>
      </c>
      <c r="I950" s="20">
        <v>0.61309999999999487</v>
      </c>
      <c r="J950" s="20">
        <v>0.76150000000000428</v>
      </c>
      <c r="K950" s="20">
        <v>0.88029999999999464</v>
      </c>
      <c r="L950" s="20">
        <v>1.0090000000000037</v>
      </c>
      <c r="M950" s="20">
        <v>1.0084000000000004</v>
      </c>
      <c r="N950" s="20">
        <v>1.087799999999993</v>
      </c>
      <c r="O950" s="20">
        <v>1.0570999999999942</v>
      </c>
      <c r="P950" s="20">
        <v>1.0364999999999907</v>
      </c>
      <c r="Q950" s="20">
        <v>1.0059000000000013</v>
      </c>
      <c r="R950" s="20">
        <v>1.0652999999999979</v>
      </c>
      <c r="S950" s="20">
        <v>0.93429999999999669</v>
      </c>
      <c r="T950" s="50">
        <v>0.77310000000000401</v>
      </c>
      <c r="Z950" s="511"/>
    </row>
    <row r="951" spans="2:26" s="578" customFormat="1" ht="21.95" customHeight="1" x14ac:dyDescent="0.2">
      <c r="B951" s="26">
        <v>6.375</v>
      </c>
      <c r="C951" s="493">
        <v>0.03</v>
      </c>
      <c r="D951" s="20">
        <v>0.03</v>
      </c>
      <c r="E951" s="20">
        <v>0.03</v>
      </c>
      <c r="F951" s="20">
        <v>0.03</v>
      </c>
      <c r="G951" s="20">
        <v>0.50500000000000167</v>
      </c>
      <c r="H951" s="20">
        <v>0.62370000000000569</v>
      </c>
      <c r="I951" s="20">
        <v>0.61310000000000908</v>
      </c>
      <c r="J951" s="20">
        <v>0.76150000000000428</v>
      </c>
      <c r="K951" s="20">
        <v>0.88030000000000885</v>
      </c>
      <c r="L951" s="20">
        <v>1.009100000000007</v>
      </c>
      <c r="M951" s="20">
        <v>1.0084000000000004</v>
      </c>
      <c r="N951" s="20">
        <v>1.0878000000000072</v>
      </c>
      <c r="O951" s="20">
        <v>1.0571999999999975</v>
      </c>
      <c r="P951" s="20">
        <v>1.0365000000000049</v>
      </c>
      <c r="Q951" s="20">
        <v>1.0059000000000013</v>
      </c>
      <c r="R951" s="20">
        <v>1.0652999999999979</v>
      </c>
      <c r="S951" s="20">
        <v>0.93440000000000001</v>
      </c>
      <c r="T951" s="50">
        <v>0.77310000000000401</v>
      </c>
      <c r="Z951" s="511"/>
    </row>
    <row r="952" spans="2:26" s="578" customFormat="1" ht="21.95" customHeight="1" x14ac:dyDescent="0.2">
      <c r="B952" s="26">
        <v>6.5</v>
      </c>
      <c r="C952" s="493">
        <v>0.03</v>
      </c>
      <c r="D952" s="20">
        <v>0.03</v>
      </c>
      <c r="E952" s="20">
        <v>0.03</v>
      </c>
      <c r="F952" s="20">
        <v>0.03</v>
      </c>
      <c r="G952" s="20">
        <v>0.52140000000000608</v>
      </c>
      <c r="H952" s="20">
        <v>0.64010000000001011</v>
      </c>
      <c r="I952" s="20">
        <v>0.62250000000000849</v>
      </c>
      <c r="J952" s="20">
        <v>0.77199999999999758</v>
      </c>
      <c r="K952" s="20">
        <v>0.89560000000000517</v>
      </c>
      <c r="L952" s="20">
        <v>1.022800000000007</v>
      </c>
      <c r="M952" s="20">
        <v>1.0254000000000105</v>
      </c>
      <c r="N952" s="20">
        <v>1.1050999999999989</v>
      </c>
      <c r="O952" s="20">
        <v>1.0815999999999975</v>
      </c>
      <c r="P952" s="20">
        <v>1.0514000000000021</v>
      </c>
      <c r="Q952" s="20">
        <v>1.1390000000000002</v>
      </c>
      <c r="R952" s="20">
        <v>1.1983000000000077</v>
      </c>
      <c r="S952" s="20">
        <v>1.0377000000000045</v>
      </c>
      <c r="T952" s="50">
        <v>0.82410000000000594</v>
      </c>
      <c r="Z952" s="511"/>
    </row>
    <row r="953" spans="2:26" s="578" customFormat="1" ht="21.95" customHeight="1" x14ac:dyDescent="0.2">
      <c r="B953" s="26">
        <v>6.625</v>
      </c>
      <c r="C953" s="493">
        <v>0.03</v>
      </c>
      <c r="D953" s="20">
        <v>0.03</v>
      </c>
      <c r="E953" s="20">
        <v>0.03</v>
      </c>
      <c r="F953" s="20">
        <v>0.03</v>
      </c>
      <c r="G953" s="20">
        <v>0.50699999999999701</v>
      </c>
      <c r="H953" s="20">
        <v>0.62570000000000103</v>
      </c>
      <c r="I953" s="20">
        <v>0.61339999999999062</v>
      </c>
      <c r="J953" s="20">
        <v>0.76209999999999578</v>
      </c>
      <c r="K953" s="20">
        <v>0.88199999999999423</v>
      </c>
      <c r="L953" s="20">
        <v>1.0141999999999916</v>
      </c>
      <c r="M953" s="20">
        <v>1.1859999999999986</v>
      </c>
      <c r="N953" s="20">
        <v>1.2355999999999967</v>
      </c>
      <c r="O953" s="20">
        <v>1.2050000000000012</v>
      </c>
      <c r="P953" s="20">
        <v>1.1546999999999923</v>
      </c>
      <c r="Q953" s="20">
        <v>1.3318999999999948</v>
      </c>
      <c r="R953" s="20">
        <v>1.3912999999999913</v>
      </c>
      <c r="S953" s="20">
        <v>1.230599999999999</v>
      </c>
      <c r="T953" s="50">
        <v>1.0099999999999953</v>
      </c>
      <c r="Z953" s="511"/>
    </row>
    <row r="954" spans="2:26" s="578" customFormat="1" ht="21.95" customHeight="1" x14ac:dyDescent="0.2">
      <c r="B954" s="26">
        <v>6.75</v>
      </c>
      <c r="C954" s="493">
        <v>0.03</v>
      </c>
      <c r="D954" s="20">
        <v>0.03</v>
      </c>
      <c r="E954" s="20">
        <v>0.03</v>
      </c>
      <c r="F954" s="20">
        <v>0.03</v>
      </c>
      <c r="G954" s="20">
        <v>0.59400000000000031</v>
      </c>
      <c r="H954" s="20">
        <v>0.86119999999998864</v>
      </c>
      <c r="I954" s="20">
        <v>0.85059999999999203</v>
      </c>
      <c r="J954" s="20">
        <v>1.0286999999999926</v>
      </c>
      <c r="K954" s="20">
        <v>1.1474999999999971</v>
      </c>
      <c r="L954" s="20">
        <v>1.3058999999999974</v>
      </c>
      <c r="M954" s="20">
        <v>1.4833999999999947</v>
      </c>
      <c r="N954" s="20">
        <v>1.5330999999999961</v>
      </c>
      <c r="O954" s="20">
        <v>1.5025000000000006</v>
      </c>
      <c r="P954" s="20">
        <v>1.4521999999999917</v>
      </c>
      <c r="Q954" s="20">
        <v>1.6293999999999942</v>
      </c>
      <c r="R954" s="20">
        <v>1.6886999999999874</v>
      </c>
      <c r="S954" s="20">
        <v>1.5280999999999985</v>
      </c>
      <c r="T954" s="50">
        <v>1.3074999999999948</v>
      </c>
      <c r="Z954" s="511"/>
    </row>
    <row r="955" spans="2:26" s="578" customFormat="1" ht="21.95" customHeight="1" x14ac:dyDescent="0.2">
      <c r="B955" s="26">
        <v>6.875</v>
      </c>
      <c r="C955" s="493">
        <v>0.03</v>
      </c>
      <c r="D955" s="20">
        <v>0.03</v>
      </c>
      <c r="E955" s="20">
        <v>0.03</v>
      </c>
      <c r="F955" s="20">
        <v>0.03</v>
      </c>
      <c r="G955" s="20">
        <v>0.59509999999999419</v>
      </c>
      <c r="H955" s="20">
        <v>0.86229999999999674</v>
      </c>
      <c r="I955" s="20">
        <v>0.84859999999999669</v>
      </c>
      <c r="J955" s="20">
        <v>1.0271999999999997</v>
      </c>
      <c r="K955" s="20">
        <v>1.1479999999999995</v>
      </c>
      <c r="L955" s="20">
        <v>1.3057999999999941</v>
      </c>
      <c r="M955" s="20">
        <v>1.4829999999999957</v>
      </c>
      <c r="N955" s="20">
        <v>1.5345</v>
      </c>
      <c r="O955" s="20">
        <v>1.5069999999999937</v>
      </c>
      <c r="P955" s="20">
        <v>1.4525000000000017</v>
      </c>
      <c r="Q955" s="20">
        <v>1.634899999999992</v>
      </c>
      <c r="R955" s="20">
        <v>1.6908000000000003</v>
      </c>
      <c r="S955" s="20">
        <v>1.5314999999999976</v>
      </c>
      <c r="T955" s="50">
        <v>1.3120000000000021</v>
      </c>
      <c r="Z955" s="511"/>
    </row>
    <row r="956" spans="2:26" s="578" customFormat="1" ht="21.95" customHeight="1" x14ac:dyDescent="0.2">
      <c r="B956" s="26">
        <v>7</v>
      </c>
      <c r="C956" s="493">
        <v>0.03</v>
      </c>
      <c r="D956" s="20">
        <v>0.03</v>
      </c>
      <c r="E956" s="20">
        <v>0.03</v>
      </c>
      <c r="F956" s="20">
        <v>0.03</v>
      </c>
      <c r="G956" s="20">
        <v>0.59349999999999792</v>
      </c>
      <c r="H956" s="20">
        <v>0.86070000000000046</v>
      </c>
      <c r="I956" s="20">
        <v>0.83789999999999676</v>
      </c>
      <c r="J956" s="20">
        <v>1.0178999999999894</v>
      </c>
      <c r="K956" s="20">
        <v>1.1449999999999994</v>
      </c>
      <c r="L956" s="20">
        <v>1.3008999999999877</v>
      </c>
      <c r="M956" s="20">
        <v>1.4768999999999921</v>
      </c>
      <c r="N956" s="20">
        <v>1.53419999999999</v>
      </c>
      <c r="O956" s="20">
        <v>1.5160999999999973</v>
      </c>
      <c r="P956" s="20">
        <v>1.4488999999999959</v>
      </c>
      <c r="Q956" s="20">
        <v>1.6471999999999882</v>
      </c>
      <c r="R956" s="20">
        <v>1.6924999999999999</v>
      </c>
      <c r="S956" s="20">
        <v>1.5369999999999955</v>
      </c>
      <c r="T956" s="50">
        <v>1.3208999999999991</v>
      </c>
      <c r="Z956" s="511"/>
    </row>
    <row r="957" spans="2:26" s="578" customFormat="1" ht="21.95" customHeight="1" x14ac:dyDescent="0.2">
      <c r="B957" s="26">
        <v>7.125</v>
      </c>
      <c r="C957" s="493">
        <v>0.03</v>
      </c>
      <c r="D957" s="20">
        <v>0.03</v>
      </c>
      <c r="E957" s="20">
        <v>0.03</v>
      </c>
      <c r="F957" s="20">
        <v>0.03</v>
      </c>
      <c r="G957" s="20">
        <v>0.59259999999999646</v>
      </c>
      <c r="H957" s="20">
        <v>0.85979999999999901</v>
      </c>
      <c r="I957" s="20">
        <v>0.84259999999999646</v>
      </c>
      <c r="J957" s="20">
        <v>1.0217999999999909</v>
      </c>
      <c r="K957" s="20">
        <v>1.1449999999999994</v>
      </c>
      <c r="L957" s="20">
        <v>1.3019999999999958</v>
      </c>
      <c r="M957" s="20">
        <v>1.478699999999995</v>
      </c>
      <c r="N957" s="20">
        <v>1.5324999999999904</v>
      </c>
      <c r="O957" s="20">
        <v>1.5085000000000008</v>
      </c>
      <c r="P957" s="20">
        <v>1.4491999999999916</v>
      </c>
      <c r="Q957" s="20">
        <v>1.6375999999999964</v>
      </c>
      <c r="R957" s="20">
        <v>1.6894999999999998</v>
      </c>
      <c r="S957" s="20">
        <v>1.5316999999999901</v>
      </c>
      <c r="T957" s="50">
        <v>1.3133999999999917</v>
      </c>
      <c r="Z957" s="511"/>
    </row>
    <row r="958" spans="2:26" s="578" customFormat="1" ht="21.95" customHeight="1" x14ac:dyDescent="0.2">
      <c r="B958" s="953" t="s">
        <v>426</v>
      </c>
      <c r="C958" s="954"/>
      <c r="D958" s="954"/>
      <c r="E958" s="954"/>
      <c r="F958" s="954"/>
      <c r="G958" s="954"/>
      <c r="H958" s="954"/>
      <c r="I958" s="954"/>
      <c r="J958" s="954"/>
      <c r="K958" s="954"/>
      <c r="L958" s="954"/>
      <c r="M958" s="954"/>
      <c r="N958" s="954"/>
      <c r="O958" s="954"/>
      <c r="P958" s="954"/>
      <c r="Q958" s="954"/>
      <c r="R958" s="954"/>
      <c r="S958" s="954"/>
      <c r="T958" s="955"/>
      <c r="Z958" s="511"/>
    </row>
    <row r="959" spans="2:26" s="578" customFormat="1" ht="37.5" customHeight="1" x14ac:dyDescent="0.2">
      <c r="B959" s="490" t="s">
        <v>233</v>
      </c>
      <c r="C959" s="497" t="s">
        <v>519</v>
      </c>
      <c r="D959" s="497" t="s">
        <v>520</v>
      </c>
      <c r="E959" s="497" t="s">
        <v>521</v>
      </c>
      <c r="F959" s="497" t="s">
        <v>522</v>
      </c>
      <c r="G959" s="497" t="s">
        <v>523</v>
      </c>
      <c r="H959" s="497" t="s">
        <v>524</v>
      </c>
      <c r="I959" s="497" t="s">
        <v>525</v>
      </c>
      <c r="J959" s="497" t="s">
        <v>526</v>
      </c>
      <c r="K959" s="497" t="s">
        <v>478</v>
      </c>
      <c r="L959" s="497" t="s">
        <v>479</v>
      </c>
      <c r="M959" s="497" t="s">
        <v>418</v>
      </c>
      <c r="N959" s="497" t="s">
        <v>419</v>
      </c>
      <c r="O959" s="497" t="s">
        <v>420</v>
      </c>
      <c r="P959" s="497" t="s">
        <v>421</v>
      </c>
      <c r="Q959" s="497" t="s">
        <v>422</v>
      </c>
      <c r="R959" s="497" t="s">
        <v>423</v>
      </c>
      <c r="S959" s="497" t="s">
        <v>424</v>
      </c>
      <c r="T959" s="498" t="s">
        <v>425</v>
      </c>
      <c r="U959" s="4"/>
      <c r="V959" s="4"/>
      <c r="Z959" s="511"/>
    </row>
    <row r="960" spans="2:26" s="578" customFormat="1" ht="21.95" customHeight="1" x14ac:dyDescent="0.2">
      <c r="B960" s="491">
        <v>4.625</v>
      </c>
      <c r="C960" s="20" t="s">
        <v>529</v>
      </c>
      <c r="D960" s="20" t="s">
        <v>529</v>
      </c>
      <c r="E960" s="20" t="s">
        <v>529</v>
      </c>
      <c r="F960" s="20" t="s">
        <v>529</v>
      </c>
      <c r="G960" s="20">
        <v>-3.0000000000001137E-2</v>
      </c>
      <c r="H960" s="20">
        <v>-3.0000000000001137E-2</v>
      </c>
      <c r="I960" s="20">
        <v>-0.12999999999999545</v>
      </c>
      <c r="J960" s="20">
        <v>-0.21999999999999886</v>
      </c>
      <c r="K960" s="20">
        <v>-0.29999999999999827</v>
      </c>
      <c r="L960" s="20">
        <v>-0.18999999999999886</v>
      </c>
      <c r="M960" s="20">
        <v>-0.17999999999999375</v>
      </c>
      <c r="N960" s="20">
        <v>-0.23000000000000512</v>
      </c>
      <c r="O960" s="20">
        <v>-0.17999999999999489</v>
      </c>
      <c r="P960" s="20">
        <v>-0.22999999999999715</v>
      </c>
      <c r="Q960" s="20">
        <v>-0.27999999999999431</v>
      </c>
      <c r="R960" s="20">
        <v>-0.3599999999999926</v>
      </c>
      <c r="S960" s="20">
        <v>-0.73999999999999544</v>
      </c>
      <c r="T960" s="50">
        <v>-2.6299999999999955</v>
      </c>
      <c r="U960" s="4"/>
      <c r="V960" s="4"/>
      <c r="Z960" s="511"/>
    </row>
    <row r="961" spans="2:26" s="578" customFormat="1" ht="21.95" customHeight="1" x14ac:dyDescent="0.2">
      <c r="B961" s="491">
        <v>4.75</v>
      </c>
      <c r="C961" s="20" t="s">
        <v>529</v>
      </c>
      <c r="D961" s="20" t="s">
        <v>529</v>
      </c>
      <c r="E961" s="20" t="s">
        <v>529</v>
      </c>
      <c r="F961" s="20" t="s">
        <v>529</v>
      </c>
      <c r="G961" s="20">
        <v>-0.10999999999999943</v>
      </c>
      <c r="H961" s="20">
        <v>-0.10999999999999943</v>
      </c>
      <c r="I961" s="20">
        <v>-0.20999999999999375</v>
      </c>
      <c r="J961" s="20">
        <v>-0.29999999999999716</v>
      </c>
      <c r="K961" s="20">
        <v>-0.37999999999999656</v>
      </c>
      <c r="L961" s="20">
        <v>-0.26999999999999713</v>
      </c>
      <c r="M961" s="20">
        <v>-0.26000000000000623</v>
      </c>
      <c r="N961" s="20">
        <v>-0.31000000000000338</v>
      </c>
      <c r="O961" s="20">
        <v>-0.25999999999999318</v>
      </c>
      <c r="P961" s="20">
        <v>-0.30999999999999545</v>
      </c>
      <c r="Q961" s="20">
        <v>-0.36000000000000681</v>
      </c>
      <c r="R961" s="20">
        <v>-0.44000000000000511</v>
      </c>
      <c r="S961" s="20">
        <v>-0.81999999999999373</v>
      </c>
      <c r="T961" s="50">
        <v>-2.7099999999999937</v>
      </c>
      <c r="U961" s="4"/>
      <c r="V961" s="4"/>
      <c r="Z961" s="511"/>
    </row>
    <row r="962" spans="2:26" s="578" customFormat="1" ht="21.95" customHeight="1" x14ac:dyDescent="0.2">
      <c r="B962" s="491">
        <v>4.875</v>
      </c>
      <c r="C962" s="20" t="s">
        <v>529</v>
      </c>
      <c r="D962" s="20" t="s">
        <v>529</v>
      </c>
      <c r="E962" s="20" t="s">
        <v>529</v>
      </c>
      <c r="F962" s="20" t="s">
        <v>529</v>
      </c>
      <c r="G962" s="20">
        <v>-0.12999999999999545</v>
      </c>
      <c r="H962" s="20">
        <v>-0.12999999999999545</v>
      </c>
      <c r="I962" s="20">
        <v>-0.22999999999998977</v>
      </c>
      <c r="J962" s="20">
        <v>-0.31999999999999318</v>
      </c>
      <c r="K962" s="20">
        <v>-0.39999999999999258</v>
      </c>
      <c r="L962" s="20">
        <v>-0.28999999999999315</v>
      </c>
      <c r="M962" s="20">
        <v>-0.28000000000000225</v>
      </c>
      <c r="N962" s="20">
        <v>-0.3299999999999994</v>
      </c>
      <c r="O962" s="20">
        <v>-0.2799999999999892</v>
      </c>
      <c r="P962" s="20">
        <v>-0.32999999999999147</v>
      </c>
      <c r="Q962" s="20">
        <v>-0.37999999999998862</v>
      </c>
      <c r="R962" s="20">
        <v>-0.46000000000000113</v>
      </c>
      <c r="S962" s="20">
        <v>-0.83999999999998975</v>
      </c>
      <c r="T962" s="50">
        <v>-2.7299999999999898</v>
      </c>
      <c r="U962" s="4"/>
      <c r="V962" s="4"/>
      <c r="Z962" s="511"/>
    </row>
    <row r="963" spans="2:26" s="578" customFormat="1" ht="21.95" customHeight="1" x14ac:dyDescent="0.2">
      <c r="B963" s="491">
        <v>5</v>
      </c>
      <c r="C963" s="20" t="s">
        <v>529</v>
      </c>
      <c r="D963" s="20" t="s">
        <v>529</v>
      </c>
      <c r="E963" s="20" t="s">
        <v>529</v>
      </c>
      <c r="F963" s="20" t="s">
        <v>529</v>
      </c>
      <c r="G963" s="20" t="s">
        <v>529</v>
      </c>
      <c r="H963" s="20" t="s">
        <v>529</v>
      </c>
      <c r="I963" s="20">
        <v>-9.0000000000003411E-2</v>
      </c>
      <c r="J963" s="20">
        <v>-0.18000000000000682</v>
      </c>
      <c r="K963" s="20">
        <v>-0.26000000000000623</v>
      </c>
      <c r="L963" s="20">
        <v>-0.15000000000000682</v>
      </c>
      <c r="M963" s="20">
        <v>-0.14000000000000171</v>
      </c>
      <c r="N963" s="20">
        <v>-0.18999999999999886</v>
      </c>
      <c r="O963" s="20">
        <v>-0.14000000000000284</v>
      </c>
      <c r="P963" s="20">
        <v>-0.19000000000000511</v>
      </c>
      <c r="Q963" s="20">
        <v>-0.24000000000000227</v>
      </c>
      <c r="R963" s="20">
        <v>-0.32000000000000056</v>
      </c>
      <c r="S963" s="20">
        <v>-0.7000000000000034</v>
      </c>
      <c r="T963" s="50">
        <v>-2.5900000000000034</v>
      </c>
      <c r="U963" s="4"/>
      <c r="V963" s="4"/>
      <c r="Z963" s="511"/>
    </row>
    <row r="964" spans="2:26" s="578" customFormat="1" ht="21.95" customHeight="1" x14ac:dyDescent="0.2">
      <c r="B964" s="491">
        <v>5.125</v>
      </c>
      <c r="C964" s="20" t="s">
        <v>529</v>
      </c>
      <c r="D964" s="20" t="s">
        <v>529</v>
      </c>
      <c r="E964" s="20" t="s">
        <v>529</v>
      </c>
      <c r="F964" s="20" t="s">
        <v>529</v>
      </c>
      <c r="G964" s="20">
        <v>-0.12999999999999545</v>
      </c>
      <c r="H964" s="20">
        <v>-0.12999999999999545</v>
      </c>
      <c r="I964" s="20">
        <v>-0.23000000000000398</v>
      </c>
      <c r="J964" s="20">
        <v>-0.31999999999999318</v>
      </c>
      <c r="K964" s="20">
        <v>-0.40000000000000679</v>
      </c>
      <c r="L964" s="20">
        <v>-0.28999999999999315</v>
      </c>
      <c r="M964" s="20">
        <v>-0.28000000000000225</v>
      </c>
      <c r="N964" s="20">
        <v>-0.3299999999999994</v>
      </c>
      <c r="O964" s="20">
        <v>-0.28000000000000341</v>
      </c>
      <c r="P964" s="20">
        <v>-0.33000000000000568</v>
      </c>
      <c r="Q964" s="20">
        <v>-0.38000000000000284</v>
      </c>
      <c r="R964" s="20">
        <v>-0.46000000000000113</v>
      </c>
      <c r="S964" s="20">
        <v>-0.84000000000000397</v>
      </c>
      <c r="T964" s="50">
        <v>-2.730000000000004</v>
      </c>
      <c r="U964" s="4"/>
      <c r="V964" s="4"/>
      <c r="Z964" s="511"/>
    </row>
    <row r="965" spans="2:26" s="578" customFormat="1" ht="21.95" customHeight="1" x14ac:dyDescent="0.2">
      <c r="B965" s="491">
        <v>5.25</v>
      </c>
      <c r="C965" s="20" t="s">
        <v>529</v>
      </c>
      <c r="D965" s="20" t="s">
        <v>529</v>
      </c>
      <c r="E965" s="20" t="s">
        <v>529</v>
      </c>
      <c r="F965" s="20" t="s">
        <v>529</v>
      </c>
      <c r="G965" s="20" t="s">
        <v>529</v>
      </c>
      <c r="H965" s="20">
        <v>0.26720000000000255</v>
      </c>
      <c r="I965" s="20">
        <v>0.32659999999999911</v>
      </c>
      <c r="J965" s="20">
        <v>0.38599999999999568</v>
      </c>
      <c r="K965" s="20">
        <v>0.47529999999998895</v>
      </c>
      <c r="L965" s="20">
        <v>0.53469999999999973</v>
      </c>
      <c r="M965" s="20">
        <v>0.5940999999999963</v>
      </c>
      <c r="N965" s="20">
        <v>0.68319999999999825</v>
      </c>
      <c r="O965" s="20">
        <v>0.77249999999999153</v>
      </c>
      <c r="P965" s="20">
        <v>0.90129999999999888</v>
      </c>
      <c r="Q965" s="20">
        <v>0.96069999999999545</v>
      </c>
      <c r="R965" s="20">
        <v>0.9399999999999904</v>
      </c>
      <c r="S965" s="20">
        <v>0.76779999999999349</v>
      </c>
      <c r="T965" s="50">
        <v>-1.06280000000001</v>
      </c>
      <c r="U965" s="4"/>
      <c r="V965" s="4"/>
      <c r="Z965" s="511"/>
    </row>
    <row r="966" spans="2:26" s="578" customFormat="1" ht="21.95" customHeight="1" x14ac:dyDescent="0.2">
      <c r="B966" s="491">
        <v>5.375</v>
      </c>
      <c r="C966" s="20" t="s">
        <v>529</v>
      </c>
      <c r="D966" s="20" t="s">
        <v>529</v>
      </c>
      <c r="E966" s="20" t="s">
        <v>529</v>
      </c>
      <c r="F966" s="20" t="s">
        <v>529</v>
      </c>
      <c r="G966" s="20" t="s">
        <v>529</v>
      </c>
      <c r="H966" s="20">
        <v>0.26720000000000255</v>
      </c>
      <c r="I966" s="20">
        <v>0.32659999999999911</v>
      </c>
      <c r="J966" s="20">
        <v>0.38599999999999568</v>
      </c>
      <c r="K966" s="20">
        <v>0.47539999999999227</v>
      </c>
      <c r="L966" s="20">
        <v>0.53469999999999973</v>
      </c>
      <c r="M966" s="20">
        <v>0.5940999999999963</v>
      </c>
      <c r="N966" s="20">
        <v>0.68319999999999825</v>
      </c>
      <c r="O966" s="20">
        <v>0.77249999999999153</v>
      </c>
      <c r="P966" s="20">
        <v>0.90129999999999888</v>
      </c>
      <c r="Q966" s="20">
        <v>0.96069999999999545</v>
      </c>
      <c r="R966" s="20">
        <v>1.0099999999999978</v>
      </c>
      <c r="S966" s="20">
        <v>0.83780000000000088</v>
      </c>
      <c r="T966" s="50">
        <v>-0.99280000000000257</v>
      </c>
      <c r="U966" s="4"/>
      <c r="V966" s="4"/>
      <c r="Z966" s="511"/>
    </row>
    <row r="967" spans="2:26" s="578" customFormat="1" ht="21.95" customHeight="1" x14ac:dyDescent="0.2">
      <c r="B967" s="491">
        <v>5.5</v>
      </c>
      <c r="C967" s="20" t="s">
        <v>529</v>
      </c>
      <c r="D967" s="20" t="s">
        <v>529</v>
      </c>
      <c r="E967" s="20" t="s">
        <v>529</v>
      </c>
      <c r="F967" s="20" t="s">
        <v>529</v>
      </c>
      <c r="G967" s="20" t="s">
        <v>529</v>
      </c>
      <c r="H967" s="20">
        <v>0.26720000000000255</v>
      </c>
      <c r="I967" s="20">
        <v>0.32659999999999911</v>
      </c>
      <c r="J967" s="20">
        <v>0.38589999999999236</v>
      </c>
      <c r="K967" s="20">
        <v>0.47530000000000316</v>
      </c>
      <c r="L967" s="20">
        <v>0.53469999999999973</v>
      </c>
      <c r="M967" s="20">
        <v>0.5940999999999963</v>
      </c>
      <c r="N967" s="20">
        <v>0.68309999999999493</v>
      </c>
      <c r="O967" s="20">
        <v>0.77250000000000574</v>
      </c>
      <c r="P967" s="20">
        <v>0.90119999999999556</v>
      </c>
      <c r="Q967" s="20">
        <v>0.96059999999999213</v>
      </c>
      <c r="R967" s="20">
        <v>1.0099999999999978</v>
      </c>
      <c r="S967" s="20">
        <v>0.83780000000000088</v>
      </c>
      <c r="T967" s="50">
        <v>-0.99280000000000257</v>
      </c>
      <c r="U967" s="4"/>
      <c r="V967" s="4"/>
      <c r="Z967" s="511"/>
    </row>
    <row r="968" spans="2:26" s="578" customFormat="1" ht="21.95" customHeight="1" x14ac:dyDescent="0.2">
      <c r="B968" s="491">
        <v>5.625</v>
      </c>
      <c r="C968" s="20" t="s">
        <v>529</v>
      </c>
      <c r="D968" s="20" t="s">
        <v>529</v>
      </c>
      <c r="E968" s="20" t="s">
        <v>529</v>
      </c>
      <c r="F968" s="20" t="s">
        <v>529</v>
      </c>
      <c r="G968" s="20">
        <v>-4.0000000000006253E-2</v>
      </c>
      <c r="H968" s="20">
        <v>0.22719999999999629</v>
      </c>
      <c r="I968" s="20">
        <v>0.18659999999999854</v>
      </c>
      <c r="J968" s="20">
        <v>0.15590000000000259</v>
      </c>
      <c r="K968" s="20">
        <v>0.13529999999999973</v>
      </c>
      <c r="L968" s="20">
        <v>0.30469999999999575</v>
      </c>
      <c r="M968" s="20">
        <v>0.37409999999999743</v>
      </c>
      <c r="N968" s="20">
        <v>0.41309999999999891</v>
      </c>
      <c r="O968" s="20">
        <v>0.52249999999999153</v>
      </c>
      <c r="P968" s="20">
        <v>0.59129999999999661</v>
      </c>
      <c r="Q968" s="20">
        <v>0.6005999999999927</v>
      </c>
      <c r="R968" s="20">
        <v>0.57999999999999097</v>
      </c>
      <c r="S968" s="20">
        <v>0.40779999999999406</v>
      </c>
      <c r="T968" s="50">
        <v>-1.4228000000000094</v>
      </c>
      <c r="U968" s="4"/>
      <c r="V968" s="4"/>
      <c r="Z968" s="511"/>
    </row>
    <row r="969" spans="2:26" s="578" customFormat="1" ht="21.95" customHeight="1" x14ac:dyDescent="0.2">
      <c r="B969" s="491">
        <v>5.75</v>
      </c>
      <c r="C969" s="20">
        <v>0.47469999999999968</v>
      </c>
      <c r="D969" s="20">
        <v>0.50440000000000507</v>
      </c>
      <c r="E969" s="20">
        <v>0.53409999999999624</v>
      </c>
      <c r="F969" s="20">
        <v>0.56380000000000163</v>
      </c>
      <c r="G969" s="20">
        <v>0.68290000000000362</v>
      </c>
      <c r="H969" s="20">
        <v>0.74219999999999686</v>
      </c>
      <c r="I969" s="20">
        <v>0.80160000000000764</v>
      </c>
      <c r="J969" s="20">
        <v>0.95000000000000284</v>
      </c>
      <c r="K969" s="20">
        <v>1.0093999999999983</v>
      </c>
      <c r="L969" s="20">
        <v>1.1582000000000068</v>
      </c>
      <c r="M969" s="20">
        <v>1.2768999999999966</v>
      </c>
      <c r="N969" s="20">
        <v>1.3659999999999985</v>
      </c>
      <c r="O969" s="20">
        <v>1.4554000000000094</v>
      </c>
      <c r="P969" s="20">
        <v>1.5840999999999992</v>
      </c>
      <c r="Q969" s="20">
        <v>1.623200000000004</v>
      </c>
      <c r="R969" s="20">
        <v>1.6024999999999989</v>
      </c>
      <c r="S969" s="20">
        <v>1.3710000000000087</v>
      </c>
      <c r="T969" s="50">
        <v>-0.459699999999998</v>
      </c>
      <c r="U969" s="4"/>
      <c r="V969" s="4"/>
      <c r="Z969" s="511"/>
    </row>
    <row r="970" spans="2:26" s="578" customFormat="1" ht="21.95" customHeight="1" x14ac:dyDescent="0.2">
      <c r="B970" s="491">
        <v>5.875</v>
      </c>
      <c r="C970" s="20">
        <v>0.47469999999999968</v>
      </c>
      <c r="D970" s="20">
        <v>0.50439999999999086</v>
      </c>
      <c r="E970" s="20">
        <v>0.53399999999999292</v>
      </c>
      <c r="F970" s="20">
        <v>0.56369999999999831</v>
      </c>
      <c r="G970" s="20">
        <v>0.6828000000000003</v>
      </c>
      <c r="H970" s="20">
        <v>0.74219999999999686</v>
      </c>
      <c r="I970" s="20">
        <v>0.80159999999999343</v>
      </c>
      <c r="J970" s="20">
        <v>0.94999999999998863</v>
      </c>
      <c r="K970" s="20">
        <v>1.0393999999999994</v>
      </c>
      <c r="L970" s="20">
        <v>1.1580999999999892</v>
      </c>
      <c r="M970" s="20">
        <v>1.2768999999999966</v>
      </c>
      <c r="N970" s="20">
        <v>1.3658999999999952</v>
      </c>
      <c r="O970" s="20">
        <v>1.4552999999999918</v>
      </c>
      <c r="P970" s="20">
        <v>1.5839999999999959</v>
      </c>
      <c r="Q970" s="20">
        <v>1.6730999999999978</v>
      </c>
      <c r="R970" s="20">
        <v>1.7124999999999984</v>
      </c>
      <c r="S970" s="20">
        <v>1.4808999999999906</v>
      </c>
      <c r="T970" s="50">
        <v>-0.34970000000001278</v>
      </c>
      <c r="U970" s="4"/>
      <c r="V970" s="4"/>
      <c r="Z970" s="511"/>
    </row>
    <row r="971" spans="2:26" s="578" customFormat="1" ht="21.95" customHeight="1" x14ac:dyDescent="0.2">
      <c r="B971" s="491">
        <v>5.99</v>
      </c>
      <c r="C971" s="20">
        <v>0.47469999999999968</v>
      </c>
      <c r="D971" s="20">
        <v>0.50430000000000175</v>
      </c>
      <c r="E971" s="20">
        <v>0.53400000000000714</v>
      </c>
      <c r="F971" s="20">
        <v>0.56369999999999831</v>
      </c>
      <c r="G971" s="20">
        <v>0.6828000000000003</v>
      </c>
      <c r="H971" s="20">
        <v>0.74219999999999686</v>
      </c>
      <c r="I971" s="20">
        <v>0.80150000000000432</v>
      </c>
      <c r="J971" s="20">
        <v>0.95000000000000284</v>
      </c>
      <c r="K971" s="20">
        <v>1.0293000000000052</v>
      </c>
      <c r="L971" s="20">
        <v>1.1581000000000035</v>
      </c>
      <c r="M971" s="20">
        <v>1.2768000000000075</v>
      </c>
      <c r="N971" s="20">
        <v>1.3659000000000094</v>
      </c>
      <c r="O971" s="20">
        <v>1.455300000000006</v>
      </c>
      <c r="P971" s="20">
        <v>1.5839999999999959</v>
      </c>
      <c r="Q971" s="20">
        <v>1.6430999999999967</v>
      </c>
      <c r="R971" s="20">
        <v>1.6225000000000092</v>
      </c>
      <c r="S971" s="20">
        <v>1.3909000000000014</v>
      </c>
      <c r="T971" s="50">
        <v>-0.43970000000000198</v>
      </c>
      <c r="U971" s="4"/>
      <c r="V971" s="4"/>
      <c r="Z971" s="511"/>
    </row>
    <row r="972" spans="2:26" s="578" customFormat="1" ht="21.95" customHeight="1" x14ac:dyDescent="0.2">
      <c r="B972" s="491">
        <v>6.125</v>
      </c>
      <c r="C972" s="20">
        <v>0.47469999999999968</v>
      </c>
      <c r="D972" s="20">
        <v>0.50439999999999086</v>
      </c>
      <c r="E972" s="20">
        <v>0.53409999999999624</v>
      </c>
      <c r="F972" s="20">
        <v>0.56379999999998742</v>
      </c>
      <c r="G972" s="20">
        <v>0.55279999999999063</v>
      </c>
      <c r="H972" s="20">
        <v>0.6121999999999872</v>
      </c>
      <c r="I972" s="20">
        <v>0.57159999999998945</v>
      </c>
      <c r="J972" s="20">
        <v>0.62999999999999545</v>
      </c>
      <c r="K972" s="20">
        <v>0.60939999999999261</v>
      </c>
      <c r="L972" s="20">
        <v>0.83809999999999607</v>
      </c>
      <c r="M972" s="20">
        <v>0.96689999999999432</v>
      </c>
      <c r="N972" s="20">
        <v>1.0058999999999958</v>
      </c>
      <c r="O972" s="20">
        <v>1.1152999999999884</v>
      </c>
      <c r="P972" s="20">
        <v>1.1840999999999935</v>
      </c>
      <c r="Q972" s="20">
        <v>1.223099999999995</v>
      </c>
      <c r="R972" s="20">
        <v>1.2024999999999932</v>
      </c>
      <c r="S972" s="20">
        <v>0.97089999999999976</v>
      </c>
      <c r="T972" s="50">
        <v>-0.85970000000000368</v>
      </c>
      <c r="U972" s="4"/>
      <c r="V972" s="4"/>
      <c r="Z972" s="511"/>
    </row>
    <row r="973" spans="2:26" s="578" customFormat="1" ht="21.95" customHeight="1" x14ac:dyDescent="0.2">
      <c r="B973" s="491">
        <v>6.25</v>
      </c>
      <c r="C973" s="20">
        <v>0.26680000000000459</v>
      </c>
      <c r="D973" s="20">
        <v>0.32620000000000116</v>
      </c>
      <c r="E973" s="20">
        <v>0.38560000000001193</v>
      </c>
      <c r="F973" s="20">
        <v>0.4450000000000085</v>
      </c>
      <c r="G973" s="20">
        <v>0.53440000000000509</v>
      </c>
      <c r="H973" s="20">
        <v>0.65310000000000912</v>
      </c>
      <c r="I973" s="20">
        <v>0.71250000000000568</v>
      </c>
      <c r="J973" s="20">
        <v>0.95000000000000284</v>
      </c>
      <c r="K973" s="20">
        <v>1.0393000000000103</v>
      </c>
      <c r="L973" s="20">
        <v>1.1284000000000123</v>
      </c>
      <c r="M973" s="20">
        <v>1.2472000000000054</v>
      </c>
      <c r="N973" s="20">
        <v>1.3362000000000041</v>
      </c>
      <c r="O973" s="20">
        <v>1.5443000000000047</v>
      </c>
      <c r="P973" s="20">
        <v>1.8512000000000126</v>
      </c>
      <c r="Q973" s="20">
        <v>1.9403000000000004</v>
      </c>
      <c r="R973" s="20">
        <v>2.029000000000003</v>
      </c>
      <c r="S973" s="20">
        <v>1.7678000000000076</v>
      </c>
      <c r="T973" s="50">
        <v>5.5900000000008276E-2</v>
      </c>
      <c r="U973" s="4"/>
      <c r="V973" s="4"/>
      <c r="Z973" s="511"/>
    </row>
    <row r="974" spans="2:26" s="578" customFormat="1" ht="21.95" customHeight="1" x14ac:dyDescent="0.2">
      <c r="B974" s="491">
        <v>6.375</v>
      </c>
      <c r="C974" s="20">
        <v>0.26690000000000791</v>
      </c>
      <c r="D974" s="20">
        <v>0.32630000000000448</v>
      </c>
      <c r="E974" s="20">
        <v>0.38559999999999772</v>
      </c>
      <c r="F974" s="20">
        <v>0.4450000000000085</v>
      </c>
      <c r="G974" s="20">
        <v>0.53440000000000509</v>
      </c>
      <c r="H974" s="20">
        <v>0.65319999999999823</v>
      </c>
      <c r="I974" s="20">
        <v>0.71250000000000568</v>
      </c>
      <c r="J974" s="20">
        <v>0.95000000000000284</v>
      </c>
      <c r="K974" s="20">
        <v>1.0393999999999994</v>
      </c>
      <c r="L974" s="20">
        <v>1.1285000000000014</v>
      </c>
      <c r="M974" s="20">
        <v>1.2472000000000054</v>
      </c>
      <c r="N974" s="20">
        <v>1.3363000000000074</v>
      </c>
      <c r="O974" s="20">
        <v>1.544400000000008</v>
      </c>
      <c r="P974" s="20">
        <v>1.8513000000000017</v>
      </c>
      <c r="Q974" s="20">
        <v>1.9303000000000095</v>
      </c>
      <c r="R974" s="20">
        <v>1.9691000000000043</v>
      </c>
      <c r="S974" s="20">
        <v>1.7078000000000053</v>
      </c>
      <c r="T974" s="50">
        <v>-3.9999999999906777E-3</v>
      </c>
      <c r="U974" s="4"/>
      <c r="V974" s="4"/>
      <c r="Z974" s="511"/>
    </row>
    <row r="975" spans="2:26" s="578" customFormat="1" ht="21.95" customHeight="1" x14ac:dyDescent="0.2">
      <c r="B975" s="491">
        <v>6.5</v>
      </c>
      <c r="C975" s="20">
        <v>0.2668999999999937</v>
      </c>
      <c r="D975" s="20">
        <v>0.32620000000000116</v>
      </c>
      <c r="E975" s="20">
        <v>0.38559999999999772</v>
      </c>
      <c r="F975" s="20">
        <v>0.44499999999999429</v>
      </c>
      <c r="G975" s="20">
        <v>0.53440000000000509</v>
      </c>
      <c r="H975" s="20">
        <v>0.65309999999999491</v>
      </c>
      <c r="I975" s="20">
        <v>0.71250000000000568</v>
      </c>
      <c r="J975" s="20">
        <v>0.87999999999999545</v>
      </c>
      <c r="K975" s="20">
        <v>0.85930000000000351</v>
      </c>
      <c r="L975" s="20">
        <v>1.0584000000000049</v>
      </c>
      <c r="M975" s="20">
        <v>1.1872000000000031</v>
      </c>
      <c r="N975" s="20">
        <v>1.2262000000000046</v>
      </c>
      <c r="O975" s="20">
        <v>1.4544000000000046</v>
      </c>
      <c r="P975" s="20">
        <v>1.7011999999999927</v>
      </c>
      <c r="Q975" s="20">
        <v>1.7402999999999975</v>
      </c>
      <c r="R975" s="20">
        <v>1.7790000000000032</v>
      </c>
      <c r="S975" s="20">
        <v>1.5177999999999934</v>
      </c>
      <c r="T975" s="50">
        <v>-0.19410000000000593</v>
      </c>
      <c r="U975" s="4"/>
      <c r="V975" s="4"/>
      <c r="Z975" s="511"/>
    </row>
    <row r="976" spans="2:26" s="578" customFormat="1" ht="21.95" customHeight="1" x14ac:dyDescent="0.2">
      <c r="B976" s="491">
        <v>6.625</v>
      </c>
      <c r="C976" s="20">
        <v>0.2668999999999937</v>
      </c>
      <c r="D976" s="20">
        <v>0.32620000000000116</v>
      </c>
      <c r="E976" s="20">
        <v>0.38559999999999772</v>
      </c>
      <c r="F976" s="20">
        <v>0.44499999999999429</v>
      </c>
      <c r="G976" s="20">
        <v>0.51439999999999486</v>
      </c>
      <c r="H976" s="20">
        <v>0.63309999999999889</v>
      </c>
      <c r="I976" s="20">
        <v>0.59250000000000114</v>
      </c>
      <c r="J976" s="20">
        <v>0.73999999999999488</v>
      </c>
      <c r="K976" s="20">
        <v>0.71939999999999205</v>
      </c>
      <c r="L976" s="20">
        <v>0.91839999999999011</v>
      </c>
      <c r="M976" s="20">
        <v>1.0472000000000026</v>
      </c>
      <c r="N976" s="20">
        <v>1.0861999999999898</v>
      </c>
      <c r="O976" s="20">
        <v>1.3143999999999898</v>
      </c>
      <c r="P976" s="20">
        <v>1.5611999999999921</v>
      </c>
      <c r="Q976" s="20">
        <v>1.6002999999999969</v>
      </c>
      <c r="R976" s="20">
        <v>1.6390000000000027</v>
      </c>
      <c r="S976" s="20">
        <v>1.3777999999999928</v>
      </c>
      <c r="T976" s="50">
        <v>-0.3341000000000065</v>
      </c>
      <c r="U976" s="4"/>
      <c r="V976" s="4"/>
      <c r="Z976" s="511"/>
    </row>
    <row r="977" spans="2:26" s="578" customFormat="1" ht="21.95" customHeight="1" x14ac:dyDescent="0.2">
      <c r="B977" s="491">
        <v>6.75</v>
      </c>
      <c r="C977" s="20" t="s">
        <v>529</v>
      </c>
      <c r="D977" s="20" t="s">
        <v>529</v>
      </c>
      <c r="E977" s="20" t="s">
        <v>529</v>
      </c>
      <c r="F977" s="20" t="s">
        <v>529</v>
      </c>
      <c r="G977" s="20" t="s">
        <v>529</v>
      </c>
      <c r="H977" s="20" t="s">
        <v>529</v>
      </c>
      <c r="I977" s="20" t="s">
        <v>529</v>
      </c>
      <c r="J977" s="20">
        <v>-1.9999999999996021E-2</v>
      </c>
      <c r="K977" s="20">
        <v>-9.9999999999995454E-2</v>
      </c>
      <c r="L977" s="20">
        <v>1.0000000000003978E-2</v>
      </c>
      <c r="M977" s="20">
        <v>1.9999999999994883E-2</v>
      </c>
      <c r="N977" s="20">
        <v>-2.9999999999688609E-4</v>
      </c>
      <c r="O977" s="20" t="s">
        <v>529</v>
      </c>
      <c r="P977" s="20">
        <v>0.23719999999999403</v>
      </c>
      <c r="Q977" s="20">
        <v>0.33569999999999539</v>
      </c>
      <c r="R977" s="20">
        <v>0.46350000000000308</v>
      </c>
      <c r="S977" s="20">
        <v>0.3209999999999974</v>
      </c>
      <c r="T977" s="50">
        <v>-1.5096999999999952</v>
      </c>
      <c r="U977" s="4"/>
      <c r="V977" s="4"/>
      <c r="Z977" s="511"/>
    </row>
    <row r="978" spans="2:26" s="578" customFormat="1" ht="21.95" customHeight="1" x14ac:dyDescent="0.2">
      <c r="B978" s="491">
        <v>6.875</v>
      </c>
      <c r="C978" s="20" t="s">
        <v>529</v>
      </c>
      <c r="D978" s="20" t="s">
        <v>529</v>
      </c>
      <c r="E978" s="20" t="s">
        <v>529</v>
      </c>
      <c r="F978" s="20" t="s">
        <v>529</v>
      </c>
      <c r="G978" s="20" t="s">
        <v>529</v>
      </c>
      <c r="H978" s="20" t="s">
        <v>529</v>
      </c>
      <c r="I978" s="20" t="s">
        <v>529</v>
      </c>
      <c r="J978" s="20" t="s">
        <v>529</v>
      </c>
      <c r="K978" s="20">
        <v>-5.0000000000012507E-2</v>
      </c>
      <c r="L978" s="20" t="s">
        <v>529</v>
      </c>
      <c r="M978" s="20" t="s">
        <v>529</v>
      </c>
      <c r="N978" s="20" t="s">
        <v>529</v>
      </c>
      <c r="O978" s="20">
        <v>0.14909999999998774</v>
      </c>
      <c r="P978" s="20">
        <v>0.28719999999999118</v>
      </c>
      <c r="Q978" s="20">
        <v>0.38569999999999255</v>
      </c>
      <c r="R978" s="20">
        <v>0.51349999999998608</v>
      </c>
      <c r="S978" s="20">
        <v>0.37099999999999456</v>
      </c>
      <c r="T978" s="50">
        <v>-1.4596000000000089</v>
      </c>
      <c r="U978" s="4"/>
      <c r="V978" s="4"/>
      <c r="Z978" s="511"/>
    </row>
    <row r="979" spans="2:26" s="578" customFormat="1" ht="21.95" customHeight="1" x14ac:dyDescent="0.2">
      <c r="B979" s="491">
        <v>7</v>
      </c>
      <c r="C979" s="20" t="s">
        <v>529</v>
      </c>
      <c r="D979" s="20" t="s">
        <v>529</v>
      </c>
      <c r="E979" s="20" t="s">
        <v>529</v>
      </c>
      <c r="F979" s="20" t="s">
        <v>529</v>
      </c>
      <c r="G979" s="20" t="s">
        <v>529</v>
      </c>
      <c r="H979" s="20" t="s">
        <v>529</v>
      </c>
      <c r="I979" s="20" t="s">
        <v>529</v>
      </c>
      <c r="J979" s="20" t="s">
        <v>529</v>
      </c>
      <c r="K979" s="20" t="s">
        <v>529</v>
      </c>
      <c r="L979" s="20" t="s">
        <v>529</v>
      </c>
      <c r="M979" s="20" t="s">
        <v>529</v>
      </c>
      <c r="N979" s="20" t="s">
        <v>529</v>
      </c>
      <c r="O979" s="20">
        <v>0.14910000000000195</v>
      </c>
      <c r="P979" s="20">
        <v>0.33720000000000255</v>
      </c>
      <c r="Q979" s="20">
        <v>0.48570000000000108</v>
      </c>
      <c r="R979" s="20">
        <v>0.64350000000000995</v>
      </c>
      <c r="S979" s="20">
        <v>0.50100000000000422</v>
      </c>
      <c r="T979" s="50">
        <v>-1.3296999999999883</v>
      </c>
      <c r="U979" s="4"/>
      <c r="V979" s="4"/>
      <c r="Z979" s="511"/>
    </row>
    <row r="980" spans="2:26" s="578" customFormat="1" ht="21.95" customHeight="1" x14ac:dyDescent="0.2">
      <c r="B980" s="494">
        <v>7.125</v>
      </c>
      <c r="C980" s="38" t="s">
        <v>529</v>
      </c>
      <c r="D980" s="38" t="s">
        <v>529</v>
      </c>
      <c r="E980" s="38" t="s">
        <v>529</v>
      </c>
      <c r="F980" s="38" t="s">
        <v>529</v>
      </c>
      <c r="G980" s="38">
        <v>-7.9999999999998295E-2</v>
      </c>
      <c r="H980" s="38">
        <v>-7.9999999999998295E-2</v>
      </c>
      <c r="I980" s="38">
        <v>-0.17999999999999261</v>
      </c>
      <c r="J980" s="38">
        <v>-0.26999999999999602</v>
      </c>
      <c r="K980" s="38">
        <v>-0.34999999999999543</v>
      </c>
      <c r="L980" s="38">
        <v>-0.23999999999999602</v>
      </c>
      <c r="M980" s="38">
        <v>-0.22999999999999091</v>
      </c>
      <c r="N980" s="38">
        <v>-0.25029999999999686</v>
      </c>
      <c r="O980" s="38">
        <v>-0.14099999999999341</v>
      </c>
      <c r="P980" s="38">
        <v>-1.2799999999991762E-2</v>
      </c>
      <c r="Q980" s="38" t="s">
        <v>529</v>
      </c>
      <c r="R980" s="38">
        <v>0.21339999999999976</v>
      </c>
      <c r="S980" s="38">
        <v>7.0900000000008276E-2</v>
      </c>
      <c r="T980" s="358">
        <v>-1.7596999999999952</v>
      </c>
      <c r="U980" s="4"/>
      <c r="V980" s="4"/>
      <c r="Z980" s="511"/>
    </row>
    <row r="981" spans="2:26" s="578" customFormat="1" ht="21.95" customHeight="1" x14ac:dyDescent="0.2">
      <c r="B981" s="953" t="s">
        <v>427</v>
      </c>
      <c r="C981" s="954"/>
      <c r="D981" s="954"/>
      <c r="E981" s="954"/>
      <c r="F981" s="954"/>
      <c r="G981" s="954"/>
      <c r="H981" s="954"/>
      <c r="I981" s="954"/>
      <c r="J981" s="954"/>
      <c r="K981" s="954"/>
      <c r="L981" s="954"/>
      <c r="M981" s="954"/>
      <c r="N981" s="954"/>
      <c r="O981" s="954"/>
      <c r="P981" s="954"/>
      <c r="Q981" s="954"/>
      <c r="R981" s="954"/>
      <c r="S981" s="954"/>
      <c r="T981" s="955"/>
      <c r="Z981" s="511"/>
    </row>
    <row r="982" spans="2:26" s="578" customFormat="1" ht="37.5" customHeight="1" x14ac:dyDescent="0.2">
      <c r="B982" s="490" t="s">
        <v>233</v>
      </c>
      <c r="C982" s="497" t="s">
        <v>519</v>
      </c>
      <c r="D982" s="497" t="s">
        <v>520</v>
      </c>
      <c r="E982" s="497" t="s">
        <v>521</v>
      </c>
      <c r="F982" s="497" t="s">
        <v>522</v>
      </c>
      <c r="G982" s="497" t="s">
        <v>523</v>
      </c>
      <c r="H982" s="497" t="s">
        <v>524</v>
      </c>
      <c r="I982" s="497" t="s">
        <v>525</v>
      </c>
      <c r="J982" s="497" t="s">
        <v>526</v>
      </c>
      <c r="K982" s="497" t="s">
        <v>478</v>
      </c>
      <c r="L982" s="497" t="s">
        <v>479</v>
      </c>
      <c r="M982" s="497" t="s">
        <v>418</v>
      </c>
      <c r="N982" s="497" t="s">
        <v>419</v>
      </c>
      <c r="O982" s="497" t="s">
        <v>420</v>
      </c>
      <c r="P982" s="497" t="s">
        <v>421</v>
      </c>
      <c r="Q982" s="497" t="s">
        <v>422</v>
      </c>
      <c r="R982" s="497" t="s">
        <v>423</v>
      </c>
      <c r="S982" s="497" t="s">
        <v>424</v>
      </c>
      <c r="T982" s="498" t="s">
        <v>425</v>
      </c>
      <c r="U982" s="4"/>
      <c r="V982" s="4"/>
      <c r="Z982" s="511"/>
    </row>
    <row r="983" spans="2:26" s="578" customFormat="1" ht="21.95" customHeight="1" x14ac:dyDescent="0.2">
      <c r="B983" s="491">
        <v>4.625</v>
      </c>
      <c r="C983" s="20">
        <v>0.05</v>
      </c>
      <c r="D983" s="20">
        <v>0.05</v>
      </c>
      <c r="E983" s="20">
        <v>0.05</v>
      </c>
      <c r="F983" s="20">
        <v>0.05</v>
      </c>
      <c r="G983" s="20">
        <v>0.06</v>
      </c>
      <c r="H983" s="20">
        <v>0.06</v>
      </c>
      <c r="I983" s="20">
        <v>0.06</v>
      </c>
      <c r="J983" s="20">
        <v>0.06</v>
      </c>
      <c r="K983" s="20">
        <v>0.06</v>
      </c>
      <c r="L983" s="20" t="s">
        <v>529</v>
      </c>
      <c r="M983" s="20">
        <v>1.9999999999993745E-2</v>
      </c>
      <c r="N983" s="20">
        <v>1.9999999999993745E-2</v>
      </c>
      <c r="O983" s="20">
        <v>3.9999999999993749E-2</v>
      </c>
      <c r="P983" s="20">
        <v>5.9999999999993753E-2</v>
      </c>
      <c r="Q983" s="20">
        <v>8.9999999999993752E-2</v>
      </c>
      <c r="R983" s="20">
        <v>8.9999999999993752E-2</v>
      </c>
      <c r="S983" s="20">
        <v>-0.45999999999999885</v>
      </c>
      <c r="T983" s="50">
        <v>-2.480000000000004</v>
      </c>
      <c r="U983" s="4"/>
      <c r="V983" s="4"/>
      <c r="Z983" s="511"/>
    </row>
    <row r="984" spans="2:26" s="578" customFormat="1" ht="21.95" customHeight="1" x14ac:dyDescent="0.2">
      <c r="B984" s="491">
        <v>4.75</v>
      </c>
      <c r="C984" s="20">
        <v>0.05</v>
      </c>
      <c r="D984" s="20">
        <v>0.05</v>
      </c>
      <c r="E984" s="20">
        <v>0.05</v>
      </c>
      <c r="F984" s="20">
        <v>0.05</v>
      </c>
      <c r="G984" s="20">
        <v>0.06</v>
      </c>
      <c r="H984" s="20">
        <v>0.06</v>
      </c>
      <c r="I984" s="20">
        <v>0.06</v>
      </c>
      <c r="J984" s="20">
        <v>0.06</v>
      </c>
      <c r="K984" s="20">
        <v>0.06</v>
      </c>
      <c r="L984" s="20" t="s">
        <v>529</v>
      </c>
      <c r="M984" s="20">
        <v>1.9999999999993745E-2</v>
      </c>
      <c r="N984" s="20">
        <v>1.9999999999993745E-2</v>
      </c>
      <c r="O984" s="20">
        <v>3.9999999999993749E-2</v>
      </c>
      <c r="P984" s="20">
        <v>5.9999999999993753E-2</v>
      </c>
      <c r="Q984" s="20">
        <v>8.9999999999993752E-2</v>
      </c>
      <c r="R984" s="20">
        <v>8.9999999999993752E-2</v>
      </c>
      <c r="S984" s="20">
        <v>-0.46000000000001307</v>
      </c>
      <c r="T984" s="50">
        <v>-2.480000000000004</v>
      </c>
      <c r="U984" s="4"/>
      <c r="V984" s="4"/>
      <c r="Z984" s="511"/>
    </row>
    <row r="985" spans="2:26" s="578" customFormat="1" ht="21.95" customHeight="1" x14ac:dyDescent="0.2">
      <c r="B985" s="491">
        <v>4.875</v>
      </c>
      <c r="C985" s="20">
        <v>0.05</v>
      </c>
      <c r="D985" s="20">
        <v>0.05</v>
      </c>
      <c r="E985" s="20">
        <v>0.05</v>
      </c>
      <c r="F985" s="20">
        <v>0.05</v>
      </c>
      <c r="G985" s="20">
        <v>0.06</v>
      </c>
      <c r="H985" s="20">
        <v>0.06</v>
      </c>
      <c r="I985" s="20">
        <v>0.06</v>
      </c>
      <c r="J985" s="20">
        <v>0.06</v>
      </c>
      <c r="K985" s="20">
        <v>0.06</v>
      </c>
      <c r="L985" s="20" t="s">
        <v>529</v>
      </c>
      <c r="M985" s="20">
        <v>1.9999999999993745E-2</v>
      </c>
      <c r="N985" s="20">
        <v>1.9999999999993745E-2</v>
      </c>
      <c r="O985" s="20">
        <v>3.9999999999993749E-2</v>
      </c>
      <c r="P985" s="20">
        <v>5.9999999999993753E-2</v>
      </c>
      <c r="Q985" s="20">
        <v>8.9999999999993752E-2</v>
      </c>
      <c r="R985" s="20">
        <v>8.9999999999993752E-2</v>
      </c>
      <c r="S985" s="20">
        <v>-0.45999999999999885</v>
      </c>
      <c r="T985" s="50">
        <v>-2.480000000000004</v>
      </c>
      <c r="U985" s="4"/>
      <c r="V985" s="4"/>
      <c r="Z985" s="511"/>
    </row>
    <row r="986" spans="2:26" s="578" customFormat="1" ht="21.95" customHeight="1" x14ac:dyDescent="0.2">
      <c r="B986" s="491">
        <v>5</v>
      </c>
      <c r="C986" s="20">
        <v>0.05</v>
      </c>
      <c r="D986" s="20">
        <v>0.05</v>
      </c>
      <c r="E986" s="20">
        <v>0.05</v>
      </c>
      <c r="F986" s="20">
        <v>0.05</v>
      </c>
      <c r="G986" s="20">
        <v>0.06</v>
      </c>
      <c r="H986" s="20">
        <v>0.06</v>
      </c>
      <c r="I986" s="20">
        <v>0.06</v>
      </c>
      <c r="J986" s="20">
        <v>0.06</v>
      </c>
      <c r="K986" s="20">
        <v>0.06</v>
      </c>
      <c r="L986" s="20" t="s">
        <v>529</v>
      </c>
      <c r="M986" s="20">
        <v>2.0000000000007956E-2</v>
      </c>
      <c r="N986" s="20">
        <v>2.0000000000007956E-2</v>
      </c>
      <c r="O986" s="20">
        <v>4.000000000000796E-2</v>
      </c>
      <c r="P986" s="20">
        <v>6.0000000000007964E-2</v>
      </c>
      <c r="Q986" s="20">
        <v>9.0000000000007963E-2</v>
      </c>
      <c r="R986" s="20">
        <v>9.0000000000007963E-2</v>
      </c>
      <c r="S986" s="20">
        <v>-0.45999999999999885</v>
      </c>
      <c r="T986" s="50">
        <v>-2.4799999999999898</v>
      </c>
      <c r="U986" s="4"/>
      <c r="V986" s="4"/>
      <c r="Z986" s="511"/>
    </row>
    <row r="987" spans="2:26" s="578" customFormat="1" ht="21.95" customHeight="1" x14ac:dyDescent="0.2">
      <c r="B987" s="491">
        <v>5.125</v>
      </c>
      <c r="C987" s="20">
        <v>0.05</v>
      </c>
      <c r="D987" s="20">
        <v>0.05</v>
      </c>
      <c r="E987" s="20">
        <v>0.05</v>
      </c>
      <c r="F987" s="20">
        <v>0.05</v>
      </c>
      <c r="G987" s="20">
        <v>0.06</v>
      </c>
      <c r="H987" s="20">
        <v>0.06</v>
      </c>
      <c r="I987" s="20">
        <v>0.06</v>
      </c>
      <c r="J987" s="20">
        <v>0.06</v>
      </c>
      <c r="K987" s="20">
        <v>0.06</v>
      </c>
      <c r="L987" s="20" t="s">
        <v>529</v>
      </c>
      <c r="M987" s="20">
        <v>1.9999999999993745E-2</v>
      </c>
      <c r="N987" s="20">
        <v>1.9999999999993745E-2</v>
      </c>
      <c r="O987" s="20">
        <v>3.9999999999993749E-2</v>
      </c>
      <c r="P987" s="20">
        <v>5.9999999999993753E-2</v>
      </c>
      <c r="Q987" s="20">
        <v>8.9999999999993752E-2</v>
      </c>
      <c r="R987" s="20">
        <v>8.9999999999993752E-2</v>
      </c>
      <c r="S987" s="20">
        <v>-0.46000000000001307</v>
      </c>
      <c r="T987" s="50">
        <v>-2.480000000000004</v>
      </c>
      <c r="U987" s="4"/>
      <c r="V987" s="4"/>
      <c r="Z987" s="511"/>
    </row>
    <row r="988" spans="2:26" s="578" customFormat="1" ht="21.95" customHeight="1" x14ac:dyDescent="0.2">
      <c r="B988" s="491">
        <v>5.25</v>
      </c>
      <c r="C988" s="20">
        <v>0.05</v>
      </c>
      <c r="D988" s="20">
        <v>0.05</v>
      </c>
      <c r="E988" s="20">
        <v>0.05</v>
      </c>
      <c r="F988" s="20">
        <v>0.05</v>
      </c>
      <c r="G988" s="20">
        <v>0.06</v>
      </c>
      <c r="H988" s="20">
        <v>0.06</v>
      </c>
      <c r="I988" s="20">
        <v>0.06</v>
      </c>
      <c r="J988" s="20">
        <v>0.06</v>
      </c>
      <c r="K988" s="20">
        <v>0.06</v>
      </c>
      <c r="L988" s="20" t="s">
        <v>529</v>
      </c>
      <c r="M988" s="20">
        <v>4.0000000000003977E-2</v>
      </c>
      <c r="N988" s="20">
        <v>4.0000000000003977E-2</v>
      </c>
      <c r="O988" s="20">
        <v>6.0000000000003981E-2</v>
      </c>
      <c r="P988" s="20">
        <v>8.0000000000003985E-2</v>
      </c>
      <c r="Q988" s="20">
        <v>0.11000000000000398</v>
      </c>
      <c r="R988" s="20">
        <v>0.11000000000000398</v>
      </c>
      <c r="S988" s="20">
        <v>-0.44000000000000283</v>
      </c>
      <c r="T988" s="50">
        <v>-2.4599999999999937</v>
      </c>
      <c r="U988" s="4"/>
      <c r="V988" s="4"/>
      <c r="Z988" s="511"/>
    </row>
    <row r="989" spans="2:26" s="578" customFormat="1" ht="21.95" customHeight="1" x14ac:dyDescent="0.2">
      <c r="B989" s="491">
        <v>5.375</v>
      </c>
      <c r="C989" s="20">
        <v>0.05</v>
      </c>
      <c r="D989" s="20">
        <v>0.05</v>
      </c>
      <c r="E989" s="20">
        <v>0.05</v>
      </c>
      <c r="F989" s="20">
        <v>0.05</v>
      </c>
      <c r="G989" s="20">
        <v>0.06</v>
      </c>
      <c r="H989" s="20">
        <v>0.06</v>
      </c>
      <c r="I989" s="20">
        <v>0.06</v>
      </c>
      <c r="J989" s="20">
        <v>0.06</v>
      </c>
      <c r="K989" s="20">
        <v>0.06</v>
      </c>
      <c r="L989" s="20" t="s">
        <v>529</v>
      </c>
      <c r="M989" s="20">
        <v>3.9900000000000657E-2</v>
      </c>
      <c r="N989" s="20">
        <v>3.9900000000000657E-2</v>
      </c>
      <c r="O989" s="20">
        <v>5.9900000000000661E-2</v>
      </c>
      <c r="P989" s="20">
        <v>7.9900000000000665E-2</v>
      </c>
      <c r="Q989" s="20">
        <v>0.10990000000000066</v>
      </c>
      <c r="R989" s="20">
        <v>0.10990000000000066</v>
      </c>
      <c r="S989" s="20">
        <v>-0.44000000000000283</v>
      </c>
      <c r="T989" s="50">
        <v>-2.460000000000008</v>
      </c>
      <c r="U989" s="4"/>
      <c r="V989" s="4"/>
      <c r="Z989" s="511"/>
    </row>
    <row r="990" spans="2:26" s="578" customFormat="1" ht="21.95" customHeight="1" x14ac:dyDescent="0.2">
      <c r="B990" s="491">
        <v>5.5</v>
      </c>
      <c r="C990" s="20">
        <v>0.05</v>
      </c>
      <c r="D990" s="20">
        <v>0.05</v>
      </c>
      <c r="E990" s="20">
        <v>0.05</v>
      </c>
      <c r="F990" s="20">
        <v>0.05</v>
      </c>
      <c r="G990" s="20">
        <v>0.06</v>
      </c>
      <c r="H990" s="20">
        <v>0.06</v>
      </c>
      <c r="I990" s="20">
        <v>0.06</v>
      </c>
      <c r="J990" s="20">
        <v>0.06</v>
      </c>
      <c r="K990" s="20">
        <v>0.06</v>
      </c>
      <c r="L990" s="20" t="s">
        <v>529</v>
      </c>
      <c r="M990" s="20">
        <v>1.9999999999993745E-2</v>
      </c>
      <c r="N990" s="20">
        <v>1.9999999999993745E-2</v>
      </c>
      <c r="O990" s="20">
        <v>3.9999999999993749E-2</v>
      </c>
      <c r="P990" s="20">
        <v>5.9999999999993753E-2</v>
      </c>
      <c r="Q990" s="20">
        <v>8.9999999999993752E-2</v>
      </c>
      <c r="R990" s="20">
        <v>8.9999999999993752E-2</v>
      </c>
      <c r="S990" s="20">
        <v>-0.45999999999999885</v>
      </c>
      <c r="T990" s="50">
        <v>-2.480000000000004</v>
      </c>
      <c r="U990" s="4"/>
      <c r="V990" s="4"/>
      <c r="Z990" s="511"/>
    </row>
    <row r="991" spans="2:26" s="578" customFormat="1" ht="21.95" customHeight="1" x14ac:dyDescent="0.2">
      <c r="B991" s="491">
        <v>5.625</v>
      </c>
      <c r="C991" s="20">
        <v>0.05</v>
      </c>
      <c r="D991" s="20">
        <v>0.05</v>
      </c>
      <c r="E991" s="20">
        <v>0.05</v>
      </c>
      <c r="F991" s="20">
        <v>0.05</v>
      </c>
      <c r="G991" s="20">
        <v>0.06</v>
      </c>
      <c r="H991" s="20">
        <v>0.06</v>
      </c>
      <c r="I991" s="20">
        <v>0.06</v>
      </c>
      <c r="J991" s="20">
        <v>0.06</v>
      </c>
      <c r="K991" s="20">
        <v>0.06</v>
      </c>
      <c r="L991" s="20" t="s">
        <v>529</v>
      </c>
      <c r="M991" s="20">
        <v>1.9999999999993745E-2</v>
      </c>
      <c r="N991" s="20">
        <v>1.9999999999993745E-2</v>
      </c>
      <c r="O991" s="20">
        <v>3.9999999999993749E-2</v>
      </c>
      <c r="P991" s="20">
        <v>5.9999999999993753E-2</v>
      </c>
      <c r="Q991" s="20">
        <v>8.9999999999993752E-2</v>
      </c>
      <c r="R991" s="20">
        <v>8.9999999999993752E-2</v>
      </c>
      <c r="S991" s="20">
        <v>-0.45999999999999885</v>
      </c>
      <c r="T991" s="50">
        <v>-2.480000000000004</v>
      </c>
      <c r="U991" s="4"/>
      <c r="V991" s="4"/>
      <c r="Z991" s="511"/>
    </row>
    <row r="992" spans="2:26" s="578" customFormat="1" ht="21.95" customHeight="1" x14ac:dyDescent="0.2">
      <c r="B992" s="491">
        <v>5.75</v>
      </c>
      <c r="C992" s="20">
        <v>0.05</v>
      </c>
      <c r="D992" s="20">
        <v>0.05</v>
      </c>
      <c r="E992" s="20">
        <v>0.05</v>
      </c>
      <c r="F992" s="20">
        <v>0.05</v>
      </c>
      <c r="G992" s="20">
        <v>0.06</v>
      </c>
      <c r="H992" s="20">
        <v>0.06</v>
      </c>
      <c r="I992" s="20">
        <v>0.06</v>
      </c>
      <c r="J992" s="20">
        <v>0.06</v>
      </c>
      <c r="K992" s="20">
        <v>0.06</v>
      </c>
      <c r="L992" s="20" t="s">
        <v>529</v>
      </c>
      <c r="M992" s="20">
        <v>1.9999999999993745E-2</v>
      </c>
      <c r="N992" s="20">
        <v>1.9999999999993745E-2</v>
      </c>
      <c r="O992" s="20">
        <v>3.9999999999993749E-2</v>
      </c>
      <c r="P992" s="20">
        <v>5.9999999999993753E-2</v>
      </c>
      <c r="Q992" s="20">
        <v>8.9999999999993752E-2</v>
      </c>
      <c r="R992" s="20">
        <v>8.9999999999993752E-2</v>
      </c>
      <c r="S992" s="20">
        <v>-0.45999999999999885</v>
      </c>
      <c r="T992" s="50">
        <v>-2.480000000000004</v>
      </c>
      <c r="U992" s="4"/>
      <c r="V992" s="4"/>
      <c r="Z992" s="511"/>
    </row>
    <row r="993" spans="2:26" s="578" customFormat="1" ht="21.95" customHeight="1" x14ac:dyDescent="0.2">
      <c r="B993" s="491">
        <v>5.875</v>
      </c>
      <c r="C993" s="20">
        <v>0.05</v>
      </c>
      <c r="D993" s="20">
        <v>0.05</v>
      </c>
      <c r="E993" s="20">
        <v>0.05</v>
      </c>
      <c r="F993" s="20">
        <v>0.05</v>
      </c>
      <c r="G993" s="20">
        <v>0.06</v>
      </c>
      <c r="H993" s="20">
        <v>0.06</v>
      </c>
      <c r="I993" s="20">
        <v>0.06</v>
      </c>
      <c r="J993" s="20">
        <v>0.06</v>
      </c>
      <c r="K993" s="20">
        <v>0.06</v>
      </c>
      <c r="L993" s="20" t="s">
        <v>529</v>
      </c>
      <c r="M993" s="20">
        <v>2.0000000000007956E-2</v>
      </c>
      <c r="N993" s="20">
        <v>2.0000000000007956E-2</v>
      </c>
      <c r="O993" s="20">
        <v>4.000000000000796E-2</v>
      </c>
      <c r="P993" s="20">
        <v>6.0000000000007964E-2</v>
      </c>
      <c r="Q993" s="20">
        <v>9.0000000000007963E-2</v>
      </c>
      <c r="R993" s="20">
        <v>9.0000000000007963E-2</v>
      </c>
      <c r="S993" s="20">
        <v>-0.45999999999999885</v>
      </c>
      <c r="T993" s="50">
        <v>-2.4799999999999898</v>
      </c>
      <c r="U993" s="4"/>
      <c r="V993" s="4"/>
      <c r="Z993" s="511"/>
    </row>
    <row r="994" spans="2:26" s="578" customFormat="1" ht="21.95" customHeight="1" x14ac:dyDescent="0.2">
      <c r="B994" s="491">
        <v>5.99</v>
      </c>
      <c r="C994" s="20">
        <v>0.05</v>
      </c>
      <c r="D994" s="20">
        <v>0.05</v>
      </c>
      <c r="E994" s="20">
        <v>0.05</v>
      </c>
      <c r="F994" s="20">
        <v>0.05</v>
      </c>
      <c r="G994" s="20">
        <v>0.06</v>
      </c>
      <c r="H994" s="20">
        <v>0.06</v>
      </c>
      <c r="I994" s="20">
        <v>0.06</v>
      </c>
      <c r="J994" s="20">
        <v>0.06</v>
      </c>
      <c r="K994" s="20">
        <v>0.06</v>
      </c>
      <c r="L994" s="20" t="s">
        <v>529</v>
      </c>
      <c r="M994" s="20">
        <v>2.0000000000007956E-2</v>
      </c>
      <c r="N994" s="20">
        <v>2.0000000000007956E-2</v>
      </c>
      <c r="O994" s="20">
        <v>4.000000000000796E-2</v>
      </c>
      <c r="P994" s="20">
        <v>6.0000000000007964E-2</v>
      </c>
      <c r="Q994" s="20">
        <v>9.0000000000007963E-2</v>
      </c>
      <c r="R994" s="20">
        <v>9.0000000000007963E-2</v>
      </c>
      <c r="S994" s="20">
        <v>-0.45999999999999885</v>
      </c>
      <c r="T994" s="50">
        <v>-2.4799999999999898</v>
      </c>
      <c r="U994" s="4"/>
      <c r="V994" s="4"/>
      <c r="Z994" s="511"/>
    </row>
    <row r="995" spans="2:26" s="578" customFormat="1" ht="21.95" customHeight="1" x14ac:dyDescent="0.2">
      <c r="B995" s="491">
        <v>6.125</v>
      </c>
      <c r="C995" s="20">
        <v>0.05</v>
      </c>
      <c r="D995" s="20">
        <v>0.05</v>
      </c>
      <c r="E995" s="20">
        <v>0.05</v>
      </c>
      <c r="F995" s="20">
        <v>0.05</v>
      </c>
      <c r="G995" s="20">
        <v>0.06</v>
      </c>
      <c r="H995" s="20">
        <v>0.06</v>
      </c>
      <c r="I995" s="20">
        <v>0.06</v>
      </c>
      <c r="J995" s="20">
        <v>0.06</v>
      </c>
      <c r="K995" s="20">
        <v>0.06</v>
      </c>
      <c r="L995" s="20" t="s">
        <v>529</v>
      </c>
      <c r="M995" s="20">
        <v>2.0000000000007956E-2</v>
      </c>
      <c r="N995" s="20">
        <v>2.0000000000007956E-2</v>
      </c>
      <c r="O995" s="20">
        <v>4.000000000000796E-2</v>
      </c>
      <c r="P995" s="20">
        <v>6.0000000000007964E-2</v>
      </c>
      <c r="Q995" s="20">
        <v>9.0000000000007963E-2</v>
      </c>
      <c r="R995" s="20">
        <v>9.0000000000007963E-2</v>
      </c>
      <c r="S995" s="20">
        <v>-0.45999999999999885</v>
      </c>
      <c r="T995" s="50">
        <v>-2.480000000000004</v>
      </c>
      <c r="U995" s="4"/>
      <c r="V995" s="4"/>
      <c r="Z995" s="511"/>
    </row>
    <row r="996" spans="2:26" s="578" customFormat="1" ht="21.95" customHeight="1" x14ac:dyDescent="0.2">
      <c r="B996" s="491">
        <v>6.25</v>
      </c>
      <c r="C996" s="20">
        <v>0.05</v>
      </c>
      <c r="D996" s="20">
        <v>0.05</v>
      </c>
      <c r="E996" s="20">
        <v>0.05</v>
      </c>
      <c r="F996" s="20">
        <v>0.05</v>
      </c>
      <c r="G996" s="20">
        <v>0.06</v>
      </c>
      <c r="H996" s="20">
        <v>0.06</v>
      </c>
      <c r="I996" s="20">
        <v>0.06</v>
      </c>
      <c r="J996" s="20">
        <v>0.06</v>
      </c>
      <c r="K996" s="20">
        <v>0.06</v>
      </c>
      <c r="L996" s="20" t="s">
        <v>529</v>
      </c>
      <c r="M996" s="20">
        <v>1.9999999999993745E-2</v>
      </c>
      <c r="N996" s="20">
        <v>1.9999999999993745E-2</v>
      </c>
      <c r="O996" s="20">
        <v>3.9999999999993749E-2</v>
      </c>
      <c r="P996" s="20">
        <v>5.9999999999993753E-2</v>
      </c>
      <c r="Q996" s="20">
        <v>8.9999999999993752E-2</v>
      </c>
      <c r="R996" s="20">
        <v>8.9999999999993752E-2</v>
      </c>
      <c r="S996" s="20">
        <v>-0.45999999999999885</v>
      </c>
      <c r="T996" s="50">
        <v>-2.480000000000004</v>
      </c>
      <c r="U996" s="4"/>
      <c r="V996" s="4"/>
      <c r="Z996" s="511"/>
    </row>
    <row r="997" spans="2:26" s="578" customFormat="1" ht="21.95" customHeight="1" x14ac:dyDescent="0.2">
      <c r="B997" s="491">
        <v>6.375</v>
      </c>
      <c r="C997" s="20">
        <v>0.05</v>
      </c>
      <c r="D997" s="20">
        <v>0.05</v>
      </c>
      <c r="E997" s="20">
        <v>0.05</v>
      </c>
      <c r="F997" s="20">
        <v>0.05</v>
      </c>
      <c r="G997" s="20">
        <v>0.06</v>
      </c>
      <c r="H997" s="20">
        <v>0.06</v>
      </c>
      <c r="I997" s="20">
        <v>0.06</v>
      </c>
      <c r="J997" s="20">
        <v>0.06</v>
      </c>
      <c r="K997" s="20">
        <v>0.06</v>
      </c>
      <c r="L997" s="20" t="s">
        <v>529</v>
      </c>
      <c r="M997" s="20">
        <v>2.0000000000007956E-2</v>
      </c>
      <c r="N997" s="20">
        <v>2.0000000000007956E-2</v>
      </c>
      <c r="O997" s="20">
        <v>4.000000000000796E-2</v>
      </c>
      <c r="P997" s="20">
        <v>6.0000000000007964E-2</v>
      </c>
      <c r="Q997" s="20">
        <v>9.0000000000007963E-2</v>
      </c>
      <c r="R997" s="20">
        <v>9.0000000000007963E-2</v>
      </c>
      <c r="S997" s="20">
        <v>-0.45999999999999885</v>
      </c>
      <c r="T997" s="50">
        <v>-2.4799999999999898</v>
      </c>
      <c r="U997" s="4"/>
      <c r="V997" s="4"/>
      <c r="Z997" s="511"/>
    </row>
    <row r="998" spans="2:26" s="578" customFormat="1" ht="21.95" customHeight="1" x14ac:dyDescent="0.2">
      <c r="B998" s="491">
        <v>6.5</v>
      </c>
      <c r="C998" s="20">
        <v>0.05</v>
      </c>
      <c r="D998" s="20">
        <v>0.05</v>
      </c>
      <c r="E998" s="20">
        <v>0.05</v>
      </c>
      <c r="F998" s="20">
        <v>0.05</v>
      </c>
      <c r="G998" s="20">
        <v>0.06</v>
      </c>
      <c r="H998" s="20">
        <v>0.06</v>
      </c>
      <c r="I998" s="20">
        <v>0.06</v>
      </c>
      <c r="J998" s="20">
        <v>0.06</v>
      </c>
      <c r="K998" s="20">
        <v>0.06</v>
      </c>
      <c r="L998" s="20" t="s">
        <v>529</v>
      </c>
      <c r="M998" s="20">
        <v>2.0000000000007956E-2</v>
      </c>
      <c r="N998" s="20">
        <v>2.0000000000007956E-2</v>
      </c>
      <c r="O998" s="20">
        <v>4.000000000000796E-2</v>
      </c>
      <c r="P998" s="20">
        <v>6.0000000000007964E-2</v>
      </c>
      <c r="Q998" s="20">
        <v>9.0000000000007963E-2</v>
      </c>
      <c r="R998" s="20">
        <v>9.0000000000007963E-2</v>
      </c>
      <c r="S998" s="20">
        <v>-0.45999999999999885</v>
      </c>
      <c r="T998" s="50">
        <v>-2.4799999999999898</v>
      </c>
      <c r="U998" s="4"/>
      <c r="V998" s="4"/>
      <c r="Z998" s="511"/>
    </row>
    <row r="999" spans="2:26" s="578" customFormat="1" ht="21.95" customHeight="1" x14ac:dyDescent="0.2">
      <c r="B999" s="491">
        <v>6.625</v>
      </c>
      <c r="C999" s="20">
        <v>0.05</v>
      </c>
      <c r="D999" s="20">
        <v>0.05</v>
      </c>
      <c r="E999" s="20">
        <v>0.05</v>
      </c>
      <c r="F999" s="20">
        <v>0.05</v>
      </c>
      <c r="G999" s="20">
        <v>0.06</v>
      </c>
      <c r="H999" s="20">
        <v>0.06</v>
      </c>
      <c r="I999" s="20">
        <v>0.06</v>
      </c>
      <c r="J999" s="20">
        <v>0.06</v>
      </c>
      <c r="K999" s="20">
        <v>0.06</v>
      </c>
      <c r="L999" s="20" t="s">
        <v>529</v>
      </c>
      <c r="M999" s="20">
        <v>1.9999999999993745E-2</v>
      </c>
      <c r="N999" s="20">
        <v>1.9999999999993745E-2</v>
      </c>
      <c r="O999" s="20">
        <v>3.9999999999993749E-2</v>
      </c>
      <c r="P999" s="20">
        <v>5.9999999999993753E-2</v>
      </c>
      <c r="Q999" s="20">
        <v>8.9999999999993752E-2</v>
      </c>
      <c r="R999" s="20">
        <v>8.9999999999993752E-2</v>
      </c>
      <c r="S999" s="20">
        <v>-0.45999999999999885</v>
      </c>
      <c r="T999" s="50">
        <v>-2.480000000000004</v>
      </c>
      <c r="U999" s="4"/>
      <c r="V999" s="4"/>
      <c r="Z999" s="511"/>
    </row>
    <row r="1000" spans="2:26" s="578" customFormat="1" ht="21.95" customHeight="1" x14ac:dyDescent="0.2">
      <c r="B1000" s="491">
        <v>6.75</v>
      </c>
      <c r="C1000" s="20">
        <v>0.05</v>
      </c>
      <c r="D1000" s="20">
        <v>0.05</v>
      </c>
      <c r="E1000" s="20">
        <v>0.05</v>
      </c>
      <c r="F1000" s="20">
        <v>0.05</v>
      </c>
      <c r="G1000" s="20">
        <v>0.06</v>
      </c>
      <c r="H1000" s="20">
        <v>0.06</v>
      </c>
      <c r="I1000" s="20">
        <v>0.06</v>
      </c>
      <c r="J1000" s="20">
        <v>0.06</v>
      </c>
      <c r="K1000" s="20">
        <v>0.06</v>
      </c>
      <c r="L1000" s="20" t="s">
        <v>529</v>
      </c>
      <c r="M1000" s="20">
        <v>1.9999999999993745E-2</v>
      </c>
      <c r="N1000" s="20">
        <v>1.9999999999993745E-2</v>
      </c>
      <c r="O1000" s="20">
        <v>3.9999999999993749E-2</v>
      </c>
      <c r="P1000" s="20">
        <v>5.9999999999993753E-2</v>
      </c>
      <c r="Q1000" s="20">
        <v>8.9999999999993752E-2</v>
      </c>
      <c r="R1000" s="20">
        <v>8.9999999999993752E-2</v>
      </c>
      <c r="S1000" s="20">
        <v>-0.45999999999999885</v>
      </c>
      <c r="T1000" s="50">
        <v>-2.480000000000004</v>
      </c>
      <c r="U1000" s="4"/>
      <c r="V1000" s="4"/>
      <c r="Z1000" s="511"/>
    </row>
    <row r="1001" spans="2:26" s="578" customFormat="1" ht="21.95" customHeight="1" x14ac:dyDescent="0.2">
      <c r="B1001" s="491">
        <v>6.875</v>
      </c>
      <c r="C1001" s="20">
        <v>0.05</v>
      </c>
      <c r="D1001" s="20">
        <v>0.05</v>
      </c>
      <c r="E1001" s="20">
        <v>0.05</v>
      </c>
      <c r="F1001" s="20">
        <v>0.05</v>
      </c>
      <c r="G1001" s="20">
        <v>0.06</v>
      </c>
      <c r="H1001" s="20">
        <v>0.06</v>
      </c>
      <c r="I1001" s="20">
        <v>0.06</v>
      </c>
      <c r="J1001" s="20">
        <v>0.06</v>
      </c>
      <c r="K1001" s="20">
        <v>0.06</v>
      </c>
      <c r="L1001" s="20" t="s">
        <v>529</v>
      </c>
      <c r="M1001" s="20" t="s">
        <v>529</v>
      </c>
      <c r="N1001" s="20" t="s">
        <v>529</v>
      </c>
      <c r="O1001" s="20" t="s">
        <v>529</v>
      </c>
      <c r="P1001" s="20" t="s">
        <v>529</v>
      </c>
      <c r="Q1001" s="20" t="s">
        <v>529</v>
      </c>
      <c r="R1001" s="20" t="s">
        <v>529</v>
      </c>
      <c r="S1001" s="20">
        <v>-0.4100000000000017</v>
      </c>
      <c r="T1001" s="50">
        <v>-2.4299999999999926</v>
      </c>
      <c r="U1001" s="4"/>
      <c r="V1001" s="4"/>
      <c r="Z1001" s="511"/>
    </row>
    <row r="1002" spans="2:26" s="578" customFormat="1" ht="21.95" customHeight="1" x14ac:dyDescent="0.2">
      <c r="B1002" s="491">
        <v>7</v>
      </c>
      <c r="C1002" s="20">
        <v>0.05</v>
      </c>
      <c r="D1002" s="20">
        <v>0.05</v>
      </c>
      <c r="E1002" s="20">
        <v>0.05</v>
      </c>
      <c r="F1002" s="20">
        <v>0.05</v>
      </c>
      <c r="G1002" s="20">
        <v>0.06</v>
      </c>
      <c r="H1002" s="20">
        <v>0.06</v>
      </c>
      <c r="I1002" s="20">
        <v>0.06</v>
      </c>
      <c r="J1002" s="20">
        <v>0.06</v>
      </c>
      <c r="K1002" s="20">
        <v>0.06</v>
      </c>
      <c r="L1002" s="20" t="s">
        <v>529</v>
      </c>
      <c r="M1002" s="20" t="s">
        <v>529</v>
      </c>
      <c r="N1002" s="20" t="s">
        <v>529</v>
      </c>
      <c r="O1002" s="20" t="s">
        <v>529</v>
      </c>
      <c r="P1002" s="20" t="s">
        <v>529</v>
      </c>
      <c r="Q1002" s="20" t="s">
        <v>529</v>
      </c>
      <c r="R1002" s="20" t="s">
        <v>529</v>
      </c>
      <c r="S1002" s="20">
        <v>-0.38000000000000056</v>
      </c>
      <c r="T1002" s="50">
        <v>-2.4000000000000057</v>
      </c>
      <c r="U1002" s="4"/>
      <c r="V1002" s="4"/>
      <c r="Z1002" s="511"/>
    </row>
    <row r="1003" spans="2:26" s="578" customFormat="1" ht="21.95" customHeight="1" thickBot="1" x14ac:dyDescent="0.25">
      <c r="B1003" s="494">
        <v>7.125</v>
      </c>
      <c r="C1003" s="38">
        <v>0.05</v>
      </c>
      <c r="D1003" s="38">
        <v>0.05</v>
      </c>
      <c r="E1003" s="38">
        <v>0.05</v>
      </c>
      <c r="F1003" s="38">
        <v>0.05</v>
      </c>
      <c r="G1003" s="38">
        <v>0.06</v>
      </c>
      <c r="H1003" s="38">
        <v>0.06</v>
      </c>
      <c r="I1003" s="38">
        <v>0.06</v>
      </c>
      <c r="J1003" s="38">
        <v>0.06</v>
      </c>
      <c r="K1003" s="38">
        <v>0.06</v>
      </c>
      <c r="L1003" s="38" t="s">
        <v>529</v>
      </c>
      <c r="M1003" s="38">
        <v>2.0000000000007956E-2</v>
      </c>
      <c r="N1003" s="38">
        <v>2.0000000000007956E-2</v>
      </c>
      <c r="O1003" s="38">
        <v>4.000000000000796E-2</v>
      </c>
      <c r="P1003" s="38">
        <v>6.0000000000007964E-2</v>
      </c>
      <c r="Q1003" s="38">
        <v>9.0000000000007963E-2</v>
      </c>
      <c r="R1003" s="38">
        <v>9.0000000000007963E-2</v>
      </c>
      <c r="S1003" s="38">
        <v>-0.45999999999999885</v>
      </c>
      <c r="T1003" s="358">
        <v>-2.480000000000004</v>
      </c>
      <c r="U1003" s="4"/>
      <c r="V1003" s="4"/>
      <c r="Z1003" s="511"/>
    </row>
    <row r="1004" spans="2:26" ht="21.95" customHeight="1" thickBot="1" x14ac:dyDescent="0.25">
      <c r="B1004" s="506"/>
      <c r="C1004" s="507"/>
      <c r="D1004" s="507"/>
      <c r="E1004" s="507"/>
      <c r="F1004" s="507"/>
      <c r="G1004" s="507"/>
      <c r="H1004" s="507"/>
      <c r="I1004" s="507"/>
      <c r="J1004" s="507"/>
      <c r="K1004" s="507"/>
      <c r="L1004" s="507"/>
      <c r="M1004" s="507"/>
      <c r="N1004" s="507"/>
      <c r="O1004" s="507"/>
      <c r="P1004" s="507"/>
      <c r="Q1004" s="507"/>
      <c r="R1004" s="507"/>
      <c r="S1004" s="507"/>
      <c r="T1004" s="507"/>
      <c r="U1004" s="507"/>
      <c r="V1004" s="507"/>
      <c r="W1004" s="507"/>
      <c r="X1004" s="507"/>
      <c r="Y1004" s="507"/>
      <c r="Z1004" s="508"/>
    </row>
    <row r="1005" spans="2:26" ht="21.95" customHeight="1" thickBot="1" x14ac:dyDescent="0.25">
      <c r="B1005" s="866" t="s">
        <v>417</v>
      </c>
      <c r="C1005" s="867"/>
      <c r="D1005" s="867"/>
      <c r="E1005" s="867"/>
      <c r="F1005" s="867"/>
      <c r="G1005" s="867"/>
      <c r="H1005" s="867"/>
      <c r="I1005" s="867"/>
      <c r="J1005" s="867"/>
      <c r="K1005" s="867"/>
      <c r="L1005" s="867"/>
      <c r="M1005" s="867"/>
      <c r="N1005" s="867"/>
      <c r="O1005" s="867"/>
      <c r="P1005" s="867"/>
      <c r="Q1005" s="867"/>
      <c r="R1005" s="867"/>
      <c r="S1005" s="867"/>
      <c r="T1005" s="867"/>
      <c r="U1005" s="867"/>
      <c r="V1005" s="867"/>
      <c r="W1005" s="867"/>
      <c r="X1005" s="867"/>
      <c r="Y1005" s="867"/>
      <c r="Z1005" s="868"/>
    </row>
    <row r="1006" spans="2:26" s="578" customFormat="1" ht="21.95" customHeight="1" x14ac:dyDescent="0.2">
      <c r="B1006" s="521"/>
      <c r="C1006" s="499"/>
      <c r="D1006" s="499"/>
      <c r="E1006" s="499"/>
      <c r="F1006" s="499"/>
      <c r="G1006" s="499"/>
      <c r="H1006" s="499"/>
      <c r="I1006" s="499"/>
      <c r="J1006" s="499"/>
      <c r="K1006" s="499"/>
      <c r="L1006" s="499"/>
      <c r="M1006" s="499"/>
      <c r="N1006" s="499"/>
      <c r="T1006" s="636"/>
      <c r="Z1006" s="511"/>
    </row>
    <row r="1007" spans="2:26" s="578" customFormat="1" ht="21.95" customHeight="1" x14ac:dyDescent="0.2">
      <c r="B1007" s="953" t="s">
        <v>37</v>
      </c>
      <c r="C1007" s="954"/>
      <c r="D1007" s="954"/>
      <c r="E1007" s="954"/>
      <c r="F1007" s="954"/>
      <c r="G1007" s="954"/>
      <c r="H1007" s="954"/>
      <c r="I1007" s="954"/>
      <c r="J1007" s="954"/>
      <c r="K1007" s="954"/>
      <c r="L1007" s="954"/>
      <c r="M1007" s="954"/>
      <c r="N1007" s="954"/>
      <c r="O1007" s="954"/>
      <c r="P1007" s="954"/>
      <c r="Q1007" s="954"/>
      <c r="R1007" s="954"/>
      <c r="S1007" s="954"/>
      <c r="T1007" s="955"/>
      <c r="Z1007" s="511"/>
    </row>
    <row r="1008" spans="2:26" s="578" customFormat="1" ht="37.5" customHeight="1" x14ac:dyDescent="0.2">
      <c r="B1008" s="490" t="s">
        <v>233</v>
      </c>
      <c r="C1008" s="497" t="s">
        <v>519</v>
      </c>
      <c r="D1008" s="497" t="s">
        <v>520</v>
      </c>
      <c r="E1008" s="497" t="s">
        <v>521</v>
      </c>
      <c r="F1008" s="497" t="s">
        <v>522</v>
      </c>
      <c r="G1008" s="497" t="s">
        <v>523</v>
      </c>
      <c r="H1008" s="497" t="s">
        <v>524</v>
      </c>
      <c r="I1008" s="497" t="s">
        <v>525</v>
      </c>
      <c r="J1008" s="497" t="s">
        <v>526</v>
      </c>
      <c r="K1008" s="497" t="s">
        <v>478</v>
      </c>
      <c r="L1008" s="497" t="s">
        <v>479</v>
      </c>
      <c r="M1008" s="497" t="s">
        <v>418</v>
      </c>
      <c r="N1008" s="497" t="s">
        <v>419</v>
      </c>
      <c r="O1008" s="497" t="s">
        <v>420</v>
      </c>
      <c r="P1008" s="497" t="s">
        <v>421</v>
      </c>
      <c r="Q1008" s="497" t="s">
        <v>422</v>
      </c>
      <c r="R1008" s="497" t="s">
        <v>423</v>
      </c>
      <c r="S1008" s="497" t="s">
        <v>424</v>
      </c>
      <c r="T1008" s="498" t="s">
        <v>425</v>
      </c>
      <c r="U1008" s="4"/>
      <c r="V1008" s="4"/>
      <c r="Z1008" s="511"/>
    </row>
    <row r="1009" spans="2:26" s="578" customFormat="1" ht="21.95" customHeight="1" x14ac:dyDescent="0.2">
      <c r="B1009" s="26">
        <v>4.75</v>
      </c>
      <c r="C1009" s="20">
        <v>0</v>
      </c>
      <c r="D1009" s="20">
        <v>0</v>
      </c>
      <c r="E1009" s="20">
        <v>0</v>
      </c>
      <c r="F1009" s="20">
        <v>0</v>
      </c>
      <c r="G1009" s="20">
        <v>0</v>
      </c>
      <c r="H1009" s="20">
        <v>0</v>
      </c>
      <c r="I1009" s="20">
        <v>0</v>
      </c>
      <c r="J1009" s="20">
        <v>0</v>
      </c>
      <c r="K1009" s="20">
        <v>0</v>
      </c>
      <c r="L1009" s="20">
        <v>0</v>
      </c>
      <c r="M1009" s="20">
        <v>0</v>
      </c>
      <c r="N1009" s="20">
        <v>0</v>
      </c>
      <c r="O1009" s="20">
        <v>0</v>
      </c>
      <c r="P1009" s="20">
        <v>0</v>
      </c>
      <c r="Q1009" s="20">
        <v>0</v>
      </c>
      <c r="R1009" s="20">
        <v>0</v>
      </c>
      <c r="S1009" s="20">
        <v>0</v>
      </c>
      <c r="T1009" s="50">
        <v>0</v>
      </c>
      <c r="U1009" s="4"/>
      <c r="V1009" s="4"/>
      <c r="Z1009" s="511"/>
    </row>
    <row r="1010" spans="2:26" s="578" customFormat="1" ht="21.95" customHeight="1" x14ac:dyDescent="0.2">
      <c r="B1010" s="26">
        <v>4.875</v>
      </c>
      <c r="C1010" s="20">
        <v>0</v>
      </c>
      <c r="D1010" s="20">
        <v>0</v>
      </c>
      <c r="E1010" s="20">
        <v>0</v>
      </c>
      <c r="F1010" s="20">
        <v>0</v>
      </c>
      <c r="G1010" s="20">
        <v>0</v>
      </c>
      <c r="H1010" s="20">
        <v>0</v>
      </c>
      <c r="I1010" s="20">
        <v>0</v>
      </c>
      <c r="J1010" s="20">
        <v>0</v>
      </c>
      <c r="K1010" s="20">
        <v>0</v>
      </c>
      <c r="L1010" s="20">
        <v>0</v>
      </c>
      <c r="M1010" s="20">
        <v>0</v>
      </c>
      <c r="N1010" s="20">
        <v>0</v>
      </c>
      <c r="O1010" s="20">
        <v>0</v>
      </c>
      <c r="P1010" s="20">
        <v>0</v>
      </c>
      <c r="Q1010" s="20">
        <v>0</v>
      </c>
      <c r="R1010" s="20">
        <v>0</v>
      </c>
      <c r="S1010" s="20">
        <v>0</v>
      </c>
      <c r="T1010" s="50">
        <v>0</v>
      </c>
      <c r="U1010" s="4"/>
      <c r="V1010" s="4"/>
      <c r="Z1010" s="511"/>
    </row>
    <row r="1011" spans="2:26" s="578" customFormat="1" ht="21.95" customHeight="1" x14ac:dyDescent="0.2">
      <c r="B1011" s="26">
        <v>5</v>
      </c>
      <c r="C1011" s="20">
        <v>0</v>
      </c>
      <c r="D1011" s="20">
        <v>0</v>
      </c>
      <c r="E1011" s="20">
        <v>0</v>
      </c>
      <c r="F1011" s="20">
        <v>0</v>
      </c>
      <c r="G1011" s="20">
        <v>0</v>
      </c>
      <c r="H1011" s="20">
        <v>0</v>
      </c>
      <c r="I1011" s="20">
        <v>0</v>
      </c>
      <c r="J1011" s="20">
        <v>0</v>
      </c>
      <c r="K1011" s="20">
        <v>0</v>
      </c>
      <c r="L1011" s="20">
        <v>0</v>
      </c>
      <c r="M1011" s="20">
        <v>0</v>
      </c>
      <c r="N1011" s="20">
        <v>0</v>
      </c>
      <c r="O1011" s="20">
        <v>0</v>
      </c>
      <c r="P1011" s="20">
        <v>0</v>
      </c>
      <c r="Q1011" s="20">
        <v>0</v>
      </c>
      <c r="R1011" s="20">
        <v>0</v>
      </c>
      <c r="S1011" s="20">
        <v>0</v>
      </c>
      <c r="T1011" s="50">
        <v>0</v>
      </c>
      <c r="U1011" s="4"/>
      <c r="V1011" s="4"/>
      <c r="Z1011" s="511"/>
    </row>
    <row r="1012" spans="2:26" s="578" customFormat="1" ht="21.95" customHeight="1" x14ac:dyDescent="0.2">
      <c r="B1012" s="26">
        <v>5.125</v>
      </c>
      <c r="C1012" s="20">
        <v>0</v>
      </c>
      <c r="D1012" s="20">
        <v>0</v>
      </c>
      <c r="E1012" s="20">
        <v>0</v>
      </c>
      <c r="F1012" s="20">
        <v>0</v>
      </c>
      <c r="G1012" s="20">
        <v>0</v>
      </c>
      <c r="H1012" s="20">
        <v>0</v>
      </c>
      <c r="I1012" s="20">
        <v>0</v>
      </c>
      <c r="J1012" s="20">
        <v>0</v>
      </c>
      <c r="K1012" s="20">
        <v>0</v>
      </c>
      <c r="L1012" s="20">
        <v>0</v>
      </c>
      <c r="M1012" s="20">
        <v>0</v>
      </c>
      <c r="N1012" s="20">
        <v>0</v>
      </c>
      <c r="O1012" s="20">
        <v>0</v>
      </c>
      <c r="P1012" s="20">
        <v>0</v>
      </c>
      <c r="Q1012" s="20">
        <v>0</v>
      </c>
      <c r="R1012" s="20">
        <v>0</v>
      </c>
      <c r="S1012" s="20">
        <v>0</v>
      </c>
      <c r="T1012" s="50">
        <v>0</v>
      </c>
      <c r="U1012" s="4"/>
      <c r="V1012" s="4"/>
      <c r="Z1012" s="511"/>
    </row>
    <row r="1013" spans="2:26" s="578" customFormat="1" ht="21.95" customHeight="1" x14ac:dyDescent="0.2">
      <c r="B1013" s="26">
        <v>5.25</v>
      </c>
      <c r="C1013" s="20">
        <v>0</v>
      </c>
      <c r="D1013" s="20">
        <v>0</v>
      </c>
      <c r="E1013" s="20">
        <v>0</v>
      </c>
      <c r="F1013" s="20">
        <v>0</v>
      </c>
      <c r="G1013" s="20">
        <v>0</v>
      </c>
      <c r="H1013" s="20">
        <v>0</v>
      </c>
      <c r="I1013" s="20">
        <v>0</v>
      </c>
      <c r="J1013" s="20">
        <v>0</v>
      </c>
      <c r="K1013" s="20">
        <v>0</v>
      </c>
      <c r="L1013" s="20">
        <v>0</v>
      </c>
      <c r="M1013" s="20">
        <v>0</v>
      </c>
      <c r="N1013" s="20">
        <v>0</v>
      </c>
      <c r="O1013" s="20">
        <v>0</v>
      </c>
      <c r="P1013" s="20">
        <v>0</v>
      </c>
      <c r="Q1013" s="20">
        <v>0</v>
      </c>
      <c r="R1013" s="20">
        <v>0</v>
      </c>
      <c r="S1013" s="20">
        <v>0</v>
      </c>
      <c r="T1013" s="50">
        <v>0</v>
      </c>
      <c r="U1013" s="4"/>
      <c r="V1013" s="4"/>
      <c r="Z1013" s="511"/>
    </row>
    <row r="1014" spans="2:26" s="578" customFormat="1" ht="21.95" customHeight="1" x14ac:dyDescent="0.2">
      <c r="B1014" s="26">
        <v>5.375</v>
      </c>
      <c r="C1014" s="20">
        <v>0</v>
      </c>
      <c r="D1014" s="20">
        <v>0</v>
      </c>
      <c r="E1014" s="20">
        <v>0</v>
      </c>
      <c r="F1014" s="20">
        <v>0</v>
      </c>
      <c r="G1014" s="20">
        <v>0</v>
      </c>
      <c r="H1014" s="20">
        <v>0</v>
      </c>
      <c r="I1014" s="20">
        <v>0</v>
      </c>
      <c r="J1014" s="20">
        <v>0</v>
      </c>
      <c r="K1014" s="20">
        <v>0</v>
      </c>
      <c r="L1014" s="20">
        <v>0</v>
      </c>
      <c r="M1014" s="20">
        <v>0</v>
      </c>
      <c r="N1014" s="20">
        <v>0</v>
      </c>
      <c r="O1014" s="20">
        <v>0</v>
      </c>
      <c r="P1014" s="20">
        <v>0</v>
      </c>
      <c r="Q1014" s="20">
        <v>0</v>
      </c>
      <c r="R1014" s="20">
        <v>0</v>
      </c>
      <c r="S1014" s="20">
        <v>0</v>
      </c>
      <c r="T1014" s="50">
        <v>0</v>
      </c>
      <c r="U1014" s="4"/>
      <c r="V1014" s="4"/>
      <c r="Z1014" s="511"/>
    </row>
    <row r="1015" spans="2:26" s="578" customFormat="1" ht="21.95" customHeight="1" x14ac:dyDescent="0.2">
      <c r="B1015" s="26">
        <v>5.5</v>
      </c>
      <c r="C1015" s="20">
        <v>0</v>
      </c>
      <c r="D1015" s="20">
        <v>0</v>
      </c>
      <c r="E1015" s="20">
        <v>0</v>
      </c>
      <c r="F1015" s="20">
        <v>0</v>
      </c>
      <c r="G1015" s="20">
        <v>0</v>
      </c>
      <c r="H1015" s="20">
        <v>0</v>
      </c>
      <c r="I1015" s="20">
        <v>0</v>
      </c>
      <c r="J1015" s="20">
        <v>0</v>
      </c>
      <c r="K1015" s="20">
        <v>0</v>
      </c>
      <c r="L1015" s="20">
        <v>0</v>
      </c>
      <c r="M1015" s="20">
        <v>0</v>
      </c>
      <c r="N1015" s="20">
        <v>0</v>
      </c>
      <c r="O1015" s="20">
        <v>0</v>
      </c>
      <c r="P1015" s="20">
        <v>0</v>
      </c>
      <c r="Q1015" s="20">
        <v>0</v>
      </c>
      <c r="R1015" s="20">
        <v>0</v>
      </c>
      <c r="S1015" s="20">
        <v>0</v>
      </c>
      <c r="T1015" s="50">
        <v>0</v>
      </c>
      <c r="U1015" s="4"/>
      <c r="V1015" s="4"/>
      <c r="Z1015" s="511"/>
    </row>
    <row r="1016" spans="2:26" s="578" customFormat="1" ht="21.95" customHeight="1" x14ac:dyDescent="0.2">
      <c r="B1016" s="26">
        <v>5.625</v>
      </c>
      <c r="C1016" s="20">
        <v>0</v>
      </c>
      <c r="D1016" s="20">
        <v>0</v>
      </c>
      <c r="E1016" s="20">
        <v>0</v>
      </c>
      <c r="F1016" s="20">
        <v>0</v>
      </c>
      <c r="G1016" s="20">
        <v>0</v>
      </c>
      <c r="H1016" s="20">
        <v>0</v>
      </c>
      <c r="I1016" s="20">
        <v>0</v>
      </c>
      <c r="J1016" s="20">
        <v>0</v>
      </c>
      <c r="K1016" s="20">
        <v>0</v>
      </c>
      <c r="L1016" s="20">
        <v>0</v>
      </c>
      <c r="M1016" s="20">
        <v>0</v>
      </c>
      <c r="N1016" s="20">
        <v>0</v>
      </c>
      <c r="O1016" s="20">
        <v>0</v>
      </c>
      <c r="P1016" s="20">
        <v>0</v>
      </c>
      <c r="Q1016" s="20">
        <v>0</v>
      </c>
      <c r="R1016" s="20">
        <v>0</v>
      </c>
      <c r="S1016" s="20">
        <v>0</v>
      </c>
      <c r="T1016" s="50">
        <v>0</v>
      </c>
      <c r="U1016" s="4"/>
      <c r="V1016" s="4"/>
      <c r="Z1016" s="511"/>
    </row>
    <row r="1017" spans="2:26" s="578" customFormat="1" ht="21.95" customHeight="1" x14ac:dyDescent="0.2">
      <c r="B1017" s="26">
        <v>5.75</v>
      </c>
      <c r="C1017" s="20">
        <v>0</v>
      </c>
      <c r="D1017" s="20">
        <v>0</v>
      </c>
      <c r="E1017" s="20">
        <v>0</v>
      </c>
      <c r="F1017" s="20">
        <v>0</v>
      </c>
      <c r="G1017" s="20">
        <v>0</v>
      </c>
      <c r="H1017" s="20">
        <v>0</v>
      </c>
      <c r="I1017" s="20">
        <v>0</v>
      </c>
      <c r="J1017" s="20">
        <v>0</v>
      </c>
      <c r="K1017" s="20">
        <v>0</v>
      </c>
      <c r="L1017" s="20">
        <v>0</v>
      </c>
      <c r="M1017" s="20">
        <v>0</v>
      </c>
      <c r="N1017" s="20">
        <v>0</v>
      </c>
      <c r="O1017" s="20">
        <v>0</v>
      </c>
      <c r="P1017" s="20">
        <v>0</v>
      </c>
      <c r="Q1017" s="20">
        <v>0</v>
      </c>
      <c r="R1017" s="20">
        <v>0</v>
      </c>
      <c r="S1017" s="20">
        <v>0</v>
      </c>
      <c r="T1017" s="50">
        <v>0</v>
      </c>
      <c r="U1017" s="4"/>
      <c r="V1017" s="4"/>
      <c r="Z1017" s="511"/>
    </row>
    <row r="1018" spans="2:26" s="578" customFormat="1" ht="21.95" customHeight="1" x14ac:dyDescent="0.2">
      <c r="B1018" s="26">
        <v>5.875</v>
      </c>
      <c r="C1018" s="20">
        <v>0</v>
      </c>
      <c r="D1018" s="20">
        <v>0</v>
      </c>
      <c r="E1018" s="20">
        <v>0</v>
      </c>
      <c r="F1018" s="20">
        <v>0</v>
      </c>
      <c r="G1018" s="20">
        <v>0</v>
      </c>
      <c r="H1018" s="20">
        <v>0</v>
      </c>
      <c r="I1018" s="20">
        <v>0</v>
      </c>
      <c r="J1018" s="20">
        <v>0</v>
      </c>
      <c r="K1018" s="20">
        <v>0</v>
      </c>
      <c r="L1018" s="20">
        <v>0</v>
      </c>
      <c r="M1018" s="20">
        <v>0</v>
      </c>
      <c r="N1018" s="20">
        <v>0</v>
      </c>
      <c r="O1018" s="20">
        <v>0</v>
      </c>
      <c r="P1018" s="20">
        <v>0</v>
      </c>
      <c r="Q1018" s="20">
        <v>0</v>
      </c>
      <c r="R1018" s="20">
        <v>0</v>
      </c>
      <c r="S1018" s="20">
        <v>0</v>
      </c>
      <c r="T1018" s="50">
        <v>0</v>
      </c>
      <c r="U1018" s="4"/>
      <c r="V1018" s="4"/>
      <c r="Z1018" s="511"/>
    </row>
    <row r="1019" spans="2:26" s="578" customFormat="1" ht="21.95" customHeight="1" x14ac:dyDescent="0.2">
      <c r="B1019" s="26">
        <v>6</v>
      </c>
      <c r="C1019" s="20">
        <v>0</v>
      </c>
      <c r="D1019" s="20">
        <v>0</v>
      </c>
      <c r="E1019" s="20">
        <v>0</v>
      </c>
      <c r="F1019" s="20">
        <v>0</v>
      </c>
      <c r="G1019" s="20">
        <v>0</v>
      </c>
      <c r="H1019" s="20">
        <v>0</v>
      </c>
      <c r="I1019" s="20">
        <v>0</v>
      </c>
      <c r="J1019" s="20">
        <v>0</v>
      </c>
      <c r="K1019" s="20">
        <v>0</v>
      </c>
      <c r="L1019" s="20">
        <v>0</v>
      </c>
      <c r="M1019" s="20">
        <v>0</v>
      </c>
      <c r="N1019" s="20">
        <v>0</v>
      </c>
      <c r="O1019" s="20">
        <v>0</v>
      </c>
      <c r="P1019" s="20">
        <v>0</v>
      </c>
      <c r="Q1019" s="20">
        <v>0</v>
      </c>
      <c r="R1019" s="20">
        <v>0</v>
      </c>
      <c r="S1019" s="20">
        <v>0</v>
      </c>
      <c r="T1019" s="50">
        <v>0</v>
      </c>
      <c r="U1019" s="4"/>
      <c r="V1019" s="4"/>
      <c r="Z1019" s="511"/>
    </row>
    <row r="1020" spans="2:26" s="578" customFormat="1" ht="21.95" customHeight="1" x14ac:dyDescent="0.2">
      <c r="B1020" s="26">
        <v>6.125</v>
      </c>
      <c r="C1020" s="20">
        <v>0</v>
      </c>
      <c r="D1020" s="20">
        <v>0</v>
      </c>
      <c r="E1020" s="20">
        <v>0</v>
      </c>
      <c r="F1020" s="20">
        <v>0</v>
      </c>
      <c r="G1020" s="20">
        <v>0</v>
      </c>
      <c r="H1020" s="20">
        <v>0</v>
      </c>
      <c r="I1020" s="20">
        <v>0</v>
      </c>
      <c r="J1020" s="20">
        <v>0</v>
      </c>
      <c r="K1020" s="20">
        <v>0</v>
      </c>
      <c r="L1020" s="20">
        <v>0</v>
      </c>
      <c r="M1020" s="20">
        <v>0</v>
      </c>
      <c r="N1020" s="20">
        <v>0</v>
      </c>
      <c r="O1020" s="20">
        <v>0</v>
      </c>
      <c r="P1020" s="20">
        <v>0</v>
      </c>
      <c r="Q1020" s="20">
        <v>0</v>
      </c>
      <c r="R1020" s="20">
        <v>0</v>
      </c>
      <c r="S1020" s="20">
        <v>0</v>
      </c>
      <c r="T1020" s="50">
        <v>0</v>
      </c>
      <c r="U1020" s="4"/>
      <c r="V1020" s="4"/>
      <c r="Z1020" s="511"/>
    </row>
    <row r="1021" spans="2:26" s="578" customFormat="1" ht="21.95" customHeight="1" x14ac:dyDescent="0.2">
      <c r="B1021" s="26">
        <v>6.25</v>
      </c>
      <c r="C1021" s="20">
        <v>0</v>
      </c>
      <c r="D1021" s="20">
        <v>0</v>
      </c>
      <c r="E1021" s="20">
        <v>0</v>
      </c>
      <c r="F1021" s="20">
        <v>0</v>
      </c>
      <c r="G1021" s="20">
        <v>0</v>
      </c>
      <c r="H1021" s="20">
        <v>0</v>
      </c>
      <c r="I1021" s="20">
        <v>0</v>
      </c>
      <c r="J1021" s="20">
        <v>0</v>
      </c>
      <c r="K1021" s="20">
        <v>0</v>
      </c>
      <c r="L1021" s="20">
        <v>0</v>
      </c>
      <c r="M1021" s="20">
        <v>0</v>
      </c>
      <c r="N1021" s="20">
        <v>0</v>
      </c>
      <c r="O1021" s="20">
        <v>0</v>
      </c>
      <c r="P1021" s="20">
        <v>0</v>
      </c>
      <c r="Q1021" s="20">
        <v>0</v>
      </c>
      <c r="R1021" s="20">
        <v>0</v>
      </c>
      <c r="S1021" s="20">
        <v>0</v>
      </c>
      <c r="T1021" s="50">
        <v>0</v>
      </c>
      <c r="U1021" s="4"/>
      <c r="V1021" s="4"/>
      <c r="Z1021" s="511"/>
    </row>
    <row r="1022" spans="2:26" s="578" customFormat="1" ht="21.95" customHeight="1" x14ac:dyDescent="0.2">
      <c r="B1022" s="26">
        <v>6.375</v>
      </c>
      <c r="C1022" s="20">
        <v>0</v>
      </c>
      <c r="D1022" s="20">
        <v>0</v>
      </c>
      <c r="E1022" s="20">
        <v>0</v>
      </c>
      <c r="F1022" s="20">
        <v>0</v>
      </c>
      <c r="G1022" s="20">
        <v>0</v>
      </c>
      <c r="H1022" s="20">
        <v>0</v>
      </c>
      <c r="I1022" s="20">
        <v>0</v>
      </c>
      <c r="J1022" s="20">
        <v>0</v>
      </c>
      <c r="K1022" s="20">
        <v>0</v>
      </c>
      <c r="L1022" s="20">
        <v>0</v>
      </c>
      <c r="M1022" s="20">
        <v>0</v>
      </c>
      <c r="N1022" s="20">
        <v>0</v>
      </c>
      <c r="O1022" s="20">
        <v>0</v>
      </c>
      <c r="P1022" s="20">
        <v>0</v>
      </c>
      <c r="Q1022" s="20">
        <v>0</v>
      </c>
      <c r="R1022" s="20">
        <v>0</v>
      </c>
      <c r="S1022" s="20">
        <v>0</v>
      </c>
      <c r="T1022" s="50">
        <v>0</v>
      </c>
      <c r="U1022" s="4"/>
      <c r="V1022" s="4"/>
      <c r="Z1022" s="511"/>
    </row>
    <row r="1023" spans="2:26" s="578" customFormat="1" ht="21.95" customHeight="1" x14ac:dyDescent="0.2">
      <c r="B1023" s="26">
        <v>6.5</v>
      </c>
      <c r="C1023" s="20">
        <v>0</v>
      </c>
      <c r="D1023" s="20">
        <v>0</v>
      </c>
      <c r="E1023" s="20">
        <v>0</v>
      </c>
      <c r="F1023" s="20">
        <v>0</v>
      </c>
      <c r="G1023" s="20">
        <v>0</v>
      </c>
      <c r="H1023" s="20">
        <v>0</v>
      </c>
      <c r="I1023" s="20">
        <v>0</v>
      </c>
      <c r="J1023" s="20">
        <v>0</v>
      </c>
      <c r="K1023" s="20">
        <v>0</v>
      </c>
      <c r="L1023" s="20">
        <v>0</v>
      </c>
      <c r="M1023" s="20">
        <v>0</v>
      </c>
      <c r="N1023" s="20">
        <v>0</v>
      </c>
      <c r="O1023" s="20">
        <v>0</v>
      </c>
      <c r="P1023" s="20">
        <v>0</v>
      </c>
      <c r="Q1023" s="20">
        <v>0</v>
      </c>
      <c r="R1023" s="20">
        <v>0</v>
      </c>
      <c r="S1023" s="20">
        <v>0</v>
      </c>
      <c r="T1023" s="50">
        <v>0</v>
      </c>
      <c r="U1023" s="4"/>
      <c r="V1023" s="4"/>
      <c r="Z1023" s="511"/>
    </row>
    <row r="1024" spans="2:26" s="578" customFormat="1" ht="21.95" customHeight="1" x14ac:dyDescent="0.2">
      <c r="B1024" s="26">
        <v>6.625</v>
      </c>
      <c r="C1024" s="20">
        <v>0</v>
      </c>
      <c r="D1024" s="20">
        <v>0</v>
      </c>
      <c r="E1024" s="20">
        <v>0</v>
      </c>
      <c r="F1024" s="20">
        <v>0</v>
      </c>
      <c r="G1024" s="20">
        <v>0</v>
      </c>
      <c r="H1024" s="20">
        <v>0</v>
      </c>
      <c r="I1024" s="20">
        <v>0</v>
      </c>
      <c r="J1024" s="20">
        <v>0</v>
      </c>
      <c r="K1024" s="20">
        <v>0</v>
      </c>
      <c r="L1024" s="20">
        <v>0</v>
      </c>
      <c r="M1024" s="20">
        <v>0</v>
      </c>
      <c r="N1024" s="20">
        <v>0</v>
      </c>
      <c r="O1024" s="20">
        <v>0</v>
      </c>
      <c r="P1024" s="20">
        <v>0</v>
      </c>
      <c r="Q1024" s="20">
        <v>0</v>
      </c>
      <c r="R1024" s="20">
        <v>0</v>
      </c>
      <c r="S1024" s="20">
        <v>0</v>
      </c>
      <c r="T1024" s="50">
        <v>0</v>
      </c>
      <c r="U1024" s="4"/>
      <c r="V1024" s="4"/>
      <c r="Z1024" s="511"/>
    </row>
    <row r="1025" spans="2:26" s="578" customFormat="1" ht="21.95" customHeight="1" x14ac:dyDescent="0.2">
      <c r="B1025" s="26">
        <v>6.75</v>
      </c>
      <c r="C1025" s="20">
        <v>0</v>
      </c>
      <c r="D1025" s="20">
        <v>0</v>
      </c>
      <c r="E1025" s="20">
        <v>0</v>
      </c>
      <c r="F1025" s="20">
        <v>0</v>
      </c>
      <c r="G1025" s="20">
        <v>0</v>
      </c>
      <c r="H1025" s="20">
        <v>0</v>
      </c>
      <c r="I1025" s="20">
        <v>0</v>
      </c>
      <c r="J1025" s="20">
        <v>0</v>
      </c>
      <c r="K1025" s="20">
        <v>0</v>
      </c>
      <c r="L1025" s="20">
        <v>0</v>
      </c>
      <c r="M1025" s="20">
        <v>0</v>
      </c>
      <c r="N1025" s="20">
        <v>0</v>
      </c>
      <c r="O1025" s="20">
        <v>0</v>
      </c>
      <c r="P1025" s="20">
        <v>0</v>
      </c>
      <c r="Q1025" s="20">
        <v>0</v>
      </c>
      <c r="R1025" s="20">
        <v>0</v>
      </c>
      <c r="S1025" s="20">
        <v>0</v>
      </c>
      <c r="T1025" s="50">
        <v>0</v>
      </c>
      <c r="U1025" s="4"/>
      <c r="V1025" s="4"/>
      <c r="Z1025" s="511"/>
    </row>
    <row r="1026" spans="2:26" s="578" customFormat="1" ht="21.95" customHeight="1" x14ac:dyDescent="0.2">
      <c r="B1026" s="26"/>
      <c r="C1026" s="492"/>
      <c r="D1026" s="492"/>
      <c r="E1026" s="492"/>
      <c r="F1026" s="492"/>
      <c r="G1026" s="492"/>
      <c r="H1026" s="492"/>
      <c r="I1026" s="492"/>
      <c r="J1026" s="492"/>
      <c r="K1026" s="492"/>
      <c r="L1026" s="492"/>
      <c r="M1026" s="492"/>
      <c r="N1026" s="492"/>
      <c r="O1026" s="492"/>
      <c r="P1026" s="492"/>
      <c r="Q1026" s="492"/>
      <c r="R1026" s="492"/>
      <c r="S1026" s="492"/>
      <c r="T1026" s="495"/>
      <c r="U1026" s="499"/>
      <c r="V1026" s="499"/>
      <c r="Z1026" s="511"/>
    </row>
    <row r="1027" spans="2:26" s="578" customFormat="1" ht="21.95" customHeight="1" x14ac:dyDescent="0.2">
      <c r="B1027" s="1066" t="s">
        <v>493</v>
      </c>
      <c r="C1027" s="1014"/>
      <c r="D1027" s="1014"/>
      <c r="E1027" s="1014"/>
      <c r="F1027" s="1014"/>
      <c r="G1027" s="1014"/>
      <c r="H1027" s="1014"/>
      <c r="I1027" s="1014"/>
      <c r="J1027" s="1014"/>
      <c r="K1027" s="1014"/>
      <c r="L1027" s="1014"/>
      <c r="M1027" s="1014"/>
      <c r="N1027" s="1014"/>
      <c r="O1027" s="1014"/>
      <c r="P1027" s="1014"/>
      <c r="Q1027" s="1014"/>
      <c r="R1027" s="1014"/>
      <c r="S1027" s="1014"/>
      <c r="T1027" s="1057"/>
      <c r="Z1027" s="511"/>
    </row>
    <row r="1028" spans="2:26" s="578" customFormat="1" ht="37.5" customHeight="1" x14ac:dyDescent="0.2">
      <c r="B1028" s="496" t="s">
        <v>233</v>
      </c>
      <c r="C1028" s="497" t="s">
        <v>519</v>
      </c>
      <c r="D1028" s="497" t="s">
        <v>520</v>
      </c>
      <c r="E1028" s="497" t="s">
        <v>521</v>
      </c>
      <c r="F1028" s="497" t="s">
        <v>522</v>
      </c>
      <c r="G1028" s="497" t="s">
        <v>523</v>
      </c>
      <c r="H1028" s="497" t="s">
        <v>524</v>
      </c>
      <c r="I1028" s="497" t="s">
        <v>525</v>
      </c>
      <c r="J1028" s="497" t="s">
        <v>526</v>
      </c>
      <c r="K1028" s="497" t="s">
        <v>478</v>
      </c>
      <c r="L1028" s="497" t="s">
        <v>479</v>
      </c>
      <c r="M1028" s="497" t="s">
        <v>418</v>
      </c>
      <c r="N1028" s="497" t="s">
        <v>419</v>
      </c>
      <c r="O1028" s="497" t="s">
        <v>420</v>
      </c>
      <c r="P1028" s="497" t="s">
        <v>421</v>
      </c>
      <c r="Q1028" s="497" t="s">
        <v>422</v>
      </c>
      <c r="R1028" s="497" t="s">
        <v>423</v>
      </c>
      <c r="S1028" s="497" t="s">
        <v>424</v>
      </c>
      <c r="T1028" s="498" t="s">
        <v>425</v>
      </c>
      <c r="Z1028" s="511"/>
    </row>
    <row r="1029" spans="2:26" s="578" customFormat="1" ht="21.95" customHeight="1" x14ac:dyDescent="0.2">
      <c r="B1029" s="26">
        <v>4.75</v>
      </c>
      <c r="C1029" s="20">
        <v>0.03</v>
      </c>
      <c r="D1029" s="20">
        <v>0.03</v>
      </c>
      <c r="E1029" s="20">
        <v>0.03</v>
      </c>
      <c r="F1029" s="20">
        <v>0.03</v>
      </c>
      <c r="G1029" s="20">
        <v>-1.1700000000000097</v>
      </c>
      <c r="H1029" s="20">
        <v>-1.1700000000000097</v>
      </c>
      <c r="I1029" s="20">
        <v>-1.1900000000000057</v>
      </c>
      <c r="J1029" s="20">
        <v>-1.1900000000000057</v>
      </c>
      <c r="K1029" s="20">
        <v>-1.2200000000000097</v>
      </c>
      <c r="L1029" s="20">
        <v>-1.2200000000000097</v>
      </c>
      <c r="M1029" s="20">
        <v>-1.2800000000000096</v>
      </c>
      <c r="N1029" s="20" t="s">
        <v>529</v>
      </c>
      <c r="O1029" s="20" t="s">
        <v>529</v>
      </c>
      <c r="P1029" s="20" t="s">
        <v>529</v>
      </c>
      <c r="Q1029" s="20" t="s">
        <v>529</v>
      </c>
      <c r="R1029" s="20" t="s">
        <v>529</v>
      </c>
      <c r="S1029" s="20" t="s">
        <v>529</v>
      </c>
      <c r="T1029" s="50">
        <v>-0.88000000000000511</v>
      </c>
      <c r="Z1029" s="511"/>
    </row>
    <row r="1030" spans="2:26" s="578" customFormat="1" ht="21.95" customHeight="1" x14ac:dyDescent="0.2">
      <c r="B1030" s="26">
        <v>4.875</v>
      </c>
      <c r="C1030" s="20">
        <v>0.03</v>
      </c>
      <c r="D1030" s="20">
        <v>0.03</v>
      </c>
      <c r="E1030" s="20">
        <v>0.03</v>
      </c>
      <c r="F1030" s="20">
        <v>0.03</v>
      </c>
      <c r="G1030" s="20">
        <v>-1.1699999999999955</v>
      </c>
      <c r="H1030" s="20">
        <v>-1.1699999999999955</v>
      </c>
      <c r="I1030" s="20">
        <v>-1.1899999999999915</v>
      </c>
      <c r="J1030" s="20">
        <v>-1.1899999999999915</v>
      </c>
      <c r="K1030" s="20">
        <v>-1.2199999999999955</v>
      </c>
      <c r="L1030" s="20">
        <v>-1.2199999999999955</v>
      </c>
      <c r="M1030" s="20">
        <v>-1.2799999999999954</v>
      </c>
      <c r="N1030" s="20" t="s">
        <v>529</v>
      </c>
      <c r="O1030" s="20" t="s">
        <v>529</v>
      </c>
      <c r="P1030" s="20" t="s">
        <v>529</v>
      </c>
      <c r="Q1030" s="20" t="s">
        <v>529</v>
      </c>
      <c r="R1030" s="20" t="s">
        <v>529</v>
      </c>
      <c r="S1030" s="20" t="s">
        <v>529</v>
      </c>
      <c r="T1030" s="50">
        <v>-0.8799999999999909</v>
      </c>
      <c r="Z1030" s="511"/>
    </row>
    <row r="1031" spans="2:26" s="578" customFormat="1" ht="21.95" customHeight="1" x14ac:dyDescent="0.2">
      <c r="B1031" s="26">
        <v>4.99</v>
      </c>
      <c r="C1031" s="20">
        <v>0.03</v>
      </c>
      <c r="D1031" s="20">
        <v>0.03</v>
      </c>
      <c r="E1031" s="20">
        <v>0.03</v>
      </c>
      <c r="F1031" s="20">
        <v>0.03</v>
      </c>
      <c r="G1031" s="20">
        <v>-1.1699999999999955</v>
      </c>
      <c r="H1031" s="20">
        <v>-1.1699999999999955</v>
      </c>
      <c r="I1031" s="20">
        <v>-1.1899999999999915</v>
      </c>
      <c r="J1031" s="20">
        <v>-1.1899999999999915</v>
      </c>
      <c r="K1031" s="20">
        <v>-1.2199999999999955</v>
      </c>
      <c r="L1031" s="20">
        <v>-1.2199999999999955</v>
      </c>
      <c r="M1031" s="20">
        <v>-1.2799999999999954</v>
      </c>
      <c r="N1031" s="20" t="s">
        <v>529</v>
      </c>
      <c r="O1031" s="20" t="s">
        <v>529</v>
      </c>
      <c r="P1031" s="20" t="s">
        <v>529</v>
      </c>
      <c r="Q1031" s="20" t="s">
        <v>529</v>
      </c>
      <c r="R1031" s="20" t="s">
        <v>529</v>
      </c>
      <c r="S1031" s="20" t="s">
        <v>529</v>
      </c>
      <c r="T1031" s="50" t="s">
        <v>529</v>
      </c>
      <c r="Z1031" s="511"/>
    </row>
    <row r="1032" spans="2:26" s="578" customFormat="1" ht="21.95" customHeight="1" x14ac:dyDescent="0.2">
      <c r="B1032" s="26">
        <v>5.125</v>
      </c>
      <c r="C1032" s="20">
        <v>0.03</v>
      </c>
      <c r="D1032" s="20">
        <v>0.03</v>
      </c>
      <c r="E1032" s="20">
        <v>0.03</v>
      </c>
      <c r="F1032" s="20">
        <v>0.03</v>
      </c>
      <c r="G1032" s="20">
        <v>-1.1700000000000097</v>
      </c>
      <c r="H1032" s="20">
        <v>-1.1700000000000097</v>
      </c>
      <c r="I1032" s="20">
        <v>-1.1900000000000057</v>
      </c>
      <c r="J1032" s="20">
        <v>-1.1900000000000057</v>
      </c>
      <c r="K1032" s="20">
        <v>-1.2200000000000097</v>
      </c>
      <c r="L1032" s="20">
        <v>-1.2200000000000097</v>
      </c>
      <c r="M1032" s="20">
        <v>-1.2800000000000096</v>
      </c>
      <c r="N1032" s="20" t="s">
        <v>529</v>
      </c>
      <c r="O1032" s="20" t="s">
        <v>529</v>
      </c>
      <c r="P1032" s="20">
        <v>-0.17790000000000705</v>
      </c>
      <c r="Q1032" s="20">
        <v>-0.20850000000001045</v>
      </c>
      <c r="R1032" s="20">
        <v>-8.980000000000643E-2</v>
      </c>
      <c r="S1032" s="20">
        <v>-0.22070000000000445</v>
      </c>
      <c r="T1032" s="50">
        <v>-0.43200000000001182</v>
      </c>
      <c r="Z1032" s="511"/>
    </row>
    <row r="1033" spans="2:26" s="578" customFormat="1" ht="21.95" customHeight="1" x14ac:dyDescent="0.2">
      <c r="B1033" s="26">
        <v>5.25</v>
      </c>
      <c r="C1033" s="20">
        <v>0.03</v>
      </c>
      <c r="D1033" s="20">
        <v>0.03</v>
      </c>
      <c r="E1033" s="20">
        <v>0.03</v>
      </c>
      <c r="F1033" s="20">
        <v>0.03</v>
      </c>
      <c r="G1033" s="20">
        <v>-1.1199999999999983</v>
      </c>
      <c r="H1033" s="20">
        <v>-1.1199999999999983</v>
      </c>
      <c r="I1033" s="20">
        <v>-1.1400000000000086</v>
      </c>
      <c r="J1033" s="20">
        <v>-1.1400000000000086</v>
      </c>
      <c r="K1033" s="20">
        <v>-1.1699999999999984</v>
      </c>
      <c r="L1033" s="20">
        <v>-1.0530999999999973</v>
      </c>
      <c r="M1033" s="20">
        <v>-1.0834000000000059</v>
      </c>
      <c r="N1033" s="20">
        <v>7.5999999999999096E-2</v>
      </c>
      <c r="O1033" s="20">
        <v>3.5599999999990917E-2</v>
      </c>
      <c r="P1033" s="20">
        <v>0.20349999999999224</v>
      </c>
      <c r="Q1033" s="20">
        <v>0.17279999999999973</v>
      </c>
      <c r="R1033" s="20">
        <v>0.29159999999999286</v>
      </c>
      <c r="S1033" s="20">
        <v>0.16059999999999153</v>
      </c>
      <c r="T1033" s="50">
        <v>-5.0599999999998313E-2</v>
      </c>
      <c r="Z1033" s="511"/>
    </row>
    <row r="1034" spans="2:26" s="578" customFormat="1" ht="21.95" customHeight="1" x14ac:dyDescent="0.2">
      <c r="B1034" s="26">
        <v>5.375</v>
      </c>
      <c r="C1034" s="20">
        <v>0.03</v>
      </c>
      <c r="D1034" s="20">
        <v>0.03</v>
      </c>
      <c r="E1034" s="20">
        <v>0.03</v>
      </c>
      <c r="F1034" s="20">
        <v>0.03</v>
      </c>
      <c r="G1034" s="20">
        <v>-1.1199999999999983</v>
      </c>
      <c r="H1034" s="20">
        <v>-1.1199999999999983</v>
      </c>
      <c r="I1034" s="20">
        <v>-1.1399999999999944</v>
      </c>
      <c r="J1034" s="20">
        <v>-1.1399999999999944</v>
      </c>
      <c r="K1034" s="20">
        <v>-1.1699999999999984</v>
      </c>
      <c r="L1034" s="20">
        <v>-1.0530999999999973</v>
      </c>
      <c r="M1034" s="20">
        <v>-1.0833999999999917</v>
      </c>
      <c r="N1034" s="20">
        <v>7.5999999999999096E-2</v>
      </c>
      <c r="O1034" s="20">
        <v>3.5700000000008447E-2</v>
      </c>
      <c r="P1034" s="20">
        <v>0.20350000000000645</v>
      </c>
      <c r="Q1034" s="20">
        <v>0.17290000000000305</v>
      </c>
      <c r="R1034" s="20">
        <v>0.29160000000000708</v>
      </c>
      <c r="S1034" s="20">
        <v>0.16069999999999485</v>
      </c>
      <c r="T1034" s="50">
        <v>-5.0599999999998313E-2</v>
      </c>
      <c r="Z1034" s="511"/>
    </row>
    <row r="1035" spans="2:26" s="578" customFormat="1" ht="21.95" customHeight="1" x14ac:dyDescent="0.2">
      <c r="B1035" s="26">
        <v>5.5</v>
      </c>
      <c r="C1035" s="20">
        <v>0.03</v>
      </c>
      <c r="D1035" s="20">
        <v>0.03</v>
      </c>
      <c r="E1035" s="20">
        <v>0.03</v>
      </c>
      <c r="F1035" s="20">
        <v>0.03</v>
      </c>
      <c r="G1035" s="20">
        <v>-1.1199999999999983</v>
      </c>
      <c r="H1035" s="20">
        <v>-1.1199999999999983</v>
      </c>
      <c r="I1035" s="20">
        <v>-1.1399999999999944</v>
      </c>
      <c r="J1035" s="20">
        <v>-1.1399999999999944</v>
      </c>
      <c r="K1035" s="20">
        <v>-1.1699999999999984</v>
      </c>
      <c r="L1035" s="20">
        <v>-1.0530999999999973</v>
      </c>
      <c r="M1035" s="20">
        <v>-1.0833999999999917</v>
      </c>
      <c r="N1035" s="20">
        <v>5.6000000000003075E-2</v>
      </c>
      <c r="O1035" s="20">
        <v>8.4500000000008402E-2</v>
      </c>
      <c r="P1035" s="20">
        <v>0.1635000000000002</v>
      </c>
      <c r="Q1035" s="20">
        <v>0.13290000000001101</v>
      </c>
      <c r="R1035" s="20">
        <v>0.25160000000000082</v>
      </c>
      <c r="S1035" s="20">
        <v>0.12070000000000281</v>
      </c>
      <c r="T1035" s="50">
        <v>-5.0599999999998313E-2</v>
      </c>
      <c r="Z1035" s="511"/>
    </row>
    <row r="1036" spans="2:26" s="578" customFormat="1" ht="21.95" customHeight="1" x14ac:dyDescent="0.2">
      <c r="B1036" s="26">
        <v>5.625</v>
      </c>
      <c r="C1036" s="20">
        <v>0.03</v>
      </c>
      <c r="D1036" s="20">
        <v>0.03</v>
      </c>
      <c r="E1036" s="20">
        <v>0.03</v>
      </c>
      <c r="F1036" s="20">
        <v>0.03</v>
      </c>
      <c r="G1036" s="20">
        <v>-0.88000000000000345</v>
      </c>
      <c r="H1036" s="20">
        <v>-0.88000000000000345</v>
      </c>
      <c r="I1036" s="20">
        <v>-0.86519999999999531</v>
      </c>
      <c r="J1036" s="20">
        <v>-0.80590000000000206</v>
      </c>
      <c r="K1036" s="20">
        <v>-0.68740000000000745</v>
      </c>
      <c r="L1036" s="20">
        <v>-0.56870000000000342</v>
      </c>
      <c r="M1036" s="20">
        <v>-0.59899999999999809</v>
      </c>
      <c r="N1036" s="20">
        <v>0.35979999999999845</v>
      </c>
      <c r="O1036" s="20">
        <v>0.42850000000000249</v>
      </c>
      <c r="P1036" s="20">
        <v>0.37819999999999365</v>
      </c>
      <c r="Q1036" s="20">
        <v>0.31789999999999907</v>
      </c>
      <c r="R1036" s="20">
        <v>0.34760000000000446</v>
      </c>
      <c r="S1036" s="20">
        <v>0.18689999999999773</v>
      </c>
      <c r="T1036" s="50">
        <v>-3.3700000000005725E-2</v>
      </c>
      <c r="Z1036" s="511"/>
    </row>
    <row r="1037" spans="2:26" s="578" customFormat="1" ht="21.95" customHeight="1" x14ac:dyDescent="0.2">
      <c r="B1037" s="26">
        <v>5.75</v>
      </c>
      <c r="C1037" s="20">
        <v>0.03</v>
      </c>
      <c r="D1037" s="20">
        <v>0.03</v>
      </c>
      <c r="E1037" s="20">
        <v>0.03</v>
      </c>
      <c r="F1037" s="20">
        <v>0.03</v>
      </c>
      <c r="G1037" s="20">
        <v>-0.64340000000000774</v>
      </c>
      <c r="H1037" s="20">
        <v>-0.5543999999999949</v>
      </c>
      <c r="I1037" s="20">
        <v>-0.39620000000000116</v>
      </c>
      <c r="J1037" s="20">
        <v>-0.33690000000000792</v>
      </c>
      <c r="K1037" s="20">
        <v>-0.21839999999999918</v>
      </c>
      <c r="L1037" s="20">
        <v>-9.9699999999995154E-2</v>
      </c>
      <c r="M1037" s="20" t="s">
        <v>529</v>
      </c>
      <c r="N1037" s="20">
        <v>0.73880000000000334</v>
      </c>
      <c r="O1037" s="20">
        <v>0.80749999999999322</v>
      </c>
      <c r="P1037" s="20">
        <v>0.75719999999999854</v>
      </c>
      <c r="Q1037" s="20">
        <v>0.69690000000000396</v>
      </c>
      <c r="R1037" s="20">
        <v>0.72659999999999514</v>
      </c>
      <c r="S1037" s="20">
        <v>0.56599999999999173</v>
      </c>
      <c r="T1037" s="50">
        <v>0.34529999999999916</v>
      </c>
      <c r="Z1037" s="511"/>
    </row>
    <row r="1038" spans="2:26" s="578" customFormat="1" ht="21.95" customHeight="1" x14ac:dyDescent="0.2">
      <c r="B1038" s="26">
        <v>5.875</v>
      </c>
      <c r="C1038" s="20">
        <v>0.03</v>
      </c>
      <c r="D1038" s="20">
        <v>0.03</v>
      </c>
      <c r="E1038" s="20">
        <v>0.03</v>
      </c>
      <c r="F1038" s="20">
        <v>0.03</v>
      </c>
      <c r="G1038" s="20">
        <v>-0.44340000000000485</v>
      </c>
      <c r="H1038" s="20">
        <v>-0.35430000000000289</v>
      </c>
      <c r="I1038" s="20">
        <v>-0.19619999999999835</v>
      </c>
      <c r="J1038" s="20">
        <v>-0.13680000000000178</v>
      </c>
      <c r="K1038" s="20">
        <v>-1.8399999999996336E-2</v>
      </c>
      <c r="L1038" s="20">
        <v>0.10030000000000769</v>
      </c>
      <c r="M1038" s="20">
        <v>6.9999999999998869E-2</v>
      </c>
      <c r="N1038" s="20">
        <v>0.73880000000000334</v>
      </c>
      <c r="O1038" s="20">
        <v>0.80750000000000743</v>
      </c>
      <c r="P1038" s="20">
        <v>0.75719999999999854</v>
      </c>
      <c r="Q1038" s="20">
        <v>0.69690000000000396</v>
      </c>
      <c r="R1038" s="20">
        <v>0.72659999999999514</v>
      </c>
      <c r="S1038" s="20">
        <v>0.56600000000000594</v>
      </c>
      <c r="T1038" s="50">
        <v>0.34529999999999916</v>
      </c>
      <c r="Z1038" s="511"/>
    </row>
    <row r="1039" spans="2:26" s="578" customFormat="1" ht="21.95" customHeight="1" x14ac:dyDescent="0.2">
      <c r="B1039" s="26">
        <v>5.99</v>
      </c>
      <c r="C1039" s="20">
        <v>0.03</v>
      </c>
      <c r="D1039" s="20">
        <v>0.03</v>
      </c>
      <c r="E1039" s="20">
        <v>0.03</v>
      </c>
      <c r="F1039" s="20">
        <v>0.03</v>
      </c>
      <c r="G1039" s="20">
        <v>-0.25340000000000712</v>
      </c>
      <c r="H1039" s="20">
        <v>-0.16430000000000519</v>
      </c>
      <c r="I1039" s="20" t="s">
        <v>529</v>
      </c>
      <c r="J1039" s="20">
        <v>5.3199999999995952E-2</v>
      </c>
      <c r="K1039" s="20">
        <v>0.17160000000000139</v>
      </c>
      <c r="L1039" s="20">
        <v>0.29039999999999455</v>
      </c>
      <c r="M1039" s="20">
        <v>0.26009999999999989</v>
      </c>
      <c r="N1039" s="20">
        <v>0.73880000000000334</v>
      </c>
      <c r="O1039" s="20">
        <v>0.80759999999999654</v>
      </c>
      <c r="P1039" s="20">
        <v>0.75719999999999854</v>
      </c>
      <c r="Q1039" s="20">
        <v>0.69690000000000396</v>
      </c>
      <c r="R1039" s="20">
        <v>0.72659999999999514</v>
      </c>
      <c r="S1039" s="20">
        <v>0.56599999999999173</v>
      </c>
      <c r="T1039" s="50">
        <v>0.34540000000000248</v>
      </c>
      <c r="Z1039" s="511"/>
    </row>
    <row r="1040" spans="2:26" s="578" customFormat="1" ht="21.95" customHeight="1" x14ac:dyDescent="0.2">
      <c r="B1040" s="26">
        <v>6.125</v>
      </c>
      <c r="C1040" s="20">
        <v>0.03</v>
      </c>
      <c r="D1040" s="20">
        <v>0.03</v>
      </c>
      <c r="E1040" s="20">
        <v>0.03</v>
      </c>
      <c r="F1040" s="20">
        <v>0.03</v>
      </c>
      <c r="G1040" s="20">
        <v>-0.16340000000000374</v>
      </c>
      <c r="H1040" s="20">
        <v>-5.310000000000855E-2</v>
      </c>
      <c r="I1040" s="20">
        <v>8.3799999999988578E-2</v>
      </c>
      <c r="J1040" s="20">
        <v>0.14309999999999604</v>
      </c>
      <c r="K1040" s="20">
        <v>0.26159999999999062</v>
      </c>
      <c r="L1040" s="20">
        <v>0.38029999999999464</v>
      </c>
      <c r="M1040" s="20">
        <v>0.35</v>
      </c>
      <c r="N1040" s="20">
        <v>0.73879999999998913</v>
      </c>
      <c r="O1040" s="20">
        <v>0.80749999999999322</v>
      </c>
      <c r="P1040" s="20">
        <v>0.75719999999999854</v>
      </c>
      <c r="Q1040" s="20">
        <v>0.69689999999998975</v>
      </c>
      <c r="R1040" s="20">
        <v>0.72659999999999514</v>
      </c>
      <c r="S1040" s="20">
        <v>0.56599999999999173</v>
      </c>
      <c r="T1040" s="50">
        <v>0.3963000000000011</v>
      </c>
      <c r="Z1040" s="511"/>
    </row>
    <row r="1041" spans="2:26" s="578" customFormat="1" ht="21.95" customHeight="1" x14ac:dyDescent="0.2">
      <c r="B1041" s="26">
        <v>6.25</v>
      </c>
      <c r="C1041" s="20">
        <v>0.03</v>
      </c>
      <c r="D1041" s="20">
        <v>0.03</v>
      </c>
      <c r="E1041" s="20">
        <v>0.03</v>
      </c>
      <c r="F1041" s="20">
        <v>0.03</v>
      </c>
      <c r="G1041" s="20">
        <v>0.35489999999999272</v>
      </c>
      <c r="H1041" s="20">
        <v>0.47370000000000007</v>
      </c>
      <c r="I1041" s="20">
        <v>0.51310000000000056</v>
      </c>
      <c r="J1041" s="20">
        <v>0.66149999999999576</v>
      </c>
      <c r="K1041" s="20">
        <v>0.75029999999999919</v>
      </c>
      <c r="L1041" s="20">
        <v>0.86900000000000321</v>
      </c>
      <c r="M1041" s="20">
        <v>0.86839999999999973</v>
      </c>
      <c r="N1041" s="20">
        <v>1.0277000000000016</v>
      </c>
      <c r="O1041" s="20">
        <v>1.0171000000000021</v>
      </c>
      <c r="P1041" s="20">
        <v>1.0364999999999907</v>
      </c>
      <c r="Q1041" s="20">
        <v>1.0059000000000013</v>
      </c>
      <c r="R1041" s="20">
        <v>1.0652999999999979</v>
      </c>
      <c r="S1041" s="20">
        <v>0.93429999999999669</v>
      </c>
      <c r="T1041" s="50">
        <v>0.72309999999999264</v>
      </c>
      <c r="Z1041" s="511"/>
    </row>
    <row r="1042" spans="2:26" s="578" customFormat="1" ht="21.95" customHeight="1" x14ac:dyDescent="0.2">
      <c r="B1042" s="26">
        <v>6.375</v>
      </c>
      <c r="C1042" s="20">
        <v>0.03</v>
      </c>
      <c r="D1042" s="20">
        <v>0.03</v>
      </c>
      <c r="E1042" s="20">
        <v>0.03</v>
      </c>
      <c r="F1042" s="20">
        <v>0.03</v>
      </c>
      <c r="G1042" s="20">
        <v>0.35499999999999604</v>
      </c>
      <c r="H1042" s="20">
        <v>0.47370000000000007</v>
      </c>
      <c r="I1042" s="20">
        <v>0.51310000000000056</v>
      </c>
      <c r="J1042" s="20">
        <v>0.66149999999999576</v>
      </c>
      <c r="K1042" s="20">
        <v>0.75029999999999919</v>
      </c>
      <c r="L1042" s="20">
        <v>0.86910000000000653</v>
      </c>
      <c r="M1042" s="20">
        <v>0.86839999999999973</v>
      </c>
      <c r="N1042" s="20">
        <v>1.0278000000000049</v>
      </c>
      <c r="O1042" s="20">
        <v>1.0172000000000054</v>
      </c>
      <c r="P1042" s="20">
        <v>1.0365000000000049</v>
      </c>
      <c r="Q1042" s="20">
        <v>1.0059000000000013</v>
      </c>
      <c r="R1042" s="20">
        <v>1.0652999999999979</v>
      </c>
      <c r="S1042" s="20">
        <v>0.93440000000000001</v>
      </c>
      <c r="T1042" s="50">
        <v>0.72310000000000685</v>
      </c>
      <c r="Z1042" s="511"/>
    </row>
    <row r="1043" spans="2:26" s="578" customFormat="1" ht="21.95" customHeight="1" x14ac:dyDescent="0.2">
      <c r="B1043" s="26">
        <v>6.5</v>
      </c>
      <c r="C1043" s="20">
        <v>0.03</v>
      </c>
      <c r="D1043" s="20">
        <v>0.03</v>
      </c>
      <c r="E1043" s="20">
        <v>0.03</v>
      </c>
      <c r="F1043" s="20">
        <v>0.03</v>
      </c>
      <c r="G1043" s="20">
        <v>0.37140000000000045</v>
      </c>
      <c r="H1043" s="20">
        <v>0.49010000000000448</v>
      </c>
      <c r="I1043" s="20">
        <v>0.52249999999999996</v>
      </c>
      <c r="J1043" s="20">
        <v>0.67200000000000326</v>
      </c>
      <c r="K1043" s="20">
        <v>0.76560000000000972</v>
      </c>
      <c r="L1043" s="20">
        <v>0.88280000000000658</v>
      </c>
      <c r="M1043" s="20">
        <v>0.88540000000000985</v>
      </c>
      <c r="N1043" s="20">
        <v>1.0451000000000108</v>
      </c>
      <c r="O1043" s="20">
        <v>1.0416000000000054</v>
      </c>
      <c r="P1043" s="20">
        <v>1.0514000000000021</v>
      </c>
      <c r="Q1043" s="20">
        <v>1.1390000000000002</v>
      </c>
      <c r="R1043" s="20">
        <v>1.1983000000000077</v>
      </c>
      <c r="S1043" s="20">
        <v>1.0377000000000045</v>
      </c>
      <c r="T1043" s="50">
        <v>0.77410000000000878</v>
      </c>
      <c r="Z1043" s="511"/>
    </row>
    <row r="1044" spans="2:26" s="578" customFormat="1" ht="21.95" customHeight="1" x14ac:dyDescent="0.2">
      <c r="B1044" s="26">
        <v>6.625</v>
      </c>
      <c r="C1044" s="20">
        <v>0.03</v>
      </c>
      <c r="D1044" s="20">
        <v>0.03</v>
      </c>
      <c r="E1044" s="20">
        <v>0.03</v>
      </c>
      <c r="F1044" s="20">
        <v>0.03</v>
      </c>
      <c r="G1044" s="20">
        <v>0.35699999999999138</v>
      </c>
      <c r="H1044" s="20">
        <v>0.4756999999999954</v>
      </c>
      <c r="I1044" s="20">
        <v>0.5133999999999963</v>
      </c>
      <c r="J1044" s="20">
        <v>0.66210000000000147</v>
      </c>
      <c r="K1044" s="20">
        <v>0.75199999999999878</v>
      </c>
      <c r="L1044" s="20">
        <v>0.8741999999999911</v>
      </c>
      <c r="M1044" s="20">
        <v>1.045999999999998</v>
      </c>
      <c r="N1044" s="20">
        <v>1.1755999999999944</v>
      </c>
      <c r="O1044" s="20">
        <v>1.1649999999999949</v>
      </c>
      <c r="P1044" s="20">
        <v>1.1546999999999923</v>
      </c>
      <c r="Q1044" s="20">
        <v>1.3318999999999948</v>
      </c>
      <c r="R1044" s="20">
        <v>1.3912999999999913</v>
      </c>
      <c r="S1044" s="20">
        <v>1.230599999999999</v>
      </c>
      <c r="T1044" s="50">
        <v>0.9599999999999983</v>
      </c>
      <c r="Z1044" s="511"/>
    </row>
    <row r="1045" spans="2:26" s="578" customFormat="1" ht="21.95" customHeight="1" x14ac:dyDescent="0.2">
      <c r="B1045" s="26">
        <v>6.75</v>
      </c>
      <c r="C1045" s="20">
        <v>0.03</v>
      </c>
      <c r="D1045" s="20">
        <v>0.03</v>
      </c>
      <c r="E1045" s="20">
        <v>0.03</v>
      </c>
      <c r="F1045" s="20">
        <v>0.03</v>
      </c>
      <c r="G1045" s="20">
        <v>0.44399999999999468</v>
      </c>
      <c r="H1045" s="20">
        <v>0.71119999999999717</v>
      </c>
      <c r="I1045" s="20">
        <v>0.75059999999999771</v>
      </c>
      <c r="J1045" s="20">
        <v>0.9286999999999983</v>
      </c>
      <c r="K1045" s="20">
        <v>1.0174999999999874</v>
      </c>
      <c r="L1045" s="20">
        <v>1.1658999999999968</v>
      </c>
      <c r="M1045" s="20">
        <v>1.3433999999999942</v>
      </c>
      <c r="N1045" s="20">
        <v>1.4730999999999939</v>
      </c>
      <c r="O1045" s="20">
        <v>1.4624999999999944</v>
      </c>
      <c r="P1045" s="20">
        <v>1.4521999999999917</v>
      </c>
      <c r="Q1045" s="20">
        <v>1.6293999999999942</v>
      </c>
      <c r="R1045" s="20">
        <v>1.6886999999999874</v>
      </c>
      <c r="S1045" s="20">
        <v>1.5280999999999985</v>
      </c>
      <c r="T1045" s="50">
        <v>1.2574999999999976</v>
      </c>
      <c r="Z1045" s="511"/>
    </row>
    <row r="1046" spans="2:26" s="578" customFormat="1" ht="21.95" customHeight="1" x14ac:dyDescent="0.2">
      <c r="B1046" s="26">
        <v>6.875</v>
      </c>
      <c r="C1046" s="20">
        <v>0.03</v>
      </c>
      <c r="D1046" s="20">
        <v>0.03</v>
      </c>
      <c r="E1046" s="20">
        <v>0.03</v>
      </c>
      <c r="F1046" s="20">
        <v>0.03</v>
      </c>
      <c r="G1046" s="20">
        <v>0.44510000000000277</v>
      </c>
      <c r="H1046" s="20">
        <v>0.71230000000000526</v>
      </c>
      <c r="I1046" s="20">
        <v>0.74860000000000237</v>
      </c>
      <c r="J1046" s="20">
        <v>0.92720000000000535</v>
      </c>
      <c r="K1046" s="20">
        <v>1.018000000000004</v>
      </c>
      <c r="L1046" s="20">
        <v>1.1657999999999935</v>
      </c>
      <c r="M1046" s="20">
        <v>1.3429999999999951</v>
      </c>
      <c r="N1046" s="20">
        <v>1.4744999999999977</v>
      </c>
      <c r="O1046" s="20">
        <v>1.4670000000000016</v>
      </c>
      <c r="P1046" s="20">
        <v>1.4525000000000017</v>
      </c>
      <c r="Q1046" s="20">
        <v>1.634899999999992</v>
      </c>
      <c r="R1046" s="20">
        <v>1.6908000000000003</v>
      </c>
      <c r="S1046" s="20">
        <v>1.5314999999999976</v>
      </c>
      <c r="T1046" s="50">
        <v>1.2620000000000049</v>
      </c>
      <c r="Z1046" s="511"/>
    </row>
    <row r="1047" spans="2:26" s="578" customFormat="1" ht="21.95" customHeight="1" x14ac:dyDescent="0.2">
      <c r="B1047" s="26">
        <v>7</v>
      </c>
      <c r="C1047" s="20">
        <v>0.03</v>
      </c>
      <c r="D1047" s="20">
        <v>0.03</v>
      </c>
      <c r="E1047" s="20">
        <v>0.03</v>
      </c>
      <c r="F1047" s="20">
        <v>0.03</v>
      </c>
      <c r="G1047" s="20">
        <v>0.44349999999999229</v>
      </c>
      <c r="H1047" s="20">
        <v>0.71069999999999478</v>
      </c>
      <c r="I1047" s="20">
        <v>0.73789999999998823</v>
      </c>
      <c r="J1047" s="20">
        <v>0.91789999999999505</v>
      </c>
      <c r="K1047" s="20">
        <v>1.0149999999999897</v>
      </c>
      <c r="L1047" s="20">
        <v>1.1608999999999872</v>
      </c>
      <c r="M1047" s="20">
        <v>1.3368999999999915</v>
      </c>
      <c r="N1047" s="20">
        <v>1.4741999999999877</v>
      </c>
      <c r="O1047" s="20">
        <v>1.4760999999999911</v>
      </c>
      <c r="P1047" s="20">
        <v>1.4488999999999959</v>
      </c>
      <c r="Q1047" s="20">
        <v>1.6471999999999882</v>
      </c>
      <c r="R1047" s="20">
        <v>1.6924999999999999</v>
      </c>
      <c r="S1047" s="20">
        <v>1.5369999999999955</v>
      </c>
      <c r="T1047" s="50">
        <v>1.2708999999999877</v>
      </c>
      <c r="Z1047" s="511"/>
    </row>
    <row r="1048" spans="2:26" s="578" customFormat="1" ht="21.95" customHeight="1" x14ac:dyDescent="0.2">
      <c r="B1048" s="26">
        <v>7.125</v>
      </c>
      <c r="C1048" s="20">
        <v>0.03</v>
      </c>
      <c r="D1048" s="20">
        <v>0.03</v>
      </c>
      <c r="E1048" s="20">
        <v>0.03</v>
      </c>
      <c r="F1048" s="20">
        <v>0.03</v>
      </c>
      <c r="G1048" s="20">
        <v>0.44259999999999083</v>
      </c>
      <c r="H1048" s="20">
        <v>0.70979999999999333</v>
      </c>
      <c r="I1048" s="20">
        <v>0.74260000000000215</v>
      </c>
      <c r="J1048" s="20">
        <v>0.92179999999999662</v>
      </c>
      <c r="K1048" s="20">
        <v>1.0149999999999897</v>
      </c>
      <c r="L1048" s="20">
        <v>1.1619999999999953</v>
      </c>
      <c r="M1048" s="20">
        <v>1.3386999999999944</v>
      </c>
      <c r="N1048" s="20">
        <v>1.4725000000000024</v>
      </c>
      <c r="O1048" s="20">
        <v>1.4684999999999946</v>
      </c>
      <c r="P1048" s="20">
        <v>1.4491999999999916</v>
      </c>
      <c r="Q1048" s="20">
        <v>1.6375999999999964</v>
      </c>
      <c r="R1048" s="20">
        <v>1.6894999999999998</v>
      </c>
      <c r="S1048" s="20">
        <v>1.5316999999999901</v>
      </c>
      <c r="T1048" s="50">
        <v>1.2633999999999945</v>
      </c>
      <c r="Z1048" s="511"/>
    </row>
    <row r="1049" spans="2:26" s="578" customFormat="1" ht="21.95" customHeight="1" thickBot="1" x14ac:dyDescent="0.25">
      <c r="B1049" s="637"/>
      <c r="C1049" s="638"/>
      <c r="D1049" s="638"/>
      <c r="E1049" s="638"/>
      <c r="F1049" s="638"/>
      <c r="G1049" s="638"/>
      <c r="H1049" s="638"/>
      <c r="I1049" s="638"/>
      <c r="J1049" s="638"/>
      <c r="K1049" s="638"/>
      <c r="L1049" s="638"/>
      <c r="M1049" s="638"/>
      <c r="N1049" s="638"/>
      <c r="O1049" s="638"/>
      <c r="P1049" s="638"/>
      <c r="Q1049" s="638"/>
      <c r="R1049" s="638"/>
      <c r="S1049" s="638"/>
      <c r="T1049" s="639"/>
      <c r="Z1049" s="511"/>
    </row>
    <row r="1050" spans="2:26" s="578" customFormat="1" ht="21.95" customHeight="1" x14ac:dyDescent="0.2">
      <c r="B1050" s="1066" t="s">
        <v>530</v>
      </c>
      <c r="C1050" s="1014"/>
      <c r="D1050" s="1014"/>
      <c r="E1050" s="1014"/>
      <c r="F1050" s="1014"/>
      <c r="G1050" s="1014"/>
      <c r="H1050" s="1014"/>
      <c r="I1050" s="1014"/>
      <c r="J1050" s="1014"/>
      <c r="K1050" s="1014"/>
      <c r="L1050" s="1014"/>
      <c r="M1050" s="1014"/>
      <c r="N1050" s="1014"/>
      <c r="O1050" s="1014"/>
      <c r="P1050" s="1014"/>
      <c r="Q1050" s="1014"/>
      <c r="R1050" s="1014"/>
      <c r="S1050" s="1014"/>
      <c r="T1050" s="1057"/>
      <c r="Z1050" s="511"/>
    </row>
    <row r="1051" spans="2:26" s="578" customFormat="1" ht="37.5" customHeight="1" x14ac:dyDescent="0.2">
      <c r="B1051" s="496" t="s">
        <v>233</v>
      </c>
      <c r="C1051" s="497" t="s">
        <v>519</v>
      </c>
      <c r="D1051" s="497" t="s">
        <v>520</v>
      </c>
      <c r="E1051" s="497" t="s">
        <v>521</v>
      </c>
      <c r="F1051" s="497" t="s">
        <v>522</v>
      </c>
      <c r="G1051" s="497" t="s">
        <v>523</v>
      </c>
      <c r="H1051" s="497" t="s">
        <v>524</v>
      </c>
      <c r="I1051" s="497" t="s">
        <v>525</v>
      </c>
      <c r="J1051" s="497" t="s">
        <v>526</v>
      </c>
      <c r="K1051" s="497" t="s">
        <v>478</v>
      </c>
      <c r="L1051" s="497" t="s">
        <v>479</v>
      </c>
      <c r="M1051" s="497" t="s">
        <v>418</v>
      </c>
      <c r="N1051" s="497" t="s">
        <v>419</v>
      </c>
      <c r="O1051" s="497" t="s">
        <v>420</v>
      </c>
      <c r="P1051" s="497" t="s">
        <v>421</v>
      </c>
      <c r="Q1051" s="497" t="s">
        <v>422</v>
      </c>
      <c r="R1051" s="497" t="s">
        <v>423</v>
      </c>
      <c r="S1051" s="497" t="s">
        <v>424</v>
      </c>
      <c r="T1051" s="498" t="s">
        <v>425</v>
      </c>
      <c r="Z1051" s="511"/>
    </row>
    <row r="1052" spans="2:26" s="578" customFormat="1" ht="21.95" customHeight="1" x14ac:dyDescent="0.2">
      <c r="B1052" s="26">
        <v>4.99</v>
      </c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50"/>
      <c r="Z1052" s="511"/>
    </row>
    <row r="1053" spans="2:26" s="578" customFormat="1" ht="21.95" customHeight="1" x14ac:dyDescent="0.2">
      <c r="B1053" s="26">
        <v>5.125</v>
      </c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50"/>
      <c r="Z1053" s="511"/>
    </row>
    <row r="1054" spans="2:26" s="578" customFormat="1" ht="21.95" customHeight="1" x14ac:dyDescent="0.2">
      <c r="B1054" s="26">
        <v>5.25</v>
      </c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50"/>
      <c r="Z1054" s="511"/>
    </row>
    <row r="1055" spans="2:26" s="578" customFormat="1" ht="21.95" customHeight="1" x14ac:dyDescent="0.2">
      <c r="B1055" s="26">
        <v>5.375</v>
      </c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50"/>
      <c r="Z1055" s="511"/>
    </row>
    <row r="1056" spans="2:26" s="578" customFormat="1" ht="21.95" customHeight="1" x14ac:dyDescent="0.2">
      <c r="B1056" s="26">
        <v>5.5</v>
      </c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50"/>
      <c r="Z1056" s="511"/>
    </row>
    <row r="1057" spans="2:26" s="578" customFormat="1" ht="21.95" customHeight="1" x14ac:dyDescent="0.2">
      <c r="B1057" s="26">
        <v>5.625</v>
      </c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50"/>
      <c r="Z1057" s="511"/>
    </row>
    <row r="1058" spans="2:26" s="578" customFormat="1" ht="21.95" customHeight="1" x14ac:dyDescent="0.2">
      <c r="B1058" s="26">
        <v>5.75</v>
      </c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50"/>
      <c r="Z1058" s="511"/>
    </row>
    <row r="1059" spans="2:26" s="578" customFormat="1" ht="21.95" customHeight="1" x14ac:dyDescent="0.2">
      <c r="B1059" s="26">
        <v>5.875</v>
      </c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50"/>
      <c r="Z1059" s="511"/>
    </row>
    <row r="1060" spans="2:26" s="578" customFormat="1" ht="21.95" customHeight="1" x14ac:dyDescent="0.2">
      <c r="B1060" s="26">
        <v>5.99</v>
      </c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50"/>
      <c r="Z1060" s="511"/>
    </row>
    <row r="1061" spans="2:26" s="578" customFormat="1" ht="21.95" customHeight="1" x14ac:dyDescent="0.2">
      <c r="B1061" s="26">
        <v>6.125</v>
      </c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50"/>
      <c r="Z1061" s="511"/>
    </row>
    <row r="1062" spans="2:26" s="578" customFormat="1" ht="21.95" customHeight="1" x14ac:dyDescent="0.2">
      <c r="B1062" s="26">
        <v>6.25</v>
      </c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50"/>
      <c r="Z1062" s="511"/>
    </row>
    <row r="1063" spans="2:26" s="578" customFormat="1" ht="21.95" customHeight="1" x14ac:dyDescent="0.2">
      <c r="B1063" s="26">
        <v>6.375</v>
      </c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50"/>
      <c r="Z1063" s="511"/>
    </row>
    <row r="1064" spans="2:26" s="578" customFormat="1" ht="21.95" customHeight="1" x14ac:dyDescent="0.2">
      <c r="B1064" s="26">
        <v>6.5</v>
      </c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50"/>
      <c r="Z1064" s="511"/>
    </row>
    <row r="1065" spans="2:26" s="578" customFormat="1" ht="21.95" customHeight="1" x14ac:dyDescent="0.2">
      <c r="B1065" s="26">
        <v>6.625</v>
      </c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50"/>
      <c r="Z1065" s="511"/>
    </row>
    <row r="1066" spans="2:26" s="578" customFormat="1" ht="21.95" customHeight="1" x14ac:dyDescent="0.2">
      <c r="B1066" s="26">
        <v>6.75</v>
      </c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50"/>
      <c r="Z1066" s="511"/>
    </row>
    <row r="1067" spans="2:26" s="578" customFormat="1" ht="21.95" customHeight="1" x14ac:dyDescent="0.2">
      <c r="B1067" s="26">
        <v>6.875</v>
      </c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50"/>
      <c r="Z1067" s="511"/>
    </row>
    <row r="1068" spans="2:26" s="578" customFormat="1" ht="21.95" customHeight="1" x14ac:dyDescent="0.2">
      <c r="B1068" s="26">
        <v>7</v>
      </c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50"/>
      <c r="Z1068" s="511"/>
    </row>
    <row r="1069" spans="2:26" s="578" customFormat="1" ht="21.95" customHeight="1" x14ac:dyDescent="0.2">
      <c r="B1069" s="26">
        <v>7.125</v>
      </c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50"/>
      <c r="Z1069" s="511"/>
    </row>
    <row r="1070" spans="2:26" s="578" customFormat="1" ht="21.95" customHeight="1" x14ac:dyDescent="0.2">
      <c r="B1070" s="26">
        <v>7.25</v>
      </c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50"/>
      <c r="Z1070" s="511"/>
    </row>
    <row r="1071" spans="2:26" s="578" customFormat="1" ht="21.95" customHeight="1" x14ac:dyDescent="0.2">
      <c r="B1071" s="26">
        <v>7.375</v>
      </c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50"/>
      <c r="Z1071" s="511"/>
    </row>
    <row r="1072" spans="2:26" s="578" customFormat="1" ht="21.95" customHeight="1" thickBot="1" x14ac:dyDescent="0.25">
      <c r="B1072" s="637"/>
      <c r="C1072" s="638"/>
      <c r="D1072" s="638"/>
      <c r="E1072" s="638"/>
      <c r="F1072" s="638"/>
      <c r="G1072" s="638"/>
      <c r="H1072" s="638"/>
      <c r="I1072" s="638"/>
      <c r="J1072" s="638"/>
      <c r="K1072" s="638"/>
      <c r="L1072" s="638"/>
      <c r="M1072" s="638"/>
      <c r="N1072" s="638"/>
      <c r="O1072" s="638"/>
      <c r="P1072" s="638"/>
      <c r="Q1072" s="638"/>
      <c r="R1072" s="638"/>
      <c r="S1072" s="638"/>
      <c r="T1072" s="639"/>
      <c r="Z1072" s="511"/>
    </row>
    <row r="1073" spans="2:26" s="44" customFormat="1" ht="21.95" customHeight="1" x14ac:dyDescent="0.2">
      <c r="B1073" s="90"/>
      <c r="C1073" s="84"/>
      <c r="D1073" s="84"/>
      <c r="E1073" s="84"/>
      <c r="F1073" s="84"/>
      <c r="G1073" s="84"/>
      <c r="H1073" s="84"/>
      <c r="I1073" s="84"/>
      <c r="J1073" s="84"/>
      <c r="K1073" s="84"/>
      <c r="L1073" s="84"/>
      <c r="M1073" s="711" t="s">
        <v>57</v>
      </c>
      <c r="N1073" s="84"/>
      <c r="O1073" s="84"/>
      <c r="P1073" s="84"/>
      <c r="Q1073" s="84"/>
      <c r="R1073" s="84"/>
      <c r="S1073" s="84"/>
      <c r="T1073" s="84"/>
      <c r="U1073" s="84"/>
      <c r="V1073" s="84"/>
      <c r="W1073" s="84"/>
      <c r="X1073" s="84"/>
      <c r="Y1073" s="84"/>
      <c r="Z1073" s="45"/>
    </row>
    <row r="1074" spans="2:26" s="44" customFormat="1" ht="21.95" customHeight="1" x14ac:dyDescent="0.2">
      <c r="B1074" s="90"/>
      <c r="C1074" s="84"/>
      <c r="D1074" s="84"/>
      <c r="E1074" s="84"/>
      <c r="F1074" s="84"/>
      <c r="G1074" s="84"/>
      <c r="H1074" s="84"/>
      <c r="I1074" s="84"/>
      <c r="J1074" s="84"/>
      <c r="K1074" s="84"/>
      <c r="L1074" s="84"/>
      <c r="M1074" s="711" t="s">
        <v>58</v>
      </c>
      <c r="N1074" s="84"/>
      <c r="O1074" s="84"/>
      <c r="P1074" s="84"/>
      <c r="Q1074" s="84"/>
      <c r="R1074" s="84"/>
      <c r="S1074" s="84"/>
      <c r="T1074" s="84"/>
      <c r="U1074" s="84"/>
      <c r="V1074" s="84"/>
      <c r="W1074" s="84"/>
      <c r="X1074" s="84"/>
      <c r="Y1074" s="84"/>
      <c r="Z1074" s="45"/>
    </row>
    <row r="1075" spans="2:26" s="44" customFormat="1" ht="21.95" customHeight="1" x14ac:dyDescent="0.2">
      <c r="B1075" s="90"/>
      <c r="C1075" s="84"/>
      <c r="D1075" s="84"/>
      <c r="E1075" s="84"/>
      <c r="F1075" s="84"/>
      <c r="G1075" s="84"/>
      <c r="H1075" s="84"/>
      <c r="I1075" s="84"/>
      <c r="J1075" s="84"/>
      <c r="K1075" s="84"/>
      <c r="L1075" s="84"/>
      <c r="M1075" s="712" t="s">
        <v>67</v>
      </c>
      <c r="N1075" s="84"/>
      <c r="O1075" s="84"/>
      <c r="P1075" s="84"/>
      <c r="Q1075" s="84"/>
      <c r="R1075" s="84"/>
      <c r="S1075" s="84"/>
      <c r="T1075" s="84"/>
      <c r="U1075" s="84"/>
      <c r="V1075" s="84"/>
      <c r="W1075" s="84"/>
      <c r="X1075" s="84"/>
      <c r="Y1075" s="84"/>
      <c r="Z1075" s="45"/>
    </row>
    <row r="1076" spans="2:26" s="44" customFormat="1" ht="21.95" customHeight="1" thickBot="1" x14ac:dyDescent="0.25">
      <c r="B1076" s="90"/>
      <c r="C1076" s="84"/>
      <c r="D1076" s="84"/>
      <c r="E1076" s="84"/>
      <c r="F1076" s="84"/>
      <c r="G1076" s="84"/>
      <c r="H1076" s="84"/>
      <c r="I1076" s="84"/>
      <c r="J1076" s="84"/>
      <c r="K1076" s="84"/>
      <c r="L1076" s="84"/>
      <c r="M1076" s="712" t="s">
        <v>59</v>
      </c>
      <c r="N1076" s="84"/>
      <c r="O1076" s="84"/>
      <c r="P1076" s="84"/>
      <c r="Q1076" s="103"/>
      <c r="R1076" s="103"/>
      <c r="S1076" s="103"/>
      <c r="T1076" s="103"/>
      <c r="U1076" s="103"/>
      <c r="V1076" s="103"/>
      <c r="W1076" s="103"/>
      <c r="X1076" s="103"/>
      <c r="Y1076" s="103"/>
      <c r="Z1076" s="45"/>
    </row>
    <row r="1077" spans="2:26" s="651" customFormat="1" ht="21.95" customHeight="1" x14ac:dyDescent="0.3">
      <c r="B1077" s="655" t="s">
        <v>66</v>
      </c>
      <c r="C1077" s="656"/>
      <c r="D1077" s="656"/>
      <c r="E1077" s="656"/>
      <c r="F1077" s="656"/>
      <c r="G1077" s="656"/>
      <c r="H1077" s="656"/>
      <c r="I1077" s="656"/>
      <c r="J1077" s="656"/>
      <c r="K1077" s="656"/>
      <c r="L1077" s="656"/>
      <c r="M1077" s="656"/>
      <c r="N1077" s="656"/>
      <c r="O1077" s="656"/>
      <c r="P1077" s="656"/>
      <c r="Q1077" s="656"/>
      <c r="R1077" s="656"/>
      <c r="S1077" s="656"/>
      <c r="T1077" s="656"/>
      <c r="U1077" s="656"/>
      <c r="V1077" s="656"/>
      <c r="W1077" s="656"/>
      <c r="X1077" s="1023"/>
      <c r="Y1077" s="1023"/>
      <c r="Z1077" s="1024"/>
    </row>
    <row r="1078" spans="2:26" s="651" customFormat="1" ht="21.95" customHeight="1" x14ac:dyDescent="0.3">
      <c r="B1078" s="657" t="s">
        <v>68</v>
      </c>
      <c r="C1078" s="658"/>
      <c r="D1078" s="658"/>
      <c r="E1078" s="658"/>
      <c r="F1078" s="658"/>
      <c r="G1078" s="658"/>
      <c r="H1078" s="658"/>
      <c r="I1078" s="658"/>
      <c r="J1078" s="658"/>
      <c r="K1078" s="658"/>
      <c r="L1078" s="658"/>
      <c r="M1078" s="658"/>
      <c r="N1078" s="658"/>
      <c r="O1078" s="658"/>
      <c r="P1078" s="658"/>
      <c r="Q1078" s="658"/>
      <c r="R1078" s="658"/>
      <c r="S1078" s="658"/>
      <c r="T1078" s="658"/>
      <c r="U1078" s="658"/>
      <c r="V1078" s="658"/>
      <c r="W1078" s="934"/>
      <c r="X1078" s="934"/>
      <c r="Y1078" s="1034"/>
      <c r="Z1078" s="1035"/>
    </row>
    <row r="1079" spans="2:26" s="651" customFormat="1" ht="21.95" customHeight="1" x14ac:dyDescent="0.3">
      <c r="B1079" s="657" t="s">
        <v>69</v>
      </c>
      <c r="C1079" s="658"/>
      <c r="D1079" s="658"/>
      <c r="E1079" s="658"/>
      <c r="F1079" s="658"/>
      <c r="G1079" s="658"/>
      <c r="H1079" s="658"/>
      <c r="I1079" s="658"/>
      <c r="J1079" s="658"/>
      <c r="K1079" s="658"/>
      <c r="L1079" s="658"/>
      <c r="M1079" s="658"/>
      <c r="N1079" s="658"/>
      <c r="O1079" s="658"/>
      <c r="P1079" s="658"/>
      <c r="Q1079" s="658"/>
      <c r="R1079" s="658"/>
      <c r="S1079" s="658"/>
      <c r="T1079" s="658"/>
      <c r="U1079" s="658"/>
      <c r="V1079" s="658"/>
      <c r="W1079" s="658"/>
      <c r="X1079" s="658"/>
      <c r="Y1079" s="658"/>
      <c r="Z1079" s="660"/>
    </row>
    <row r="1080" spans="2:26" s="651" customFormat="1" ht="21.95" customHeight="1" x14ac:dyDescent="0.3">
      <c r="B1080" s="661" t="s">
        <v>72</v>
      </c>
      <c r="C1080" s="658"/>
      <c r="D1080" s="658"/>
      <c r="E1080" s="658"/>
      <c r="F1080" s="658"/>
      <c r="G1080" s="662"/>
      <c r="H1080" s="662"/>
      <c r="I1080" s="662"/>
      <c r="J1080" s="662"/>
      <c r="K1080" s="662"/>
      <c r="L1080" s="662"/>
      <c r="M1080" s="662"/>
      <c r="N1080" s="662"/>
      <c r="O1080" s="662"/>
      <c r="P1080" s="662"/>
      <c r="Q1080" s="662"/>
      <c r="R1080" s="662"/>
      <c r="S1080" s="662"/>
      <c r="T1080" s="662"/>
      <c r="U1080" s="662"/>
      <c r="V1080" s="662"/>
      <c r="W1080" s="663"/>
      <c r="X1080" s="658"/>
      <c r="Y1080" s="658"/>
      <c r="Z1080" s="660"/>
    </row>
    <row r="1081" spans="2:26" s="651" customFormat="1" ht="21.95" customHeight="1" x14ac:dyDescent="0.3">
      <c r="B1081" s="657"/>
      <c r="C1081" s="658"/>
      <c r="D1081" s="658"/>
      <c r="E1081" s="658"/>
      <c r="F1081" s="658"/>
      <c r="G1081" s="658"/>
      <c r="H1081" s="664"/>
      <c r="I1081" s="664"/>
      <c r="J1081" s="664"/>
      <c r="K1081" s="664"/>
      <c r="L1081" s="658"/>
      <c r="M1081" s="664"/>
      <c r="N1081" s="664"/>
      <c r="O1081" s="664"/>
      <c r="P1081" s="664"/>
      <c r="Q1081" s="664"/>
      <c r="R1081" s="664"/>
      <c r="S1081" s="664"/>
      <c r="T1081" s="664"/>
      <c r="U1081" s="664"/>
      <c r="V1081" s="664"/>
      <c r="W1081" s="658"/>
      <c r="X1081" s="663"/>
      <c r="Y1081" s="663"/>
      <c r="Z1081" s="660"/>
    </row>
    <row r="1082" spans="2:26" s="651" customFormat="1" ht="21.95" customHeight="1" thickBot="1" x14ac:dyDescent="0.35">
      <c r="B1082" s="667" t="s">
        <v>73</v>
      </c>
      <c r="C1082" s="668"/>
      <c r="D1082" s="668"/>
      <c r="E1082" s="668"/>
      <c r="F1082" s="668"/>
      <c r="G1082" s="668"/>
      <c r="H1082" s="668"/>
      <c r="I1082" s="668"/>
      <c r="J1082" s="668"/>
      <c r="K1082" s="668"/>
      <c r="L1082" s="668"/>
      <c r="M1082" s="668"/>
      <c r="N1082" s="668"/>
      <c r="O1082" s="668"/>
      <c r="P1082" s="668"/>
      <c r="Q1082" s="668"/>
      <c r="R1082" s="668"/>
      <c r="S1082" s="668"/>
      <c r="T1082" s="668"/>
      <c r="U1082" s="668"/>
      <c r="V1082" s="668"/>
      <c r="W1082" s="669"/>
      <c r="X1082" s="670"/>
      <c r="Y1082" s="670"/>
      <c r="Z1082" s="671"/>
    </row>
    <row r="1083" spans="2:26" ht="21.95" customHeight="1" thickBot="1" x14ac:dyDescent="0.25">
      <c r="B1083" s="509"/>
      <c r="C1083" s="500"/>
      <c r="D1083" s="500"/>
      <c r="E1083" s="500"/>
      <c r="F1083" s="500"/>
      <c r="G1083" s="500"/>
      <c r="H1083" s="500"/>
      <c r="I1083" s="500"/>
      <c r="J1083" s="500"/>
      <c r="K1083" s="500"/>
      <c r="L1083" s="500"/>
      <c r="M1083" s="500"/>
      <c r="N1083" s="500"/>
      <c r="O1083" s="500"/>
      <c r="P1083" s="500"/>
      <c r="Q1083" s="500"/>
      <c r="R1083" s="500"/>
      <c r="S1083" s="500"/>
      <c r="T1083" s="500"/>
      <c r="U1083" s="500"/>
      <c r="V1083" s="500"/>
      <c r="W1083" s="500"/>
      <c r="X1083" s="500"/>
      <c r="Y1083" s="500"/>
      <c r="Z1083" s="502"/>
    </row>
    <row r="1084" spans="2:26" s="44" customFormat="1" ht="13.5" thickBot="1" x14ac:dyDescent="0.25">
      <c r="B1084" s="1152" t="s">
        <v>480</v>
      </c>
      <c r="C1084" s="1153"/>
      <c r="D1084" s="1153"/>
      <c r="E1084" s="1153"/>
      <c r="F1084" s="1153"/>
      <c r="G1084" s="1153"/>
      <c r="H1084" s="1153"/>
      <c r="I1084" s="1153"/>
      <c r="J1084" s="1153"/>
      <c r="K1084" s="1153"/>
      <c r="L1084" s="1153"/>
      <c r="M1084" s="1153"/>
      <c r="N1084" s="1153"/>
      <c r="O1084" s="1153"/>
      <c r="P1084" s="1153"/>
      <c r="Q1084" s="1153"/>
      <c r="R1084" s="1153"/>
      <c r="S1084" s="1153"/>
      <c r="T1084" s="1153"/>
      <c r="U1084" s="1153"/>
      <c r="V1084" s="1153"/>
      <c r="W1084" s="1153"/>
      <c r="X1084" s="1153"/>
      <c r="Y1084" s="1153"/>
      <c r="Z1084" s="1154"/>
    </row>
    <row r="1085" spans="2:26" s="44" customFormat="1" ht="13.5" thickBot="1" x14ac:dyDescent="0.25">
      <c r="B1085" s="684"/>
      <c r="Z1085" s="45"/>
    </row>
    <row r="1086" spans="2:26" s="44" customFormat="1" ht="12.75" x14ac:dyDescent="0.2">
      <c r="B1086" s="1144" t="s">
        <v>439</v>
      </c>
      <c r="C1086" s="1145"/>
      <c r="D1086" s="1145"/>
      <c r="E1086" s="1145"/>
      <c r="F1086" s="1145"/>
      <c r="G1086" s="1145"/>
      <c r="H1086" s="1145"/>
      <c r="I1086" s="1145"/>
      <c r="J1086" s="1145"/>
      <c r="K1086" s="1145"/>
      <c r="L1086" s="1146"/>
      <c r="M1086" s="759"/>
      <c r="N1086" s="1144" t="s">
        <v>440</v>
      </c>
      <c r="O1086" s="1145"/>
      <c r="P1086" s="1145"/>
      <c r="Q1086" s="1145"/>
      <c r="R1086" s="1145"/>
      <c r="S1086" s="1145"/>
      <c r="T1086" s="1145"/>
      <c r="U1086" s="1145"/>
      <c r="V1086" s="1145"/>
      <c r="W1086" s="1145"/>
      <c r="X1086" s="1145"/>
      <c r="Y1086" s="1146"/>
      <c r="Z1086" s="760"/>
    </row>
    <row r="1087" spans="2:26" s="44" customFormat="1" ht="12.75" x14ac:dyDescent="0.2">
      <c r="B1087" s="761"/>
      <c r="C1087" s="762"/>
      <c r="D1087" s="1155" t="s">
        <v>441</v>
      </c>
      <c r="E1087" s="1155"/>
      <c r="F1087" s="1155"/>
      <c r="G1087" s="1155"/>
      <c r="H1087" s="1155"/>
      <c r="I1087" s="1155"/>
      <c r="J1087" s="1155"/>
      <c r="K1087" s="1155"/>
      <c r="L1087" s="1156"/>
      <c r="M1087" s="759"/>
      <c r="N1087" s="1157" t="s">
        <v>442</v>
      </c>
      <c r="O1087" s="1158"/>
      <c r="P1087" s="1158"/>
      <c r="Q1087" s="1155" t="s">
        <v>441</v>
      </c>
      <c r="R1087" s="1155"/>
      <c r="S1087" s="1155"/>
      <c r="T1087" s="1155"/>
      <c r="U1087" s="1155"/>
      <c r="V1087" s="1155"/>
      <c r="W1087" s="1155"/>
      <c r="X1087" s="1155"/>
      <c r="Y1087" s="1156"/>
      <c r="Z1087" s="124"/>
    </row>
    <row r="1088" spans="2:26" s="44" customFormat="1" ht="25.5" x14ac:dyDescent="0.2">
      <c r="B1088" s="1159" t="s">
        <v>443</v>
      </c>
      <c r="C1088" s="1160"/>
      <c r="D1088" s="763" t="s">
        <v>444</v>
      </c>
      <c r="E1088" s="763" t="s">
        <v>445</v>
      </c>
      <c r="F1088" s="763" t="s">
        <v>446</v>
      </c>
      <c r="G1088" s="763" t="s">
        <v>447</v>
      </c>
      <c r="H1088" s="763" t="s">
        <v>448</v>
      </c>
      <c r="I1088" s="763" t="s">
        <v>449</v>
      </c>
      <c r="J1088" s="763" t="s">
        <v>450</v>
      </c>
      <c r="K1088" s="763" t="s">
        <v>451</v>
      </c>
      <c r="L1088" s="764" t="s">
        <v>452</v>
      </c>
      <c r="M1088" s="759"/>
      <c r="N1088" s="1157"/>
      <c r="O1088" s="1158"/>
      <c r="P1088" s="1158"/>
      <c r="Q1088" s="763" t="s">
        <v>444</v>
      </c>
      <c r="R1088" s="763" t="s">
        <v>445</v>
      </c>
      <c r="S1088" s="763" t="s">
        <v>446</v>
      </c>
      <c r="T1088" s="763" t="s">
        <v>447</v>
      </c>
      <c r="U1088" s="763" t="s">
        <v>448</v>
      </c>
      <c r="V1088" s="763" t="s">
        <v>449</v>
      </c>
      <c r="W1088" s="763" t="s">
        <v>450</v>
      </c>
      <c r="X1088" s="763" t="s">
        <v>451</v>
      </c>
      <c r="Y1088" s="764" t="s">
        <v>452</v>
      </c>
      <c r="Z1088" s="124"/>
    </row>
    <row r="1089" spans="2:26" s="44" customFormat="1" ht="12.75" x14ac:dyDescent="0.2">
      <c r="B1089" s="1134" t="s">
        <v>453</v>
      </c>
      <c r="C1089" s="1135"/>
      <c r="D1089" s="765">
        <v>0</v>
      </c>
      <c r="E1089" s="765">
        <v>0</v>
      </c>
      <c r="F1089" s="765">
        <v>0</v>
      </c>
      <c r="G1089" s="765">
        <v>0</v>
      </c>
      <c r="H1089" s="765">
        <v>-0.375</v>
      </c>
      <c r="I1089" s="765">
        <v>-0.375</v>
      </c>
      <c r="J1089" s="765">
        <v>-0.25</v>
      </c>
      <c r="K1089" s="765">
        <v>-0.25</v>
      </c>
      <c r="L1089" s="766">
        <v>-0.125</v>
      </c>
      <c r="M1089" s="759"/>
      <c r="N1089" s="1134" t="s">
        <v>454</v>
      </c>
      <c r="O1089" s="1135"/>
      <c r="P1089" s="1135"/>
      <c r="Q1089" s="765">
        <v>0</v>
      </c>
      <c r="R1089" s="765">
        <v>0</v>
      </c>
      <c r="S1089" s="765">
        <v>0</v>
      </c>
      <c r="T1089" s="765">
        <v>0</v>
      </c>
      <c r="U1089" s="765">
        <v>0</v>
      </c>
      <c r="V1089" s="765">
        <v>0</v>
      </c>
      <c r="W1089" s="765">
        <v>0</v>
      </c>
      <c r="X1089" s="765">
        <v>-0.25</v>
      </c>
      <c r="Y1089" s="766">
        <v>-0.25</v>
      </c>
      <c r="Z1089" s="124"/>
    </row>
    <row r="1090" spans="2:26" s="44" customFormat="1" ht="12.75" x14ac:dyDescent="0.2">
      <c r="B1090" s="1134" t="s">
        <v>123</v>
      </c>
      <c r="C1090" s="1135"/>
      <c r="D1090" s="765">
        <v>0</v>
      </c>
      <c r="E1090" s="765">
        <v>0</v>
      </c>
      <c r="F1090" s="765">
        <v>0</v>
      </c>
      <c r="G1090" s="765">
        <v>-0.25</v>
      </c>
      <c r="H1090" s="765">
        <v>-0.625</v>
      </c>
      <c r="I1090" s="765">
        <v>-0.625</v>
      </c>
      <c r="J1090" s="765">
        <v>-0.5</v>
      </c>
      <c r="K1090" s="765">
        <v>-0.5</v>
      </c>
      <c r="L1090" s="766">
        <v>-0.25</v>
      </c>
      <c r="M1090" s="759"/>
      <c r="N1090" s="1134" t="s">
        <v>128</v>
      </c>
      <c r="O1090" s="1135"/>
      <c r="P1090" s="1135"/>
      <c r="Q1090" s="765">
        <v>-1.125</v>
      </c>
      <c r="R1090" s="765">
        <v>-1.125</v>
      </c>
      <c r="S1090" s="765">
        <v>-1.625</v>
      </c>
      <c r="T1090" s="765">
        <v>-2.125</v>
      </c>
      <c r="U1090" s="765">
        <v>-3.375</v>
      </c>
      <c r="V1090" s="765">
        <v>-4.125</v>
      </c>
      <c r="W1090" s="765">
        <v>-4.125</v>
      </c>
      <c r="X1090" s="765">
        <v>-4.125</v>
      </c>
      <c r="Y1090" s="766">
        <v>-4.125</v>
      </c>
      <c r="Z1090" s="124"/>
    </row>
    <row r="1091" spans="2:26" s="44" customFormat="1" ht="12.75" x14ac:dyDescent="0.2">
      <c r="B1091" s="1134" t="s">
        <v>124</v>
      </c>
      <c r="C1091" s="1135"/>
      <c r="D1091" s="765">
        <v>0</v>
      </c>
      <c r="E1091" s="765">
        <v>0</v>
      </c>
      <c r="F1091" s="765">
        <v>-0.125</v>
      </c>
      <c r="G1091" s="765">
        <v>-0.375</v>
      </c>
      <c r="H1091" s="765">
        <v>-0.875</v>
      </c>
      <c r="I1091" s="765">
        <v>-1</v>
      </c>
      <c r="J1091" s="765">
        <v>-0.75</v>
      </c>
      <c r="K1091" s="765">
        <v>-0.625</v>
      </c>
      <c r="L1091" s="766">
        <v>-0.5</v>
      </c>
      <c r="M1091" s="759"/>
      <c r="N1091" s="1134" t="s">
        <v>47</v>
      </c>
      <c r="O1091" s="1135"/>
      <c r="P1091" s="1135"/>
      <c r="Q1091" s="765">
        <v>-1.125</v>
      </c>
      <c r="R1091" s="765">
        <v>-1.125</v>
      </c>
      <c r="S1091" s="765">
        <v>-1.625</v>
      </c>
      <c r="T1091" s="765">
        <v>-2.125</v>
      </c>
      <c r="U1091" s="765">
        <v>-3.375</v>
      </c>
      <c r="V1091" s="765">
        <v>-4.125</v>
      </c>
      <c r="W1091" s="765">
        <v>-4.125</v>
      </c>
      <c r="X1091" s="765">
        <v>-4.125</v>
      </c>
      <c r="Y1091" s="766">
        <v>-4.125</v>
      </c>
      <c r="Z1091" s="124"/>
    </row>
    <row r="1092" spans="2:26" s="44" customFormat="1" ht="12.75" x14ac:dyDescent="0.2">
      <c r="B1092" s="1134" t="s">
        <v>402</v>
      </c>
      <c r="C1092" s="1135"/>
      <c r="D1092" s="765">
        <v>0</v>
      </c>
      <c r="E1092" s="765">
        <v>0</v>
      </c>
      <c r="F1092" s="765">
        <v>-0.25</v>
      </c>
      <c r="G1092" s="765">
        <v>-0.75</v>
      </c>
      <c r="H1092" s="765">
        <v>-1.25</v>
      </c>
      <c r="I1092" s="765">
        <v>-1.25</v>
      </c>
      <c r="J1092" s="765">
        <v>-1</v>
      </c>
      <c r="K1092" s="765">
        <v>-0.875</v>
      </c>
      <c r="L1092" s="766">
        <v>-0.75</v>
      </c>
      <c r="M1092" s="759"/>
      <c r="N1092" s="1134" t="s">
        <v>189</v>
      </c>
      <c r="O1092" s="1135"/>
      <c r="P1092" s="1135"/>
      <c r="Q1092" s="765">
        <v>0</v>
      </c>
      <c r="R1092" s="765">
        <v>0</v>
      </c>
      <c r="S1092" s="765">
        <v>-0.125</v>
      </c>
      <c r="T1092" s="765">
        <v>-0.125</v>
      </c>
      <c r="U1092" s="765">
        <v>-0.75</v>
      </c>
      <c r="V1092" s="765">
        <v>-0.75</v>
      </c>
      <c r="W1092" s="765">
        <v>-0.75</v>
      </c>
      <c r="X1092" s="765">
        <v>-0.75</v>
      </c>
      <c r="Y1092" s="766">
        <v>-0.75</v>
      </c>
      <c r="Z1092" s="124"/>
    </row>
    <row r="1093" spans="2:26" s="44" customFormat="1" ht="12.75" x14ac:dyDescent="0.2">
      <c r="B1093" s="1134" t="s">
        <v>403</v>
      </c>
      <c r="C1093" s="1135"/>
      <c r="D1093" s="765">
        <v>0</v>
      </c>
      <c r="E1093" s="765">
        <v>0</v>
      </c>
      <c r="F1093" s="765">
        <v>-0.375</v>
      </c>
      <c r="G1093" s="765">
        <v>-0.875</v>
      </c>
      <c r="H1093" s="765">
        <v>-1.375</v>
      </c>
      <c r="I1093" s="765">
        <v>-1.5</v>
      </c>
      <c r="J1093" s="765">
        <v>-1.25</v>
      </c>
      <c r="K1093" s="765">
        <v>-1.125</v>
      </c>
      <c r="L1093" s="766">
        <v>-0.875</v>
      </c>
      <c r="M1093" s="759"/>
      <c r="N1093" s="1134" t="s">
        <v>9</v>
      </c>
      <c r="O1093" s="1135"/>
      <c r="P1093" s="1135"/>
      <c r="Q1093" s="765">
        <v>-0.5</v>
      </c>
      <c r="R1093" s="765">
        <v>-0.5</v>
      </c>
      <c r="S1093" s="765">
        <v>-0.5</v>
      </c>
      <c r="T1093" s="765">
        <v>-0.5</v>
      </c>
      <c r="U1093" s="765">
        <v>-0.5</v>
      </c>
      <c r="V1093" s="765">
        <v>-0.5</v>
      </c>
      <c r="W1093" s="765">
        <v>-0.5</v>
      </c>
      <c r="X1093" s="765">
        <v>-0.5</v>
      </c>
      <c r="Y1093" s="766">
        <v>-0.5</v>
      </c>
      <c r="Z1093" s="124"/>
    </row>
    <row r="1094" spans="2:26" s="44" customFormat="1" ht="12.75" x14ac:dyDescent="0.2">
      <c r="B1094" s="1134" t="s">
        <v>404</v>
      </c>
      <c r="C1094" s="1135"/>
      <c r="D1094" s="765">
        <v>0</v>
      </c>
      <c r="E1094" s="765">
        <v>0</v>
      </c>
      <c r="F1094" s="765">
        <v>-0.625</v>
      </c>
      <c r="G1094" s="765">
        <v>-1.125</v>
      </c>
      <c r="H1094" s="765">
        <v>-1.7500000000000002</v>
      </c>
      <c r="I1094" s="765">
        <v>-1.875</v>
      </c>
      <c r="J1094" s="765">
        <v>-1.5</v>
      </c>
      <c r="K1094" s="765">
        <v>-1.375</v>
      </c>
      <c r="L1094" s="766">
        <v>-1.125</v>
      </c>
      <c r="M1094" s="759"/>
      <c r="N1094" s="1134" t="s">
        <v>455</v>
      </c>
      <c r="O1094" s="1135"/>
      <c r="P1094" s="1135"/>
      <c r="Q1094" s="765">
        <v>0</v>
      </c>
      <c r="R1094" s="765">
        <v>0</v>
      </c>
      <c r="S1094" s="765">
        <v>-0.375</v>
      </c>
      <c r="T1094" s="765">
        <v>-0.375</v>
      </c>
      <c r="U1094" s="765">
        <v>-0.625</v>
      </c>
      <c r="V1094" s="765">
        <v>-0.625</v>
      </c>
      <c r="W1094" s="765">
        <v>-0.625</v>
      </c>
      <c r="X1094" s="765">
        <v>-0.625</v>
      </c>
      <c r="Y1094" s="766">
        <v>-0.625</v>
      </c>
      <c r="Z1094" s="124"/>
    </row>
    <row r="1095" spans="2:26" s="44" customFormat="1" ht="12.75" x14ac:dyDescent="0.2">
      <c r="B1095" s="1134" t="s">
        <v>456</v>
      </c>
      <c r="C1095" s="1135"/>
      <c r="D1095" s="765">
        <v>0</v>
      </c>
      <c r="E1095" s="765">
        <v>0</v>
      </c>
      <c r="F1095" s="765">
        <v>-0.75</v>
      </c>
      <c r="G1095" s="765">
        <v>-1.375</v>
      </c>
      <c r="H1095" s="765">
        <v>-1.875</v>
      </c>
      <c r="I1095" s="765">
        <v>-2.125</v>
      </c>
      <c r="J1095" s="765">
        <v>-1.75</v>
      </c>
      <c r="K1095" s="765">
        <v>-1.625</v>
      </c>
      <c r="L1095" s="766">
        <v>-1.25</v>
      </c>
      <c r="M1095" s="759"/>
      <c r="N1095" s="1134" t="s">
        <v>457</v>
      </c>
      <c r="O1095" s="1135"/>
      <c r="P1095" s="1135"/>
      <c r="Q1095" s="765">
        <v>-0.625</v>
      </c>
      <c r="R1095" s="765">
        <v>-0.625</v>
      </c>
      <c r="S1095" s="765">
        <v>-0.625</v>
      </c>
      <c r="T1095" s="765">
        <v>-0.875</v>
      </c>
      <c r="U1095" s="765">
        <v>-1.125</v>
      </c>
      <c r="V1095" s="765">
        <v>-1.125</v>
      </c>
      <c r="W1095" s="765">
        <v>-1.125</v>
      </c>
      <c r="X1095" s="765">
        <v>-1.875</v>
      </c>
      <c r="Y1095" s="766">
        <v>-1.875</v>
      </c>
      <c r="Z1095" s="124"/>
    </row>
    <row r="1096" spans="2:26" s="44" customFormat="1" ht="12.75" x14ac:dyDescent="0.2">
      <c r="B1096" s="1134" t="s">
        <v>458</v>
      </c>
      <c r="C1096" s="1135"/>
      <c r="D1096" s="765">
        <v>0</v>
      </c>
      <c r="E1096" s="765">
        <v>0</v>
      </c>
      <c r="F1096" s="765">
        <v>-1.125</v>
      </c>
      <c r="G1096" s="765">
        <v>-1.5</v>
      </c>
      <c r="H1096" s="765">
        <v>-2.25</v>
      </c>
      <c r="I1096" s="765">
        <v>-2.5</v>
      </c>
      <c r="J1096" s="765">
        <v>-2</v>
      </c>
      <c r="K1096" s="765">
        <v>-1.875</v>
      </c>
      <c r="L1096" s="766">
        <v>-1.5</v>
      </c>
      <c r="M1096" s="759"/>
      <c r="N1096" s="1134" t="s">
        <v>459</v>
      </c>
      <c r="O1096" s="1135"/>
      <c r="P1096" s="1135"/>
      <c r="Q1096" s="765">
        <v>-0.5</v>
      </c>
      <c r="R1096" s="765">
        <v>-0.5</v>
      </c>
      <c r="S1096" s="765">
        <v>-0.75</v>
      </c>
      <c r="T1096" s="765">
        <v>-0.75</v>
      </c>
      <c r="U1096" s="765">
        <v>-1</v>
      </c>
      <c r="V1096" s="765">
        <v>-1</v>
      </c>
      <c r="W1096" s="765">
        <v>-1</v>
      </c>
      <c r="X1096" s="765">
        <v>-1</v>
      </c>
      <c r="Y1096" s="766">
        <v>-1</v>
      </c>
      <c r="Z1096" s="124"/>
    </row>
    <row r="1097" spans="2:26" s="44" customFormat="1" ht="12.75" x14ac:dyDescent="0.2">
      <c r="B1097" s="1134" t="s">
        <v>460</v>
      </c>
      <c r="C1097" s="1135"/>
      <c r="D1097" s="765">
        <v>0</v>
      </c>
      <c r="E1097" s="765">
        <v>-0.125</v>
      </c>
      <c r="F1097" s="765">
        <v>-1.5</v>
      </c>
      <c r="G1097" s="765">
        <v>-2.125</v>
      </c>
      <c r="H1097" s="765">
        <v>-2.75</v>
      </c>
      <c r="I1097" s="765">
        <v>-2.875</v>
      </c>
      <c r="J1097" s="765">
        <v>-2.625</v>
      </c>
      <c r="K1097" s="765">
        <v>-2.25</v>
      </c>
      <c r="L1097" s="766">
        <v>-1.75</v>
      </c>
      <c r="M1097" s="759"/>
      <c r="N1097" s="1134" t="s">
        <v>461</v>
      </c>
      <c r="O1097" s="1135"/>
      <c r="P1097" s="1135"/>
      <c r="Q1097" s="765">
        <v>-1.25</v>
      </c>
      <c r="R1097" s="765">
        <v>-1.25</v>
      </c>
      <c r="S1097" s="765">
        <v>-1.5</v>
      </c>
      <c r="T1097" s="765">
        <v>-1.5</v>
      </c>
      <c r="U1097" s="765">
        <v>-2.5</v>
      </c>
      <c r="V1097" s="765">
        <v>-2.5</v>
      </c>
      <c r="W1097" s="765">
        <v>-2.5</v>
      </c>
      <c r="X1097" s="765">
        <v>-2.75</v>
      </c>
      <c r="Y1097" s="766">
        <v>-2.75</v>
      </c>
      <c r="Z1097" s="124"/>
    </row>
    <row r="1098" spans="2:26" s="44" customFormat="1" ht="13.5" thickBot="1" x14ac:dyDescent="0.25">
      <c r="B1098" s="1142" t="s">
        <v>462</v>
      </c>
      <c r="C1098" s="1143"/>
      <c r="D1098" s="767" t="s">
        <v>77</v>
      </c>
      <c r="E1098" s="767" t="s">
        <v>77</v>
      </c>
      <c r="F1098" s="767" t="s">
        <v>77</v>
      </c>
      <c r="G1098" s="767" t="s">
        <v>77</v>
      </c>
      <c r="H1098" s="767" t="s">
        <v>77</v>
      </c>
      <c r="I1098" s="767" t="s">
        <v>77</v>
      </c>
      <c r="J1098" s="767" t="s">
        <v>77</v>
      </c>
      <c r="K1098" s="767" t="s">
        <v>77</v>
      </c>
      <c r="L1098" s="768" t="s">
        <v>77</v>
      </c>
      <c r="M1098" s="759"/>
      <c r="N1098" s="1142" t="s">
        <v>222</v>
      </c>
      <c r="O1098" s="1143"/>
      <c r="P1098" s="1143"/>
      <c r="Q1098" s="767">
        <v>0</v>
      </c>
      <c r="R1098" s="767">
        <v>0</v>
      </c>
      <c r="S1098" s="767">
        <v>0</v>
      </c>
      <c r="T1098" s="767">
        <v>0</v>
      </c>
      <c r="U1098" s="767">
        <v>0</v>
      </c>
      <c r="V1098" s="767">
        <v>0</v>
      </c>
      <c r="W1098" s="767">
        <v>0</v>
      </c>
      <c r="X1098" s="767">
        <v>0</v>
      </c>
      <c r="Y1098" s="768">
        <v>0</v>
      </c>
      <c r="Z1098" s="124"/>
    </row>
    <row r="1099" spans="2:26" s="44" customFormat="1" ht="13.5" thickBot="1" x14ac:dyDescent="0.25">
      <c r="B1099" s="769"/>
      <c r="C1099" s="759"/>
      <c r="D1099" s="759"/>
      <c r="E1099" s="759"/>
      <c r="F1099" s="759"/>
      <c r="G1099" s="759"/>
      <c r="H1099" s="759"/>
      <c r="I1099" s="759"/>
      <c r="J1099" s="759"/>
      <c r="K1099" s="759"/>
      <c r="L1099" s="759"/>
      <c r="M1099" s="759"/>
      <c r="N1099" s="770"/>
      <c r="O1099" s="770"/>
      <c r="P1099" s="770"/>
      <c r="Q1099" s="770"/>
      <c r="R1099" s="770"/>
      <c r="S1099" s="770"/>
      <c r="T1099" s="770"/>
      <c r="U1099" s="93"/>
      <c r="V1099" s="4"/>
      <c r="W1099" s="4"/>
      <c r="X1099" s="4"/>
      <c r="Y1099" s="4"/>
      <c r="Z1099" s="124"/>
    </row>
    <row r="1100" spans="2:26" s="44" customFormat="1" ht="12.75" x14ac:dyDescent="0.2">
      <c r="B1100" s="1144" t="s">
        <v>463</v>
      </c>
      <c r="C1100" s="1145"/>
      <c r="D1100" s="1145"/>
      <c r="E1100" s="1145"/>
      <c r="F1100" s="1145"/>
      <c r="G1100" s="1145"/>
      <c r="H1100" s="1145"/>
      <c r="I1100" s="1145"/>
      <c r="J1100" s="1145"/>
      <c r="K1100" s="1145"/>
      <c r="L1100" s="1146"/>
      <c r="M1100" s="759"/>
      <c r="N1100" s="1144" t="s">
        <v>464</v>
      </c>
      <c r="O1100" s="1145"/>
      <c r="P1100" s="1145"/>
      <c r="Q1100" s="1145"/>
      <c r="R1100" s="1145"/>
      <c r="S1100" s="1145"/>
      <c r="T1100" s="1145"/>
      <c r="U1100" s="1145"/>
      <c r="V1100" s="1145"/>
      <c r="W1100" s="1145"/>
      <c r="X1100" s="1145"/>
      <c r="Y1100" s="1146"/>
      <c r="Z1100" s="124"/>
    </row>
    <row r="1101" spans="2:26" s="44" customFormat="1" ht="12.75" x14ac:dyDescent="0.2">
      <c r="B1101" s="761"/>
      <c r="C1101" s="762"/>
      <c r="D1101" s="1155" t="s">
        <v>441</v>
      </c>
      <c r="E1101" s="1155"/>
      <c r="F1101" s="1155"/>
      <c r="G1101" s="1155"/>
      <c r="H1101" s="1155"/>
      <c r="I1101" s="1155"/>
      <c r="J1101" s="1155"/>
      <c r="K1101" s="1155"/>
      <c r="L1101" s="1156"/>
      <c r="M1101" s="759"/>
      <c r="N1101" s="1157" t="s">
        <v>442</v>
      </c>
      <c r="O1101" s="1158"/>
      <c r="P1101" s="1158"/>
      <c r="Q1101" s="1155" t="s">
        <v>441</v>
      </c>
      <c r="R1101" s="1155"/>
      <c r="S1101" s="1155"/>
      <c r="T1101" s="1155"/>
      <c r="U1101" s="1155"/>
      <c r="V1101" s="1155"/>
      <c r="W1101" s="1155"/>
      <c r="X1101" s="1155"/>
      <c r="Y1101" s="1156"/>
      <c r="Z1101" s="124"/>
    </row>
    <row r="1102" spans="2:26" s="44" customFormat="1" ht="25.5" x14ac:dyDescent="0.2">
      <c r="B1102" s="1159" t="s">
        <v>443</v>
      </c>
      <c r="C1102" s="1160"/>
      <c r="D1102" s="763" t="s">
        <v>444</v>
      </c>
      <c r="E1102" s="763" t="s">
        <v>445</v>
      </c>
      <c r="F1102" s="763" t="s">
        <v>446</v>
      </c>
      <c r="G1102" s="763" t="s">
        <v>447</v>
      </c>
      <c r="H1102" s="763" t="s">
        <v>448</v>
      </c>
      <c r="I1102" s="763" t="s">
        <v>449</v>
      </c>
      <c r="J1102" s="763" t="s">
        <v>450</v>
      </c>
      <c r="K1102" s="763" t="s">
        <v>451</v>
      </c>
      <c r="L1102" s="764" t="s">
        <v>452</v>
      </c>
      <c r="M1102" s="759"/>
      <c r="N1102" s="1157"/>
      <c r="O1102" s="1158"/>
      <c r="P1102" s="1158"/>
      <c r="Q1102" s="763" t="s">
        <v>444</v>
      </c>
      <c r="R1102" s="763" t="s">
        <v>445</v>
      </c>
      <c r="S1102" s="763" t="s">
        <v>446</v>
      </c>
      <c r="T1102" s="763" t="s">
        <v>447</v>
      </c>
      <c r="U1102" s="763" t="s">
        <v>448</v>
      </c>
      <c r="V1102" s="763" t="s">
        <v>449</v>
      </c>
      <c r="W1102" s="763" t="s">
        <v>450</v>
      </c>
      <c r="X1102" s="763" t="s">
        <v>451</v>
      </c>
      <c r="Y1102" s="764" t="s">
        <v>452</v>
      </c>
      <c r="Z1102" s="124"/>
    </row>
    <row r="1103" spans="2:26" s="44" customFormat="1" ht="12.75" x14ac:dyDescent="0.2">
      <c r="B1103" s="1134" t="s">
        <v>453</v>
      </c>
      <c r="C1103" s="1135"/>
      <c r="D1103" s="765">
        <v>0</v>
      </c>
      <c r="E1103" s="765">
        <v>0</v>
      </c>
      <c r="F1103" s="765">
        <v>0</v>
      </c>
      <c r="G1103" s="765">
        <v>-0.125</v>
      </c>
      <c r="H1103" s="765">
        <v>-0.5</v>
      </c>
      <c r="I1103" s="765">
        <v>-0.625</v>
      </c>
      <c r="J1103" s="765">
        <v>-0.5</v>
      </c>
      <c r="K1103" s="765">
        <v>-0.375</v>
      </c>
      <c r="L1103" s="766">
        <v>-0.375</v>
      </c>
      <c r="M1103" s="759"/>
      <c r="N1103" s="1134" t="s">
        <v>454</v>
      </c>
      <c r="O1103" s="1135"/>
      <c r="P1103" s="1135"/>
      <c r="Q1103" s="765">
        <v>0</v>
      </c>
      <c r="R1103" s="765">
        <v>0</v>
      </c>
      <c r="S1103" s="765">
        <v>0</v>
      </c>
      <c r="T1103" s="765">
        <v>0</v>
      </c>
      <c r="U1103" s="765">
        <v>0</v>
      </c>
      <c r="V1103" s="765">
        <v>0</v>
      </c>
      <c r="W1103" s="765">
        <v>0</v>
      </c>
      <c r="X1103" s="765">
        <v>-0.25</v>
      </c>
      <c r="Y1103" s="766">
        <v>-0.25</v>
      </c>
      <c r="Z1103" s="124"/>
    </row>
    <row r="1104" spans="2:26" s="44" customFormat="1" ht="12.75" x14ac:dyDescent="0.2">
      <c r="B1104" s="1134" t="s">
        <v>123</v>
      </c>
      <c r="C1104" s="1135"/>
      <c r="D1104" s="765">
        <v>0</v>
      </c>
      <c r="E1104" s="765">
        <v>0</v>
      </c>
      <c r="F1104" s="765">
        <v>-0.125</v>
      </c>
      <c r="G1104" s="765">
        <v>-0.375</v>
      </c>
      <c r="H1104" s="765">
        <v>-0.875</v>
      </c>
      <c r="I1104" s="765">
        <v>-1</v>
      </c>
      <c r="J1104" s="765">
        <v>-0.75</v>
      </c>
      <c r="K1104" s="765">
        <v>-0.625</v>
      </c>
      <c r="L1104" s="766">
        <v>-0.625</v>
      </c>
      <c r="M1104" s="759"/>
      <c r="N1104" s="1134" t="s">
        <v>128</v>
      </c>
      <c r="O1104" s="1135"/>
      <c r="P1104" s="1135"/>
      <c r="Q1104" s="765">
        <v>-1.125</v>
      </c>
      <c r="R1104" s="765">
        <v>-1.125</v>
      </c>
      <c r="S1104" s="765">
        <v>-1.625</v>
      </c>
      <c r="T1104" s="765">
        <v>-2.125</v>
      </c>
      <c r="U1104" s="765">
        <v>-3.375</v>
      </c>
      <c r="V1104" s="765">
        <v>-4.125</v>
      </c>
      <c r="W1104" s="765">
        <v>-4.125</v>
      </c>
      <c r="X1104" s="765">
        <v>-4.125</v>
      </c>
      <c r="Y1104" s="766">
        <v>-4.125</v>
      </c>
      <c r="Z1104" s="124"/>
    </row>
    <row r="1105" spans="2:26" s="44" customFormat="1" ht="12.75" x14ac:dyDescent="0.2">
      <c r="B1105" s="1134" t="s">
        <v>124</v>
      </c>
      <c r="C1105" s="1135"/>
      <c r="D1105" s="765">
        <v>0</v>
      </c>
      <c r="E1105" s="765">
        <v>0</v>
      </c>
      <c r="F1105" s="765">
        <v>-0.25</v>
      </c>
      <c r="G1105" s="765">
        <v>-0.75</v>
      </c>
      <c r="H1105" s="765">
        <v>-1.125</v>
      </c>
      <c r="I1105" s="765">
        <v>-1.375</v>
      </c>
      <c r="J1105" s="765">
        <v>-1.125</v>
      </c>
      <c r="K1105" s="765">
        <v>-1</v>
      </c>
      <c r="L1105" s="766">
        <v>-1</v>
      </c>
      <c r="M1105" s="759"/>
      <c r="N1105" s="1134" t="s">
        <v>47</v>
      </c>
      <c r="O1105" s="1135"/>
      <c r="P1105" s="1135"/>
      <c r="Q1105" s="765">
        <v>-1.125</v>
      </c>
      <c r="R1105" s="765">
        <v>-1.125</v>
      </c>
      <c r="S1105" s="765">
        <v>-1.625</v>
      </c>
      <c r="T1105" s="765">
        <v>-2.125</v>
      </c>
      <c r="U1105" s="765">
        <v>-3.375</v>
      </c>
      <c r="V1105" s="765">
        <v>-4.125</v>
      </c>
      <c r="W1105" s="765">
        <v>-4.125</v>
      </c>
      <c r="X1105" s="765">
        <v>-4.125</v>
      </c>
      <c r="Y1105" s="766">
        <v>-4.125</v>
      </c>
      <c r="Z1105" s="124"/>
    </row>
    <row r="1106" spans="2:26" s="44" customFormat="1" ht="12.75" x14ac:dyDescent="0.2">
      <c r="B1106" s="1134" t="s">
        <v>402</v>
      </c>
      <c r="C1106" s="1135"/>
      <c r="D1106" s="765">
        <v>0</v>
      </c>
      <c r="E1106" s="765">
        <v>0</v>
      </c>
      <c r="F1106" s="765">
        <v>-0.5</v>
      </c>
      <c r="G1106" s="765">
        <v>-1</v>
      </c>
      <c r="H1106" s="765">
        <v>-1.625</v>
      </c>
      <c r="I1106" s="765">
        <v>-1.75</v>
      </c>
      <c r="J1106" s="765">
        <v>-1.5</v>
      </c>
      <c r="K1106" s="765">
        <v>-1.25</v>
      </c>
      <c r="L1106" s="766">
        <v>-1.25</v>
      </c>
      <c r="M1106" s="759"/>
      <c r="N1106" s="1134" t="s">
        <v>189</v>
      </c>
      <c r="O1106" s="1135"/>
      <c r="P1106" s="1135"/>
      <c r="Q1106" s="765">
        <v>0</v>
      </c>
      <c r="R1106" s="765">
        <v>0</v>
      </c>
      <c r="S1106" s="765">
        <v>-0.125</v>
      </c>
      <c r="T1106" s="765">
        <v>-0.125</v>
      </c>
      <c r="U1106" s="765">
        <v>-0.75</v>
      </c>
      <c r="V1106" s="765">
        <v>-0.75</v>
      </c>
      <c r="W1106" s="765">
        <v>-0.75</v>
      </c>
      <c r="X1106" s="765">
        <v>-0.75</v>
      </c>
      <c r="Y1106" s="766">
        <v>-0.75</v>
      </c>
      <c r="Z1106" s="124"/>
    </row>
    <row r="1107" spans="2:26" s="44" customFormat="1" ht="12.75" x14ac:dyDescent="0.2">
      <c r="B1107" s="1134" t="s">
        <v>403</v>
      </c>
      <c r="C1107" s="1135"/>
      <c r="D1107" s="765">
        <v>0</v>
      </c>
      <c r="E1107" s="765">
        <v>0</v>
      </c>
      <c r="F1107" s="765">
        <v>-0.625</v>
      </c>
      <c r="G1107" s="765">
        <v>-1.25</v>
      </c>
      <c r="H1107" s="765">
        <v>-1.875</v>
      </c>
      <c r="I1107" s="765">
        <v>-2.125</v>
      </c>
      <c r="J1107" s="765">
        <v>-1.75</v>
      </c>
      <c r="K1107" s="765">
        <v>-1.625</v>
      </c>
      <c r="L1107" s="766">
        <v>-1.625</v>
      </c>
      <c r="M1107" s="759"/>
      <c r="N1107" s="1134" t="s">
        <v>9</v>
      </c>
      <c r="O1107" s="1135"/>
      <c r="P1107" s="1135"/>
      <c r="Q1107" s="765">
        <v>-0.5</v>
      </c>
      <c r="R1107" s="765">
        <v>-0.5</v>
      </c>
      <c r="S1107" s="765">
        <v>-0.5</v>
      </c>
      <c r="T1107" s="765">
        <v>-0.5</v>
      </c>
      <c r="U1107" s="765">
        <v>-0.5</v>
      </c>
      <c r="V1107" s="765">
        <v>-0.5</v>
      </c>
      <c r="W1107" s="765">
        <v>-0.5</v>
      </c>
      <c r="X1107" s="765">
        <v>-0.5</v>
      </c>
      <c r="Y1107" s="766">
        <v>-0.5</v>
      </c>
      <c r="Z1107" s="124"/>
    </row>
    <row r="1108" spans="2:26" s="44" customFormat="1" ht="12.75" x14ac:dyDescent="0.2">
      <c r="B1108" s="1134" t="s">
        <v>404</v>
      </c>
      <c r="C1108" s="1135"/>
      <c r="D1108" s="765">
        <v>0</v>
      </c>
      <c r="E1108" s="765">
        <v>0</v>
      </c>
      <c r="F1108" s="765">
        <v>-0.875</v>
      </c>
      <c r="G1108" s="765">
        <v>-1.625</v>
      </c>
      <c r="H1108" s="765">
        <v>-2.25</v>
      </c>
      <c r="I1108" s="765">
        <v>-2.5</v>
      </c>
      <c r="J1108" s="765">
        <v>-2.125</v>
      </c>
      <c r="K1108" s="765">
        <v>-1.75</v>
      </c>
      <c r="L1108" s="766">
        <v>-1.75</v>
      </c>
      <c r="M1108" s="759"/>
      <c r="N1108" s="1134" t="s">
        <v>455</v>
      </c>
      <c r="O1108" s="1135"/>
      <c r="P1108" s="1135"/>
      <c r="Q1108" s="765">
        <v>0</v>
      </c>
      <c r="R1108" s="765">
        <v>0</v>
      </c>
      <c r="S1108" s="765">
        <v>-0.375</v>
      </c>
      <c r="T1108" s="765">
        <v>-0.375</v>
      </c>
      <c r="U1108" s="765">
        <v>-0.625</v>
      </c>
      <c r="V1108" s="765">
        <v>-0.625</v>
      </c>
      <c r="W1108" s="765">
        <v>-0.625</v>
      </c>
      <c r="X1108" s="765">
        <v>-0.625</v>
      </c>
      <c r="Y1108" s="766">
        <v>-0.625</v>
      </c>
      <c r="Z1108" s="124"/>
    </row>
    <row r="1109" spans="2:26" s="44" customFormat="1" ht="12.75" x14ac:dyDescent="0.2">
      <c r="B1109" s="1134" t="s">
        <v>456</v>
      </c>
      <c r="C1109" s="1135"/>
      <c r="D1109" s="765">
        <v>0</v>
      </c>
      <c r="E1109" s="765">
        <v>-0.125</v>
      </c>
      <c r="F1109" s="765">
        <v>-1.125</v>
      </c>
      <c r="G1109" s="765">
        <v>-1.875</v>
      </c>
      <c r="H1109" s="765">
        <v>-2.5</v>
      </c>
      <c r="I1109" s="765">
        <v>-3</v>
      </c>
      <c r="J1109" s="765">
        <v>-2.375</v>
      </c>
      <c r="K1109" s="765">
        <v>-2.125</v>
      </c>
      <c r="L1109" s="766">
        <v>-2.125</v>
      </c>
      <c r="M1109" s="759"/>
      <c r="N1109" s="1134" t="s">
        <v>457</v>
      </c>
      <c r="O1109" s="1135"/>
      <c r="P1109" s="1135"/>
      <c r="Q1109" s="765">
        <v>-0.625</v>
      </c>
      <c r="R1109" s="765">
        <v>-0.625</v>
      </c>
      <c r="S1109" s="765">
        <v>-0.625</v>
      </c>
      <c r="T1109" s="765">
        <v>-0.875</v>
      </c>
      <c r="U1109" s="765">
        <v>-1.125</v>
      </c>
      <c r="V1109" s="765">
        <v>-1.125</v>
      </c>
      <c r="W1109" s="765">
        <v>-1.125</v>
      </c>
      <c r="X1109" s="765">
        <v>-1.875</v>
      </c>
      <c r="Y1109" s="766">
        <v>-1.875</v>
      </c>
      <c r="Z1109" s="124"/>
    </row>
    <row r="1110" spans="2:26" s="44" customFormat="1" ht="12.75" x14ac:dyDescent="0.2">
      <c r="B1110" s="1134" t="s">
        <v>458</v>
      </c>
      <c r="C1110" s="1135"/>
      <c r="D1110" s="765">
        <v>0</v>
      </c>
      <c r="E1110" s="765">
        <v>-0.25</v>
      </c>
      <c r="F1110" s="765">
        <v>-1.375</v>
      </c>
      <c r="G1110" s="765">
        <v>-2.125</v>
      </c>
      <c r="H1110" s="765">
        <v>-2.875</v>
      </c>
      <c r="I1110" s="765">
        <v>-3.375</v>
      </c>
      <c r="J1110" s="765">
        <v>-2.875</v>
      </c>
      <c r="K1110" s="765">
        <v>-2.5</v>
      </c>
      <c r="L1110" s="766">
        <v>-2.5</v>
      </c>
      <c r="M1110" s="759"/>
      <c r="N1110" s="1134" t="s">
        <v>459</v>
      </c>
      <c r="O1110" s="1135"/>
      <c r="P1110" s="1135"/>
      <c r="Q1110" s="765">
        <v>-0.5</v>
      </c>
      <c r="R1110" s="765">
        <v>-0.5</v>
      </c>
      <c r="S1110" s="765">
        <v>-0.75</v>
      </c>
      <c r="T1110" s="765">
        <v>-0.75</v>
      </c>
      <c r="U1110" s="765">
        <v>-1</v>
      </c>
      <c r="V1110" s="765">
        <v>-1</v>
      </c>
      <c r="W1110" s="765">
        <v>-1</v>
      </c>
      <c r="X1110" s="765">
        <v>-1</v>
      </c>
      <c r="Y1110" s="766">
        <v>-1</v>
      </c>
      <c r="Z1110" s="124"/>
    </row>
    <row r="1111" spans="2:26" s="44" customFormat="1" ht="12.75" x14ac:dyDescent="0.2">
      <c r="B1111" s="1134" t="s">
        <v>460</v>
      </c>
      <c r="C1111" s="1135"/>
      <c r="D1111" s="765">
        <v>0</v>
      </c>
      <c r="E1111" s="765">
        <v>-0.375</v>
      </c>
      <c r="F1111" s="765">
        <v>-1.75</v>
      </c>
      <c r="G1111" s="765">
        <v>-2.5</v>
      </c>
      <c r="H1111" s="765">
        <v>-3.5</v>
      </c>
      <c r="I1111" s="765">
        <v>-3.875</v>
      </c>
      <c r="J1111" s="765">
        <v>-3.625</v>
      </c>
      <c r="K1111" s="765">
        <v>-2.5</v>
      </c>
      <c r="L1111" s="766">
        <v>-2.5</v>
      </c>
      <c r="M1111" s="759"/>
      <c r="N1111" s="1134" t="s">
        <v>461</v>
      </c>
      <c r="O1111" s="1135"/>
      <c r="P1111" s="1135"/>
      <c r="Q1111" s="765">
        <v>-1.25</v>
      </c>
      <c r="R1111" s="765">
        <v>-1.25</v>
      </c>
      <c r="S1111" s="765">
        <v>-1.5</v>
      </c>
      <c r="T1111" s="765">
        <v>-1.5</v>
      </c>
      <c r="U1111" s="765">
        <v>-2.5</v>
      </c>
      <c r="V1111" s="765">
        <v>-2.5</v>
      </c>
      <c r="W1111" s="765">
        <v>-2.5</v>
      </c>
      <c r="X1111" s="765">
        <v>-2.75</v>
      </c>
      <c r="Y1111" s="766">
        <v>-2.75</v>
      </c>
      <c r="Z1111" s="124"/>
    </row>
    <row r="1112" spans="2:26" s="44" customFormat="1" ht="13.5" thickBot="1" x14ac:dyDescent="0.25">
      <c r="B1112" s="1142" t="s">
        <v>462</v>
      </c>
      <c r="C1112" s="1143"/>
      <c r="D1112" s="767" t="s">
        <v>77</v>
      </c>
      <c r="E1112" s="767" t="s">
        <v>77</v>
      </c>
      <c r="F1112" s="767" t="s">
        <v>77</v>
      </c>
      <c r="G1112" s="767" t="s">
        <v>77</v>
      </c>
      <c r="H1112" s="767" t="s">
        <v>77</v>
      </c>
      <c r="I1112" s="767" t="s">
        <v>77</v>
      </c>
      <c r="J1112" s="767" t="s">
        <v>77</v>
      </c>
      <c r="K1112" s="767" t="s">
        <v>77</v>
      </c>
      <c r="L1112" s="768" t="s">
        <v>77</v>
      </c>
      <c r="M1112" s="759"/>
      <c r="N1112" s="1142" t="s">
        <v>222</v>
      </c>
      <c r="O1112" s="1143"/>
      <c r="P1112" s="1143"/>
      <c r="Q1112" s="767">
        <v>0</v>
      </c>
      <c r="R1112" s="767">
        <v>0</v>
      </c>
      <c r="S1112" s="767">
        <v>0</v>
      </c>
      <c r="T1112" s="767">
        <v>0</v>
      </c>
      <c r="U1112" s="767">
        <v>0</v>
      </c>
      <c r="V1112" s="767">
        <v>0</v>
      </c>
      <c r="W1112" s="767">
        <v>0</v>
      </c>
      <c r="X1112" s="767">
        <v>0</v>
      </c>
      <c r="Y1112" s="768">
        <v>0</v>
      </c>
      <c r="Z1112" s="124"/>
    </row>
    <row r="1113" spans="2:26" s="44" customFormat="1" ht="13.5" thickBot="1" x14ac:dyDescent="0.25">
      <c r="B1113" s="769"/>
      <c r="C1113" s="759"/>
      <c r="D1113" s="759"/>
      <c r="E1113" s="759"/>
      <c r="F1113" s="759"/>
      <c r="G1113" s="759"/>
      <c r="H1113" s="759"/>
      <c r="I1113" s="759"/>
      <c r="J1113" s="759"/>
      <c r="K1113" s="759"/>
      <c r="L1113" s="759"/>
      <c r="M1113" s="759"/>
      <c r="N1113" s="770"/>
      <c r="O1113" s="770"/>
      <c r="P1113" s="770"/>
      <c r="Q1113" s="770"/>
      <c r="R1113" s="770"/>
      <c r="S1113" s="770"/>
      <c r="T1113" s="123"/>
      <c r="U1113" s="93"/>
      <c r="V1113" s="4"/>
      <c r="W1113" s="4"/>
      <c r="X1113" s="4"/>
      <c r="Y1113" s="4"/>
      <c r="Z1113" s="124"/>
    </row>
    <row r="1114" spans="2:26" s="44" customFormat="1" ht="12.75" x14ac:dyDescent="0.2">
      <c r="B1114" s="1144" t="s">
        <v>465</v>
      </c>
      <c r="C1114" s="1145"/>
      <c r="D1114" s="1145"/>
      <c r="E1114" s="1145"/>
      <c r="F1114" s="1145"/>
      <c r="G1114" s="1145"/>
      <c r="H1114" s="1145"/>
      <c r="I1114" s="1145"/>
      <c r="J1114" s="1145"/>
      <c r="K1114" s="1145"/>
      <c r="L1114" s="1146"/>
      <c r="M1114" s="759"/>
      <c r="N1114" s="1144" t="s">
        <v>466</v>
      </c>
      <c r="O1114" s="1145"/>
      <c r="P1114" s="1145"/>
      <c r="Q1114" s="1145"/>
      <c r="R1114" s="1145"/>
      <c r="S1114" s="1145"/>
      <c r="T1114" s="1145"/>
      <c r="U1114" s="1145"/>
      <c r="V1114" s="1145"/>
      <c r="W1114" s="1145"/>
      <c r="X1114" s="1145"/>
      <c r="Y1114" s="1146"/>
      <c r="Z1114" s="124"/>
    </row>
    <row r="1115" spans="2:26" s="44" customFormat="1" ht="12.75" x14ac:dyDescent="0.2">
      <c r="B1115" s="761"/>
      <c r="C1115" s="762"/>
      <c r="D1115" s="1155" t="s">
        <v>441</v>
      </c>
      <c r="E1115" s="1155"/>
      <c r="F1115" s="1155"/>
      <c r="G1115" s="1155"/>
      <c r="H1115" s="1155"/>
      <c r="I1115" s="1155"/>
      <c r="J1115" s="1155"/>
      <c r="K1115" s="1155"/>
      <c r="L1115" s="1156"/>
      <c r="M1115" s="759"/>
      <c r="N1115" s="1189" t="s">
        <v>442</v>
      </c>
      <c r="O1115" s="1158"/>
      <c r="P1115" s="1158"/>
      <c r="Q1115" s="1155" t="s">
        <v>441</v>
      </c>
      <c r="R1115" s="1155"/>
      <c r="S1115" s="1155"/>
      <c r="T1115" s="1155"/>
      <c r="U1115" s="1155"/>
      <c r="V1115" s="1155"/>
      <c r="W1115" s="1155"/>
      <c r="X1115" s="1155"/>
      <c r="Y1115" s="1156"/>
      <c r="Z1115" s="124"/>
    </row>
    <row r="1116" spans="2:26" s="44" customFormat="1" ht="25.5" x14ac:dyDescent="0.2">
      <c r="B1116" s="1159" t="s">
        <v>443</v>
      </c>
      <c r="C1116" s="1160"/>
      <c r="D1116" s="763" t="s">
        <v>444</v>
      </c>
      <c r="E1116" s="763" t="s">
        <v>445</v>
      </c>
      <c r="F1116" s="763" t="s">
        <v>446</v>
      </c>
      <c r="G1116" s="763" t="s">
        <v>447</v>
      </c>
      <c r="H1116" s="763" t="s">
        <v>448</v>
      </c>
      <c r="I1116" s="763" t="s">
        <v>449</v>
      </c>
      <c r="J1116" s="763" t="s">
        <v>450</v>
      </c>
      <c r="K1116" s="763" t="s">
        <v>451</v>
      </c>
      <c r="L1116" s="764" t="s">
        <v>452</v>
      </c>
      <c r="M1116" s="759"/>
      <c r="N1116" s="1189"/>
      <c r="O1116" s="1158"/>
      <c r="P1116" s="1158"/>
      <c r="Q1116" s="763" t="s">
        <v>444</v>
      </c>
      <c r="R1116" s="763" t="s">
        <v>445</v>
      </c>
      <c r="S1116" s="763" t="s">
        <v>446</v>
      </c>
      <c r="T1116" s="763" t="s">
        <v>447</v>
      </c>
      <c r="U1116" s="763" t="s">
        <v>448</v>
      </c>
      <c r="V1116" s="763" t="s">
        <v>449</v>
      </c>
      <c r="W1116" s="763" t="s">
        <v>450</v>
      </c>
      <c r="X1116" s="763" t="s">
        <v>451</v>
      </c>
      <c r="Y1116" s="764" t="s">
        <v>452</v>
      </c>
      <c r="Z1116" s="124"/>
    </row>
    <row r="1117" spans="2:26" s="44" customFormat="1" ht="12.75" x14ac:dyDescent="0.2">
      <c r="B1117" s="1134" t="s">
        <v>453</v>
      </c>
      <c r="C1117" s="1135"/>
      <c r="D1117" s="765">
        <v>-0.375</v>
      </c>
      <c r="E1117" s="765">
        <v>-0.375</v>
      </c>
      <c r="F1117" s="765">
        <v>-0.625</v>
      </c>
      <c r="G1117" s="765">
        <v>-0.875</v>
      </c>
      <c r="H1117" s="765">
        <v>-1.375</v>
      </c>
      <c r="I1117" s="771" t="s">
        <v>467</v>
      </c>
      <c r="J1117" s="765" t="s">
        <v>467</v>
      </c>
      <c r="K1117" s="765" t="s">
        <v>467</v>
      </c>
      <c r="L1117" s="766" t="s">
        <v>467</v>
      </c>
      <c r="M1117" s="759"/>
      <c r="N1117" s="1134" t="s">
        <v>454</v>
      </c>
      <c r="O1117" s="1135"/>
      <c r="P1117" s="1135"/>
      <c r="Q1117" s="765">
        <v>0</v>
      </c>
      <c r="R1117" s="765">
        <v>0</v>
      </c>
      <c r="S1117" s="765">
        <v>0</v>
      </c>
      <c r="T1117" s="765">
        <v>0</v>
      </c>
      <c r="U1117" s="765">
        <v>0</v>
      </c>
      <c r="V1117" s="771" t="s">
        <v>467</v>
      </c>
      <c r="W1117" s="765" t="s">
        <v>467</v>
      </c>
      <c r="X1117" s="765" t="s">
        <v>467</v>
      </c>
      <c r="Y1117" s="766" t="s">
        <v>467</v>
      </c>
      <c r="Z1117" s="124"/>
    </row>
    <row r="1118" spans="2:26" s="44" customFormat="1" ht="12.75" x14ac:dyDescent="0.2">
      <c r="B1118" s="1134" t="s">
        <v>123</v>
      </c>
      <c r="C1118" s="1135"/>
      <c r="D1118" s="765">
        <v>-0.375</v>
      </c>
      <c r="E1118" s="765">
        <v>-0.375</v>
      </c>
      <c r="F1118" s="765">
        <v>-0.875</v>
      </c>
      <c r="G1118" s="765">
        <v>-1.25</v>
      </c>
      <c r="H1118" s="765">
        <v>-1.875</v>
      </c>
      <c r="I1118" s="765" t="s">
        <v>467</v>
      </c>
      <c r="J1118" s="765" t="s">
        <v>467</v>
      </c>
      <c r="K1118" s="765" t="s">
        <v>467</v>
      </c>
      <c r="L1118" s="766" t="s">
        <v>467</v>
      </c>
      <c r="M1118" s="759"/>
      <c r="N1118" s="1134" t="s">
        <v>128</v>
      </c>
      <c r="O1118" s="1135"/>
      <c r="P1118" s="1135"/>
      <c r="Q1118" s="765">
        <v>-1.125</v>
      </c>
      <c r="R1118" s="765">
        <v>-1.125</v>
      </c>
      <c r="S1118" s="765">
        <v>-1.625</v>
      </c>
      <c r="T1118" s="765">
        <v>-2.125</v>
      </c>
      <c r="U1118" s="765">
        <v>-3.375</v>
      </c>
      <c r="V1118" s="765" t="s">
        <v>467</v>
      </c>
      <c r="W1118" s="765" t="s">
        <v>467</v>
      </c>
      <c r="X1118" s="765" t="s">
        <v>467</v>
      </c>
      <c r="Y1118" s="766" t="s">
        <v>467</v>
      </c>
      <c r="Z1118" s="124"/>
    </row>
    <row r="1119" spans="2:26" s="44" customFormat="1" ht="12.75" x14ac:dyDescent="0.2">
      <c r="B1119" s="1134" t="s">
        <v>124</v>
      </c>
      <c r="C1119" s="1135"/>
      <c r="D1119" s="765">
        <v>-0.375</v>
      </c>
      <c r="E1119" s="765">
        <v>-0.375</v>
      </c>
      <c r="F1119" s="765">
        <v>-1</v>
      </c>
      <c r="G1119" s="765">
        <v>-1.625</v>
      </c>
      <c r="H1119" s="765">
        <v>-2.375</v>
      </c>
      <c r="I1119" s="765" t="s">
        <v>467</v>
      </c>
      <c r="J1119" s="765" t="s">
        <v>467</v>
      </c>
      <c r="K1119" s="765" t="s">
        <v>467</v>
      </c>
      <c r="L1119" s="766" t="s">
        <v>467</v>
      </c>
      <c r="M1119" s="759"/>
      <c r="N1119" s="1134" t="s">
        <v>47</v>
      </c>
      <c r="O1119" s="1135"/>
      <c r="P1119" s="1135"/>
      <c r="Q1119" s="765">
        <v>-1.125</v>
      </c>
      <c r="R1119" s="765">
        <v>-1.125</v>
      </c>
      <c r="S1119" s="765">
        <v>-1.625</v>
      </c>
      <c r="T1119" s="765">
        <v>-2.125</v>
      </c>
      <c r="U1119" s="765">
        <v>-3.375</v>
      </c>
      <c r="V1119" s="765" t="s">
        <v>467</v>
      </c>
      <c r="W1119" s="765" t="s">
        <v>467</v>
      </c>
      <c r="X1119" s="765" t="s">
        <v>467</v>
      </c>
      <c r="Y1119" s="766" t="s">
        <v>467</v>
      </c>
      <c r="Z1119" s="124"/>
    </row>
    <row r="1120" spans="2:26" s="44" customFormat="1" ht="12.75" x14ac:dyDescent="0.2">
      <c r="B1120" s="1134" t="s">
        <v>402</v>
      </c>
      <c r="C1120" s="1135"/>
      <c r="D1120" s="765">
        <v>-0.375</v>
      </c>
      <c r="E1120" s="765">
        <v>-0.5</v>
      </c>
      <c r="F1120" s="765">
        <v>-1.375</v>
      </c>
      <c r="G1120" s="765">
        <v>-2</v>
      </c>
      <c r="H1120" s="765">
        <v>-2.75</v>
      </c>
      <c r="I1120" s="765" t="s">
        <v>467</v>
      </c>
      <c r="J1120" s="765" t="s">
        <v>467</v>
      </c>
      <c r="K1120" s="765" t="s">
        <v>467</v>
      </c>
      <c r="L1120" s="766" t="s">
        <v>467</v>
      </c>
      <c r="M1120" s="759"/>
      <c r="N1120" s="1134" t="s">
        <v>189</v>
      </c>
      <c r="O1120" s="1135"/>
      <c r="P1120" s="1135"/>
      <c r="Q1120" s="765">
        <v>0</v>
      </c>
      <c r="R1120" s="765">
        <v>0</v>
      </c>
      <c r="S1120" s="765">
        <v>-0.125</v>
      </c>
      <c r="T1120" s="765">
        <v>-0.125</v>
      </c>
      <c r="U1120" s="765">
        <v>-0.75</v>
      </c>
      <c r="V1120" s="765" t="s">
        <v>467</v>
      </c>
      <c r="W1120" s="765" t="s">
        <v>467</v>
      </c>
      <c r="X1120" s="765" t="s">
        <v>467</v>
      </c>
      <c r="Y1120" s="766" t="s">
        <v>467</v>
      </c>
      <c r="Z1120" s="124"/>
    </row>
    <row r="1121" spans="2:26" s="44" customFormat="1" ht="12.75" x14ac:dyDescent="0.2">
      <c r="B1121" s="1134" t="s">
        <v>403</v>
      </c>
      <c r="C1121" s="1135"/>
      <c r="D1121" s="765">
        <v>-0.375</v>
      </c>
      <c r="E1121" s="765">
        <v>-0.5</v>
      </c>
      <c r="F1121" s="765">
        <v>-1.625</v>
      </c>
      <c r="G1121" s="765">
        <v>-2.625</v>
      </c>
      <c r="H1121" s="765">
        <v>-3.25</v>
      </c>
      <c r="I1121" s="765" t="s">
        <v>467</v>
      </c>
      <c r="J1121" s="765" t="s">
        <v>467</v>
      </c>
      <c r="K1121" s="765" t="s">
        <v>467</v>
      </c>
      <c r="L1121" s="766" t="s">
        <v>467</v>
      </c>
      <c r="M1121" s="759"/>
      <c r="N1121" s="1134" t="s">
        <v>9</v>
      </c>
      <c r="O1121" s="1135"/>
      <c r="P1121" s="1135"/>
      <c r="Q1121" s="765">
        <v>-0.5</v>
      </c>
      <c r="R1121" s="765">
        <v>-0.5</v>
      </c>
      <c r="S1121" s="765">
        <v>-0.5</v>
      </c>
      <c r="T1121" s="765">
        <v>-0.5</v>
      </c>
      <c r="U1121" s="765">
        <v>-0.5</v>
      </c>
      <c r="V1121" s="765" t="s">
        <v>467</v>
      </c>
      <c r="W1121" s="765" t="s">
        <v>467</v>
      </c>
      <c r="X1121" s="765" t="s">
        <v>467</v>
      </c>
      <c r="Y1121" s="766" t="s">
        <v>467</v>
      </c>
      <c r="Z1121" s="124"/>
    </row>
    <row r="1122" spans="2:26" s="44" customFormat="1" ht="12.75" x14ac:dyDescent="0.2">
      <c r="B1122" s="1134" t="s">
        <v>404</v>
      </c>
      <c r="C1122" s="1135"/>
      <c r="D1122" s="765">
        <v>-0.375</v>
      </c>
      <c r="E1122" s="765">
        <v>-0.625</v>
      </c>
      <c r="F1122" s="765">
        <v>-2</v>
      </c>
      <c r="G1122" s="765">
        <v>-2.875</v>
      </c>
      <c r="H1122" s="765">
        <v>-3.75</v>
      </c>
      <c r="I1122" s="765" t="s">
        <v>467</v>
      </c>
      <c r="J1122" s="765" t="s">
        <v>467</v>
      </c>
      <c r="K1122" s="765" t="s">
        <v>467</v>
      </c>
      <c r="L1122" s="766" t="s">
        <v>467</v>
      </c>
      <c r="M1122" s="759"/>
      <c r="N1122" s="1134" t="s">
        <v>455</v>
      </c>
      <c r="O1122" s="1135"/>
      <c r="P1122" s="1135"/>
      <c r="Q1122" s="765">
        <v>0</v>
      </c>
      <c r="R1122" s="765">
        <v>0</v>
      </c>
      <c r="S1122" s="765">
        <v>-0.375</v>
      </c>
      <c r="T1122" s="765">
        <v>-0.375</v>
      </c>
      <c r="U1122" s="765">
        <v>-0.625</v>
      </c>
      <c r="V1122" s="765" t="s">
        <v>467</v>
      </c>
      <c r="W1122" s="765" t="s">
        <v>467</v>
      </c>
      <c r="X1122" s="765" t="s">
        <v>467</v>
      </c>
      <c r="Y1122" s="766" t="s">
        <v>467</v>
      </c>
      <c r="Z1122" s="124"/>
    </row>
    <row r="1123" spans="2:26" s="44" customFormat="1" ht="12.75" x14ac:dyDescent="0.2">
      <c r="B1123" s="1134" t="s">
        <v>456</v>
      </c>
      <c r="C1123" s="1135"/>
      <c r="D1123" s="765">
        <v>-0.375</v>
      </c>
      <c r="E1123" s="765">
        <v>-0.875</v>
      </c>
      <c r="F1123" s="765">
        <v>-2.75</v>
      </c>
      <c r="G1123" s="765">
        <v>-4</v>
      </c>
      <c r="H1123" s="765">
        <v>-4.75</v>
      </c>
      <c r="I1123" s="765" t="s">
        <v>467</v>
      </c>
      <c r="J1123" s="765" t="s">
        <v>467</v>
      </c>
      <c r="K1123" s="765" t="s">
        <v>467</v>
      </c>
      <c r="L1123" s="766" t="s">
        <v>467</v>
      </c>
      <c r="M1123" s="759"/>
      <c r="N1123" s="1134" t="s">
        <v>457</v>
      </c>
      <c r="O1123" s="1135"/>
      <c r="P1123" s="1135"/>
      <c r="Q1123" s="765">
        <v>-0.625</v>
      </c>
      <c r="R1123" s="765">
        <v>-0.625</v>
      </c>
      <c r="S1123" s="765">
        <v>-0.625</v>
      </c>
      <c r="T1123" s="765">
        <v>-0.875</v>
      </c>
      <c r="U1123" s="765">
        <v>-1.125</v>
      </c>
      <c r="V1123" s="765" t="s">
        <v>467</v>
      </c>
      <c r="W1123" s="765" t="s">
        <v>467</v>
      </c>
      <c r="X1123" s="765" t="s">
        <v>467</v>
      </c>
      <c r="Y1123" s="766" t="s">
        <v>467</v>
      </c>
      <c r="Z1123" s="124"/>
    </row>
    <row r="1124" spans="2:26" s="44" customFormat="1" ht="12.75" x14ac:dyDescent="0.2">
      <c r="B1124" s="1134" t="s">
        <v>458</v>
      </c>
      <c r="C1124" s="1135"/>
      <c r="D1124" s="765">
        <v>-0.375</v>
      </c>
      <c r="E1124" s="765">
        <v>-1.375</v>
      </c>
      <c r="F1124" s="765">
        <v>-3.125</v>
      </c>
      <c r="G1124" s="765">
        <v>-4.625</v>
      </c>
      <c r="H1124" s="765">
        <v>-5.125</v>
      </c>
      <c r="I1124" s="765" t="s">
        <v>467</v>
      </c>
      <c r="J1124" s="765" t="s">
        <v>467</v>
      </c>
      <c r="K1124" s="765" t="s">
        <v>467</v>
      </c>
      <c r="L1124" s="766" t="s">
        <v>467</v>
      </c>
      <c r="M1124" s="759"/>
      <c r="N1124" s="1134" t="s">
        <v>459</v>
      </c>
      <c r="O1124" s="1135"/>
      <c r="P1124" s="1135"/>
      <c r="Q1124" s="765">
        <v>-1.25</v>
      </c>
      <c r="R1124" s="765">
        <v>-1.25</v>
      </c>
      <c r="S1124" s="765">
        <v>-1.5</v>
      </c>
      <c r="T1124" s="765">
        <v>-1.5</v>
      </c>
      <c r="U1124" s="765">
        <v>-1.75</v>
      </c>
      <c r="V1124" s="765" t="s">
        <v>467</v>
      </c>
      <c r="W1124" s="765" t="s">
        <v>467</v>
      </c>
      <c r="X1124" s="765" t="s">
        <v>467</v>
      </c>
      <c r="Y1124" s="766" t="s">
        <v>467</v>
      </c>
      <c r="Z1124" s="124"/>
    </row>
    <row r="1125" spans="2:26" s="44" customFormat="1" ht="12.75" x14ac:dyDescent="0.2">
      <c r="B1125" s="1134" t="s">
        <v>460</v>
      </c>
      <c r="C1125" s="1135"/>
      <c r="D1125" s="765">
        <v>-0.375</v>
      </c>
      <c r="E1125" s="765">
        <v>-1.375</v>
      </c>
      <c r="F1125" s="765">
        <v>-3.375</v>
      </c>
      <c r="G1125" s="765">
        <v>-4.875</v>
      </c>
      <c r="H1125" s="765">
        <v>-5.125</v>
      </c>
      <c r="I1125" s="765" t="s">
        <v>467</v>
      </c>
      <c r="J1125" s="765" t="s">
        <v>467</v>
      </c>
      <c r="K1125" s="765" t="s">
        <v>467</v>
      </c>
      <c r="L1125" s="766" t="s">
        <v>467</v>
      </c>
      <c r="M1125" s="759"/>
      <c r="N1125" s="1134" t="s">
        <v>461</v>
      </c>
      <c r="O1125" s="1135"/>
      <c r="P1125" s="1135"/>
      <c r="Q1125" s="765">
        <v>-2</v>
      </c>
      <c r="R1125" s="765">
        <v>-2</v>
      </c>
      <c r="S1125" s="765">
        <v>-2.25</v>
      </c>
      <c r="T1125" s="765">
        <v>-2.25</v>
      </c>
      <c r="U1125" s="765">
        <v>-3.25</v>
      </c>
      <c r="V1125" s="765" t="s">
        <v>467</v>
      </c>
      <c r="W1125" s="765" t="s">
        <v>467</v>
      </c>
      <c r="X1125" s="765" t="s">
        <v>467</v>
      </c>
      <c r="Y1125" s="766" t="s">
        <v>467</v>
      </c>
      <c r="Z1125" s="124"/>
    </row>
    <row r="1126" spans="2:26" s="44" customFormat="1" ht="13.5" thickBot="1" x14ac:dyDescent="0.25">
      <c r="B1126" s="1142" t="s">
        <v>462</v>
      </c>
      <c r="C1126" s="1143"/>
      <c r="D1126" s="767" t="s">
        <v>77</v>
      </c>
      <c r="E1126" s="767" t="s">
        <v>77</v>
      </c>
      <c r="F1126" s="767" t="s">
        <v>77</v>
      </c>
      <c r="G1126" s="767" t="s">
        <v>77</v>
      </c>
      <c r="H1126" s="767" t="s">
        <v>77</v>
      </c>
      <c r="I1126" s="767" t="s">
        <v>77</v>
      </c>
      <c r="J1126" s="767" t="s">
        <v>77</v>
      </c>
      <c r="K1126" s="767" t="s">
        <v>77</v>
      </c>
      <c r="L1126" s="768" t="s">
        <v>77</v>
      </c>
      <c r="M1126" s="759"/>
      <c r="N1126" s="1142" t="s">
        <v>222</v>
      </c>
      <c r="O1126" s="1143"/>
      <c r="P1126" s="1143"/>
      <c r="Q1126" s="767">
        <v>0</v>
      </c>
      <c r="R1126" s="767">
        <v>0</v>
      </c>
      <c r="S1126" s="767">
        <v>0</v>
      </c>
      <c r="T1126" s="767">
        <v>0</v>
      </c>
      <c r="U1126" s="767">
        <v>0</v>
      </c>
      <c r="V1126" s="767" t="s">
        <v>467</v>
      </c>
      <c r="W1126" s="767" t="s">
        <v>467</v>
      </c>
      <c r="X1126" s="767" t="s">
        <v>467</v>
      </c>
      <c r="Y1126" s="768" t="s">
        <v>467</v>
      </c>
      <c r="Z1126" s="124"/>
    </row>
    <row r="1127" spans="2:26" s="44" customFormat="1" ht="13.5" thickBot="1" x14ac:dyDescent="0.25">
      <c r="B1127" s="769"/>
      <c r="C1127" s="759"/>
      <c r="D1127" s="772"/>
      <c r="E1127" s="772"/>
      <c r="F1127" s="772"/>
      <c r="G1127" s="772"/>
      <c r="H1127" s="772"/>
      <c r="I1127" s="772"/>
      <c r="J1127" s="772"/>
      <c r="K1127" s="772"/>
      <c r="L1127" s="759"/>
      <c r="M1127" s="759"/>
      <c r="N1127" s="759"/>
      <c r="O1127" s="759"/>
      <c r="P1127" s="759"/>
      <c r="Q1127" s="759"/>
      <c r="R1127" s="759"/>
      <c r="S1127" s="759"/>
      <c r="T1127" s="759"/>
      <c r="U1127" s="759"/>
      <c r="V1127" s="759"/>
      <c r="W1127" s="4"/>
      <c r="X1127" s="4"/>
      <c r="Y1127" s="4"/>
      <c r="Z1127" s="124"/>
    </row>
    <row r="1128" spans="2:26" s="44" customFormat="1" ht="12.75" x14ac:dyDescent="0.2">
      <c r="B1128" s="1144" t="s">
        <v>468</v>
      </c>
      <c r="C1128" s="1145"/>
      <c r="D1128" s="1145"/>
      <c r="E1128" s="1145"/>
      <c r="F1128" s="1145"/>
      <c r="G1128" s="1145"/>
      <c r="H1128" s="1145"/>
      <c r="I1128" s="1145"/>
      <c r="J1128" s="1145"/>
      <c r="K1128" s="1145"/>
      <c r="L1128" s="1145"/>
      <c r="M1128" s="1145"/>
      <c r="N1128" s="1145"/>
      <c r="O1128" s="1146"/>
      <c r="Q1128" s="464" t="s">
        <v>82</v>
      </c>
      <c r="R1128" s="465"/>
      <c r="S1128" s="465"/>
      <c r="T1128" s="466" t="s">
        <v>80</v>
      </c>
      <c r="U1128" s="467" t="s">
        <v>81</v>
      </c>
      <c r="W1128" s="468" t="s">
        <v>295</v>
      </c>
      <c r="X1128" s="469"/>
      <c r="Y1128" s="469"/>
      <c r="Z1128" s="470"/>
    </row>
    <row r="1129" spans="2:26" s="44" customFormat="1" ht="12.75" x14ac:dyDescent="0.2">
      <c r="B1129" s="1157" t="s">
        <v>442</v>
      </c>
      <c r="C1129" s="1158"/>
      <c r="D1129" s="1158"/>
      <c r="E1129" s="1158"/>
      <c r="F1129" s="1158"/>
      <c r="G1129" s="1155" t="s">
        <v>441</v>
      </c>
      <c r="H1129" s="1155"/>
      <c r="I1129" s="1155"/>
      <c r="J1129" s="1155"/>
      <c r="K1129" s="1155"/>
      <c r="L1129" s="1155"/>
      <c r="M1129" s="1155"/>
      <c r="N1129" s="1155"/>
      <c r="O1129" s="1156"/>
      <c r="Q1129" s="471" t="s">
        <v>93</v>
      </c>
      <c r="R1129" s="472"/>
      <c r="S1129" s="472"/>
      <c r="T1129" s="361">
        <v>-0.5</v>
      </c>
      <c r="U1129" s="25">
        <v>-0.5</v>
      </c>
      <c r="W1129" s="86" t="s">
        <v>305</v>
      </c>
      <c r="X1129" s="80"/>
      <c r="Y1129" s="80"/>
      <c r="Z1129" s="115">
        <v>-0.02</v>
      </c>
    </row>
    <row r="1130" spans="2:26" s="44" customFormat="1" ht="25.5" x14ac:dyDescent="0.2">
      <c r="B1130" s="1157"/>
      <c r="C1130" s="1158"/>
      <c r="D1130" s="1158"/>
      <c r="E1130" s="1158"/>
      <c r="F1130" s="1158"/>
      <c r="G1130" s="763" t="s">
        <v>444</v>
      </c>
      <c r="H1130" s="763" t="s">
        <v>445</v>
      </c>
      <c r="I1130" s="763" t="s">
        <v>446</v>
      </c>
      <c r="J1130" s="763" t="s">
        <v>447</v>
      </c>
      <c r="K1130" s="763" t="s">
        <v>448</v>
      </c>
      <c r="L1130" s="763" t="s">
        <v>449</v>
      </c>
      <c r="M1130" s="763" t="s">
        <v>450</v>
      </c>
      <c r="N1130" s="763" t="s">
        <v>451</v>
      </c>
      <c r="O1130" s="764" t="s">
        <v>452</v>
      </c>
      <c r="Q1130" s="154" t="s">
        <v>94</v>
      </c>
      <c r="R1130" s="24"/>
      <c r="S1130" s="24"/>
      <c r="T1130" s="361">
        <v>0</v>
      </c>
      <c r="U1130" s="25">
        <v>0</v>
      </c>
      <c r="W1130" s="86" t="s">
        <v>306</v>
      </c>
      <c r="X1130" s="80"/>
      <c r="Y1130" s="80"/>
      <c r="Z1130" s="115">
        <v>-0.02</v>
      </c>
    </row>
    <row r="1131" spans="2:26" s="44" customFormat="1" ht="12.75" x14ac:dyDescent="0.2">
      <c r="B1131" s="1134" t="s">
        <v>469</v>
      </c>
      <c r="C1131" s="1135"/>
      <c r="D1131" s="1135"/>
      <c r="E1131" s="1135"/>
      <c r="F1131" s="1135"/>
      <c r="G1131" s="765">
        <v>0</v>
      </c>
      <c r="H1131" s="765">
        <v>0</v>
      </c>
      <c r="I1131" s="765">
        <v>0</v>
      </c>
      <c r="J1131" s="765">
        <v>0</v>
      </c>
      <c r="K1131" s="765">
        <v>0</v>
      </c>
      <c r="L1131" s="765">
        <v>0</v>
      </c>
      <c r="M1131" s="765">
        <v>0</v>
      </c>
      <c r="N1131" s="765">
        <v>0</v>
      </c>
      <c r="O1131" s="766">
        <v>0</v>
      </c>
      <c r="Q1131" s="154" t="s">
        <v>79</v>
      </c>
      <c r="R1131" s="24"/>
      <c r="S1131" s="24"/>
      <c r="T1131" s="361">
        <v>2.5000000000000001E-2</v>
      </c>
      <c r="U1131" s="25">
        <v>2.5000000000000001E-2</v>
      </c>
      <c r="W1131" s="86" t="s">
        <v>307</v>
      </c>
      <c r="X1131" s="80"/>
      <c r="Y1131" s="80"/>
      <c r="Z1131" s="115">
        <v>-0.04</v>
      </c>
    </row>
    <row r="1132" spans="2:26" s="44" customFormat="1" ht="12.75" x14ac:dyDescent="0.2">
      <c r="B1132" s="1134" t="s">
        <v>517</v>
      </c>
      <c r="C1132" s="1135"/>
      <c r="D1132" s="1135"/>
      <c r="E1132" s="1135"/>
      <c r="F1132" s="1135"/>
      <c r="G1132" s="765">
        <v>0</v>
      </c>
      <c r="H1132" s="765">
        <v>0</v>
      </c>
      <c r="I1132" s="765">
        <v>0</v>
      </c>
      <c r="J1132" s="765">
        <v>0</v>
      </c>
      <c r="K1132" s="765">
        <v>0</v>
      </c>
      <c r="L1132" s="765">
        <v>0</v>
      </c>
      <c r="M1132" s="765">
        <v>0</v>
      </c>
      <c r="N1132" s="765">
        <v>0</v>
      </c>
      <c r="O1132" s="766">
        <v>0</v>
      </c>
      <c r="Q1132" s="154" t="s">
        <v>164</v>
      </c>
      <c r="R1132" s="24"/>
      <c r="S1132" s="24"/>
      <c r="T1132" s="361">
        <v>0.05</v>
      </c>
      <c r="U1132" s="25">
        <v>0.05</v>
      </c>
      <c r="W1132" s="86" t="s">
        <v>308</v>
      </c>
      <c r="X1132" s="80"/>
      <c r="Y1132" s="80"/>
      <c r="Z1132" s="115">
        <v>-0.04</v>
      </c>
    </row>
    <row r="1133" spans="2:26" s="44" customFormat="1" ht="12.75" x14ac:dyDescent="0.2">
      <c r="B1133" s="1134" t="s">
        <v>437</v>
      </c>
      <c r="C1133" s="1135"/>
      <c r="D1133" s="1135"/>
      <c r="E1133" s="1135"/>
      <c r="F1133" s="1135"/>
      <c r="G1133" s="765">
        <v>-0.25</v>
      </c>
      <c r="H1133" s="765">
        <v>-0.25</v>
      </c>
      <c r="I1133" s="765">
        <v>-0.25</v>
      </c>
      <c r="J1133" s="765">
        <v>-0.25</v>
      </c>
      <c r="K1133" s="765">
        <v>-0.25</v>
      </c>
      <c r="L1133" s="765">
        <v>-0.25</v>
      </c>
      <c r="M1133" s="765">
        <v>-0.25</v>
      </c>
      <c r="N1133" s="765">
        <v>-0.25</v>
      </c>
      <c r="O1133" s="766">
        <v>-0.25</v>
      </c>
      <c r="Q1133" s="154" t="s">
        <v>102</v>
      </c>
      <c r="R1133" s="24"/>
      <c r="S1133" s="24"/>
      <c r="T1133" s="363">
        <v>7.4999999999999997E-2</v>
      </c>
      <c r="U1133" s="31">
        <v>7.4999999999999997E-2</v>
      </c>
      <c r="W1133" s="86" t="s">
        <v>85</v>
      </c>
      <c r="X1133" s="473"/>
      <c r="Y1133" s="473"/>
      <c r="Z1133" s="115">
        <v>-0.125</v>
      </c>
    </row>
    <row r="1134" spans="2:26" s="44" customFormat="1" ht="12.75" x14ac:dyDescent="0.2">
      <c r="B1134" s="1134" t="s">
        <v>470</v>
      </c>
      <c r="C1134" s="1135"/>
      <c r="D1134" s="1135"/>
      <c r="E1134" s="1135"/>
      <c r="F1134" s="1135"/>
      <c r="G1134" s="765">
        <v>-0.1</v>
      </c>
      <c r="H1134" s="765">
        <v>-0.1</v>
      </c>
      <c r="I1134" s="765">
        <v>-0.1</v>
      </c>
      <c r="J1134" s="765">
        <v>-0.1</v>
      </c>
      <c r="K1134" s="765">
        <v>-0.1</v>
      </c>
      <c r="L1134" s="765">
        <v>-0.1</v>
      </c>
      <c r="M1134" s="765">
        <v>-0.1</v>
      </c>
      <c r="N1134" s="765">
        <v>-0.1</v>
      </c>
      <c r="O1134" s="766">
        <v>-0.1</v>
      </c>
      <c r="Q1134" s="154" t="s">
        <v>527</v>
      </c>
      <c r="R1134" s="24"/>
      <c r="S1134" s="24"/>
      <c r="T1134" s="363">
        <v>0.1</v>
      </c>
      <c r="U1134" s="25">
        <v>0.1</v>
      </c>
      <c r="W1134" s="474"/>
      <c r="X1134" s="4"/>
      <c r="Y1134" s="4"/>
      <c r="Z1134" s="5"/>
    </row>
    <row r="1135" spans="2:26" s="44" customFormat="1" ht="12.75" x14ac:dyDescent="0.2">
      <c r="B1135" s="1134"/>
      <c r="C1135" s="1135"/>
      <c r="D1135" s="1135"/>
      <c r="E1135" s="1135"/>
      <c r="F1135" s="1135"/>
      <c r="G1135" s="765">
        <v>0</v>
      </c>
      <c r="H1135" s="765">
        <v>0</v>
      </c>
      <c r="I1135" s="765">
        <v>0</v>
      </c>
      <c r="J1135" s="765">
        <v>0</v>
      </c>
      <c r="K1135" s="765">
        <v>0</v>
      </c>
      <c r="L1135" s="765">
        <v>0</v>
      </c>
      <c r="M1135" s="765">
        <v>0</v>
      </c>
      <c r="N1135" s="765">
        <v>0</v>
      </c>
      <c r="O1135" s="766">
        <v>0</v>
      </c>
      <c r="Q1135" s="154" t="s">
        <v>528</v>
      </c>
      <c r="R1135" s="24"/>
      <c r="S1135" s="24"/>
      <c r="T1135" s="363">
        <v>0</v>
      </c>
      <c r="U1135" s="25">
        <v>0</v>
      </c>
      <c r="W1135" s="1163" t="s">
        <v>86</v>
      </c>
      <c r="X1135" s="1164"/>
      <c r="Y1135" s="1164"/>
      <c r="Z1135" s="1165"/>
    </row>
    <row r="1136" spans="2:26" s="44" customFormat="1" ht="13.5" thickBot="1" x14ac:dyDescent="0.25">
      <c r="B1136" s="1142"/>
      <c r="C1136" s="1143"/>
      <c r="D1136" s="1143"/>
      <c r="E1136" s="1143"/>
      <c r="F1136" s="1143"/>
      <c r="G1136" s="767">
        <v>0</v>
      </c>
      <c r="H1136" s="767">
        <v>0</v>
      </c>
      <c r="I1136" s="767">
        <v>0</v>
      </c>
      <c r="J1136" s="767">
        <v>0</v>
      </c>
      <c r="K1136" s="767">
        <v>0</v>
      </c>
      <c r="L1136" s="767">
        <v>0</v>
      </c>
      <c r="M1136" s="767">
        <v>0</v>
      </c>
      <c r="N1136" s="767">
        <v>0</v>
      </c>
      <c r="O1136" s="768">
        <v>0</v>
      </c>
      <c r="Q1136" s="773"/>
      <c r="R1136" s="774"/>
      <c r="S1136" s="774"/>
      <c r="T1136" s="775"/>
      <c r="U1136" s="776"/>
      <c r="W1136" s="1163"/>
      <c r="X1136" s="1164"/>
      <c r="Y1136" s="1164"/>
      <c r="Z1136" s="1165"/>
    </row>
    <row r="1137" spans="2:26" ht="21.95" customHeight="1" thickBot="1" x14ac:dyDescent="0.25">
      <c r="B1137" s="641"/>
      <c r="C1137" s="640"/>
      <c r="D1137" s="643"/>
      <c r="E1137" s="643"/>
      <c r="F1137" s="643"/>
      <c r="G1137" s="643"/>
      <c r="H1137" s="643"/>
      <c r="I1137" s="643"/>
      <c r="J1137" s="643"/>
      <c r="K1137" s="643"/>
      <c r="L1137" s="640"/>
      <c r="M1137" s="640"/>
      <c r="N1137" s="640"/>
      <c r="O1137" s="640"/>
      <c r="P1137" s="640"/>
      <c r="Q1137" s="640"/>
      <c r="R1137" s="640"/>
      <c r="S1137" s="640"/>
      <c r="T1137" s="640"/>
      <c r="U1137" s="640"/>
      <c r="V1137" s="640"/>
      <c r="W1137" s="475"/>
      <c r="X1137" s="476"/>
      <c r="Y1137" s="476"/>
      <c r="Z1137" s="477"/>
    </row>
    <row r="1138" spans="2:26" ht="21.95" customHeight="1" x14ac:dyDescent="0.25">
      <c r="B1138" s="1166" t="s">
        <v>471</v>
      </c>
      <c r="C1138" s="1167"/>
      <c r="D1138" s="1167"/>
      <c r="E1138" s="1167"/>
      <c r="F1138" s="1167"/>
      <c r="G1138" s="1167"/>
      <c r="H1138" s="1167"/>
      <c r="I1138" s="1167"/>
      <c r="J1138" s="1167"/>
      <c r="K1138" s="1167"/>
      <c r="L1138" s="1168"/>
      <c r="Q1138" s="464" t="s">
        <v>83</v>
      </c>
      <c r="R1138" s="465"/>
      <c r="S1138" s="465"/>
      <c r="T1138" s="466" t="s">
        <v>80</v>
      </c>
      <c r="U1138" s="467" t="s">
        <v>81</v>
      </c>
      <c r="W1138" s="1169" t="s">
        <v>88</v>
      </c>
      <c r="X1138" s="1170"/>
      <c r="Y1138" s="1170"/>
      <c r="Z1138" s="1171"/>
    </row>
    <row r="1139" spans="2:26" ht="21.95" customHeight="1" x14ac:dyDescent="0.25">
      <c r="B1139" s="1161" t="s">
        <v>472</v>
      </c>
      <c r="C1139" s="1162"/>
      <c r="D1139" s="1162"/>
      <c r="E1139" s="1162"/>
      <c r="F1139" s="1162"/>
      <c r="G1139" s="1162"/>
      <c r="H1139" s="1162"/>
      <c r="I1139" s="1162"/>
      <c r="J1139" s="1162"/>
      <c r="K1139" s="1162"/>
      <c r="L1139" s="647">
        <v>0</v>
      </c>
      <c r="Q1139" s="471" t="s">
        <v>373</v>
      </c>
      <c r="R1139" s="472"/>
      <c r="S1139" s="472"/>
      <c r="T1139" s="361">
        <v>7.4999999999999997E-2</v>
      </c>
      <c r="U1139" s="25">
        <v>0.05</v>
      </c>
      <c r="W1139" s="779"/>
      <c r="X1139" s="780" t="s">
        <v>89</v>
      </c>
      <c r="Y1139" s="781">
        <v>1125</v>
      </c>
      <c r="Z1139" s="1182"/>
    </row>
    <row r="1140" spans="2:26" ht="31.5" customHeight="1" x14ac:dyDescent="0.25">
      <c r="B1140" s="1161" t="s">
        <v>473</v>
      </c>
      <c r="C1140" s="1162"/>
      <c r="D1140" s="1162"/>
      <c r="E1140" s="1162"/>
      <c r="F1140" s="1162"/>
      <c r="G1140" s="1162"/>
      <c r="H1140" s="1162"/>
      <c r="I1140" s="1162"/>
      <c r="J1140" s="1162"/>
      <c r="K1140" s="1162"/>
      <c r="L1140" s="647">
        <v>0</v>
      </c>
      <c r="Q1140" s="154" t="s">
        <v>310</v>
      </c>
      <c r="R1140" s="24"/>
      <c r="S1140" s="24"/>
      <c r="T1140" s="361">
        <v>2.5000000000000001E-2</v>
      </c>
      <c r="U1140" s="25">
        <v>0</v>
      </c>
      <c r="W1140" s="82"/>
      <c r="X1140" s="778" t="s">
        <v>156</v>
      </c>
      <c r="Y1140" s="777">
        <v>700</v>
      </c>
      <c r="Z1140" s="1151"/>
    </row>
    <row r="1141" spans="2:26" ht="39.75" thickBot="1" x14ac:dyDescent="0.3">
      <c r="B1141" s="1180" t="s">
        <v>474</v>
      </c>
      <c r="C1141" s="1181"/>
      <c r="D1141" s="1181"/>
      <c r="E1141" s="1181"/>
      <c r="F1141" s="1181"/>
      <c r="G1141" s="1181"/>
      <c r="H1141" s="1181"/>
      <c r="I1141" s="1181"/>
      <c r="J1141" s="1181"/>
      <c r="K1141" s="1181"/>
      <c r="L1141" s="648">
        <v>0</v>
      </c>
      <c r="Q1141" s="154" t="s">
        <v>384</v>
      </c>
      <c r="R1141" s="24"/>
      <c r="S1141" s="24"/>
      <c r="T1141" s="361">
        <v>0</v>
      </c>
      <c r="U1141" s="25">
        <v>0</v>
      </c>
      <c r="W1141" s="82"/>
      <c r="X1141" s="778" t="s">
        <v>157</v>
      </c>
      <c r="Y1141" s="777">
        <v>295</v>
      </c>
      <c r="Z1141" s="1151"/>
    </row>
    <row r="1142" spans="2:26" ht="21.95" customHeight="1" x14ac:dyDescent="0.2">
      <c r="B1142" s="521"/>
      <c r="Q1142" s="154" t="s">
        <v>438</v>
      </c>
      <c r="R1142" s="24"/>
      <c r="S1142" s="24"/>
      <c r="T1142" s="361">
        <v>0.05</v>
      </c>
      <c r="U1142" s="25">
        <v>0.05</v>
      </c>
      <c r="W1142" s="82"/>
      <c r="X1142" s="366" t="s">
        <v>158</v>
      </c>
      <c r="Y1142" s="777">
        <v>0</v>
      </c>
      <c r="Z1142" s="1151"/>
    </row>
    <row r="1143" spans="2:26" ht="21.95" customHeight="1" x14ac:dyDescent="0.2">
      <c r="B1143" s="521"/>
      <c r="Q1143" s="154" t="s">
        <v>359</v>
      </c>
      <c r="R1143" s="24"/>
      <c r="S1143" s="24"/>
      <c r="T1143" s="361">
        <v>-0.1</v>
      </c>
      <c r="U1143" s="25">
        <v>-7.4999999999999997E-2</v>
      </c>
      <c r="W1143" s="1050"/>
      <c r="X1143" s="1051"/>
      <c r="Y1143" s="1179"/>
      <c r="Z1143" s="1151"/>
    </row>
    <row r="1144" spans="2:26" ht="21.95" customHeight="1" x14ac:dyDescent="0.2">
      <c r="B1144" s="521"/>
      <c r="Q1144" s="154" t="s">
        <v>382</v>
      </c>
      <c r="R1144" s="24"/>
      <c r="S1144" s="24"/>
      <c r="T1144" s="361">
        <v>-0.15</v>
      </c>
      <c r="U1144" s="25">
        <v>-0.125</v>
      </c>
      <c r="W1144" s="1050"/>
      <c r="X1144" s="1051"/>
      <c r="Y1144" s="1179"/>
      <c r="Z1144" s="1151"/>
    </row>
    <row r="1145" spans="2:26" ht="21.95" customHeight="1" x14ac:dyDescent="0.2">
      <c r="B1145" s="521"/>
      <c r="Q1145" s="154"/>
      <c r="R1145" s="24"/>
      <c r="S1145" s="24"/>
      <c r="U1145" s="25"/>
      <c r="W1145" s="1147"/>
      <c r="X1145" s="1148"/>
      <c r="Y1145" s="4"/>
      <c r="Z1145" s="782"/>
    </row>
    <row r="1146" spans="2:26" ht="21.95" customHeight="1" thickBot="1" x14ac:dyDescent="0.25">
      <c r="B1146" s="521"/>
      <c r="Q1146" s="644"/>
      <c r="R1146" s="645"/>
      <c r="S1146" s="645"/>
      <c r="T1146" s="546"/>
      <c r="U1146" s="646"/>
      <c r="W1146" s="1149"/>
      <c r="X1146" s="1150"/>
      <c r="Y1146" s="478"/>
      <c r="Z1146" s="783"/>
    </row>
    <row r="1147" spans="2:26" ht="21.95" customHeight="1" x14ac:dyDescent="0.2">
      <c r="B1147" s="521"/>
      <c r="Z1147" s="511"/>
    </row>
    <row r="1148" spans="2:26" s="44" customFormat="1" ht="21.95" customHeight="1" x14ac:dyDescent="0.2">
      <c r="B1148" s="90"/>
      <c r="C1148" s="84"/>
      <c r="D1148" s="84"/>
      <c r="E1148" s="84"/>
      <c r="F1148" s="84"/>
      <c r="G1148" s="84"/>
      <c r="H1148" s="84"/>
      <c r="I1148" s="84"/>
      <c r="J1148" s="84"/>
      <c r="K1148" s="84"/>
      <c r="L1148" s="84"/>
      <c r="M1148" s="711" t="s">
        <v>57</v>
      </c>
      <c r="N1148" s="84"/>
      <c r="O1148" s="84"/>
      <c r="P1148" s="84"/>
      <c r="Q1148" s="84"/>
      <c r="R1148" s="84"/>
      <c r="S1148" s="84"/>
      <c r="T1148" s="84"/>
      <c r="U1148" s="84"/>
      <c r="V1148" s="84"/>
      <c r="W1148" s="84"/>
      <c r="X1148" s="84"/>
      <c r="Y1148" s="84"/>
      <c r="Z1148" s="113"/>
    </row>
    <row r="1149" spans="2:26" s="44" customFormat="1" ht="21.95" customHeight="1" x14ac:dyDescent="0.2">
      <c r="B1149" s="90"/>
      <c r="C1149" s="84"/>
      <c r="D1149" s="84"/>
      <c r="E1149" s="84"/>
      <c r="F1149" s="84"/>
      <c r="G1149" s="84"/>
      <c r="H1149" s="84"/>
      <c r="I1149" s="84"/>
      <c r="J1149" s="84"/>
      <c r="K1149" s="84"/>
      <c r="L1149" s="84"/>
      <c r="M1149" s="711" t="s">
        <v>58</v>
      </c>
      <c r="N1149" s="84"/>
      <c r="O1149" s="84"/>
      <c r="P1149" s="84"/>
      <c r="Q1149" s="84"/>
      <c r="R1149" s="84"/>
      <c r="S1149" s="84"/>
      <c r="T1149" s="84"/>
      <c r="U1149" s="84"/>
      <c r="V1149" s="84"/>
      <c r="W1149" s="84"/>
      <c r="X1149" s="84"/>
      <c r="Y1149" s="84"/>
      <c r="Z1149" s="91"/>
    </row>
    <row r="1150" spans="2:26" s="44" customFormat="1" ht="21.95" customHeight="1" x14ac:dyDescent="0.2">
      <c r="B1150" s="90"/>
      <c r="C1150" s="84"/>
      <c r="D1150" s="84"/>
      <c r="E1150" s="84"/>
      <c r="F1150" s="84"/>
      <c r="G1150" s="84"/>
      <c r="H1150" s="84"/>
      <c r="I1150" s="84"/>
      <c r="J1150" s="84"/>
      <c r="K1150" s="84"/>
      <c r="L1150" s="84"/>
      <c r="M1150" s="712" t="s">
        <v>67</v>
      </c>
      <c r="N1150" s="84"/>
      <c r="O1150" s="84"/>
      <c r="P1150" s="84"/>
      <c r="Q1150" s="84"/>
      <c r="R1150" s="84"/>
      <c r="S1150" s="84"/>
      <c r="T1150" s="84"/>
      <c r="U1150" s="84"/>
      <c r="V1150" s="84"/>
      <c r="W1150" s="84"/>
      <c r="X1150" s="84"/>
      <c r="Y1150" s="84"/>
      <c r="Z1150" s="91"/>
    </row>
    <row r="1151" spans="2:26" s="44" customFormat="1" ht="21.95" customHeight="1" x14ac:dyDescent="0.2">
      <c r="B1151" s="90"/>
      <c r="C1151" s="84"/>
      <c r="D1151" s="84"/>
      <c r="E1151" s="84"/>
      <c r="F1151" s="84"/>
      <c r="G1151" s="84"/>
      <c r="H1151" s="84"/>
      <c r="I1151" s="84"/>
      <c r="J1151" s="84"/>
      <c r="K1151" s="84"/>
      <c r="L1151" s="84"/>
      <c r="M1151" s="712" t="s">
        <v>59</v>
      </c>
      <c r="N1151" s="84"/>
      <c r="O1151" s="84"/>
      <c r="P1151" s="84"/>
      <c r="Q1151" s="84"/>
      <c r="R1151" s="84"/>
      <c r="S1151" s="84"/>
      <c r="T1151" s="84"/>
      <c r="U1151" s="84"/>
      <c r="V1151" s="84"/>
      <c r="W1151" s="84"/>
      <c r="X1151" s="84"/>
      <c r="Y1151" s="84"/>
      <c r="Z1151" s="91"/>
    </row>
  </sheetData>
  <mergeCells count="750">
    <mergeCell ref="Y614:Z614"/>
    <mergeCell ref="P629:Z629"/>
    <mergeCell ref="Q1115:Y1115"/>
    <mergeCell ref="B1116:C1116"/>
    <mergeCell ref="B1117:C1117"/>
    <mergeCell ref="N1117:P1117"/>
    <mergeCell ref="N1108:P1108"/>
    <mergeCell ref="B1109:C1109"/>
    <mergeCell ref="N1109:P1109"/>
    <mergeCell ref="B1110:C1110"/>
    <mergeCell ref="N1110:P1110"/>
    <mergeCell ref="W1078:X1078"/>
    <mergeCell ref="Y1078:Z1078"/>
    <mergeCell ref="T885:U885"/>
    <mergeCell ref="R913:S913"/>
    <mergeCell ref="H914:K914"/>
    <mergeCell ref="R914:S914"/>
    <mergeCell ref="R915:S915"/>
    <mergeCell ref="Q917:S917"/>
    <mergeCell ref="X927:Z927"/>
    <mergeCell ref="U898:V906"/>
    <mergeCell ref="B899:K899"/>
    <mergeCell ref="B900:K900"/>
    <mergeCell ref="B901:K911"/>
    <mergeCell ref="X513:Z513"/>
    <mergeCell ref="W514:X514"/>
    <mergeCell ref="Y514:Z514"/>
    <mergeCell ref="Z1139:Z1140"/>
    <mergeCell ref="B1005:Z1005"/>
    <mergeCell ref="B936:T936"/>
    <mergeCell ref="B958:T958"/>
    <mergeCell ref="B981:T981"/>
    <mergeCell ref="B1007:T1007"/>
    <mergeCell ref="B1027:T1027"/>
    <mergeCell ref="B1050:T1050"/>
    <mergeCell ref="U910:V912"/>
    <mergeCell ref="L895:V895"/>
    <mergeCell ref="B1140:K1140"/>
    <mergeCell ref="B1111:C1111"/>
    <mergeCell ref="B1114:L1114"/>
    <mergeCell ref="N1114:Y1114"/>
    <mergeCell ref="D1115:L1115"/>
    <mergeCell ref="N1115:P1116"/>
    <mergeCell ref="P560:Q560"/>
    <mergeCell ref="T560:U560"/>
    <mergeCell ref="E583:F583"/>
    <mergeCell ref="G587:H587"/>
    <mergeCell ref="I587:J587"/>
    <mergeCell ref="Y1143:Y1144"/>
    <mergeCell ref="Z1143:Z1144"/>
    <mergeCell ref="B1112:C1112"/>
    <mergeCell ref="N1112:P1112"/>
    <mergeCell ref="W928:X928"/>
    <mergeCell ref="Y928:Z928"/>
    <mergeCell ref="B934:Z934"/>
    <mergeCell ref="B1141:K1141"/>
    <mergeCell ref="W1143:X1144"/>
    <mergeCell ref="N1103:P1103"/>
    <mergeCell ref="B1104:C1104"/>
    <mergeCell ref="N1104:P1104"/>
    <mergeCell ref="B1105:C1105"/>
    <mergeCell ref="N1105:P1105"/>
    <mergeCell ref="B1106:C1106"/>
    <mergeCell ref="N1106:P1106"/>
    <mergeCell ref="B1107:C1107"/>
    <mergeCell ref="N1107:P1107"/>
    <mergeCell ref="B1108:C1108"/>
    <mergeCell ref="B1118:C1118"/>
    <mergeCell ref="N1118:P1118"/>
    <mergeCell ref="B1119:C1119"/>
    <mergeCell ref="N1119:P1119"/>
    <mergeCell ref="B1120:C1120"/>
    <mergeCell ref="J580:L580"/>
    <mergeCell ref="J581:K581"/>
    <mergeCell ref="J582:K582"/>
    <mergeCell ref="P633:Z633"/>
    <mergeCell ref="P643:S643"/>
    <mergeCell ref="U830:W830"/>
    <mergeCell ref="W755:X755"/>
    <mergeCell ref="U829:W829"/>
    <mergeCell ref="W673:X673"/>
    <mergeCell ref="T664:W665"/>
    <mergeCell ref="X664:Y665"/>
    <mergeCell ref="T645:V645"/>
    <mergeCell ref="W648:X648"/>
    <mergeCell ref="T649:V649"/>
    <mergeCell ref="W649:X649"/>
    <mergeCell ref="T652:V652"/>
    <mergeCell ref="W645:X645"/>
    <mergeCell ref="I586:J586"/>
    <mergeCell ref="K586:L586"/>
    <mergeCell ref="K588:L588"/>
    <mergeCell ref="N588:U588"/>
    <mergeCell ref="R599:S599"/>
    <mergeCell ref="R600:S600"/>
    <mergeCell ref="Y755:Z755"/>
    <mergeCell ref="N1120:P1120"/>
    <mergeCell ref="W1135:Z1136"/>
    <mergeCell ref="B1136:F1136"/>
    <mergeCell ref="B1132:F1132"/>
    <mergeCell ref="B1133:F1133"/>
    <mergeCell ref="B1134:F1134"/>
    <mergeCell ref="B1135:F1135"/>
    <mergeCell ref="B1138:L1138"/>
    <mergeCell ref="W1138:Z1138"/>
    <mergeCell ref="B1126:C1126"/>
    <mergeCell ref="N1126:P1126"/>
    <mergeCell ref="B1128:O1128"/>
    <mergeCell ref="B1129:F1130"/>
    <mergeCell ref="G1129:O1129"/>
    <mergeCell ref="B1131:F1131"/>
    <mergeCell ref="B1121:C1121"/>
    <mergeCell ref="N1121:P1121"/>
    <mergeCell ref="W1145:X1146"/>
    <mergeCell ref="Z1141:Z1142"/>
    <mergeCell ref="B1084:Z1084"/>
    <mergeCell ref="B1086:L1086"/>
    <mergeCell ref="N1086:Y1086"/>
    <mergeCell ref="D1087:L1087"/>
    <mergeCell ref="N1087:P1088"/>
    <mergeCell ref="Q1087:Y1087"/>
    <mergeCell ref="B1088:C1088"/>
    <mergeCell ref="B1139:K1139"/>
    <mergeCell ref="N1111:P1111"/>
    <mergeCell ref="N1100:Y1100"/>
    <mergeCell ref="D1101:L1101"/>
    <mergeCell ref="N1101:P1102"/>
    <mergeCell ref="Q1101:Y1101"/>
    <mergeCell ref="B1102:C1102"/>
    <mergeCell ref="B1122:C1122"/>
    <mergeCell ref="N1122:P1122"/>
    <mergeCell ref="B1123:C1123"/>
    <mergeCell ref="N1123:P1123"/>
    <mergeCell ref="B1124:C1124"/>
    <mergeCell ref="N1124:P1124"/>
    <mergeCell ref="B1125:C1125"/>
    <mergeCell ref="N1125:P1125"/>
    <mergeCell ref="L907:V907"/>
    <mergeCell ref="B633:H633"/>
    <mergeCell ref="I633:O633"/>
    <mergeCell ref="X1077:Z1077"/>
    <mergeCell ref="W644:X644"/>
    <mergeCell ref="P644:S644"/>
    <mergeCell ref="K855:K856"/>
    <mergeCell ref="B857:D858"/>
    <mergeCell ref="B1103:C1103"/>
    <mergeCell ref="B1093:C1093"/>
    <mergeCell ref="N1093:P1093"/>
    <mergeCell ref="B1094:C1094"/>
    <mergeCell ref="N1094:P1094"/>
    <mergeCell ref="B1095:C1095"/>
    <mergeCell ref="N1095:P1095"/>
    <mergeCell ref="B1096:C1096"/>
    <mergeCell ref="N1096:P1096"/>
    <mergeCell ref="B1097:C1097"/>
    <mergeCell ref="N1097:P1097"/>
    <mergeCell ref="B1098:C1098"/>
    <mergeCell ref="N1098:P1098"/>
    <mergeCell ref="B1100:L1100"/>
    <mergeCell ref="B1089:C1089"/>
    <mergeCell ref="N1089:P1089"/>
    <mergeCell ref="B1090:C1090"/>
    <mergeCell ref="N1090:P1090"/>
    <mergeCell ref="B1091:C1091"/>
    <mergeCell ref="N1091:P1091"/>
    <mergeCell ref="B1092:C1092"/>
    <mergeCell ref="N1092:P1092"/>
    <mergeCell ref="B837:V837"/>
    <mergeCell ref="T646:V646"/>
    <mergeCell ref="T647:V647"/>
    <mergeCell ref="U827:W827"/>
    <mergeCell ref="U828:W828"/>
    <mergeCell ref="B761:Z761"/>
    <mergeCell ref="B763:H763"/>
    <mergeCell ref="I763:O763"/>
    <mergeCell ref="V826:W826"/>
    <mergeCell ref="H827:K827"/>
    <mergeCell ref="B804:H804"/>
    <mergeCell ref="I804:O804"/>
    <mergeCell ref="B785:H785"/>
    <mergeCell ref="I785:O785"/>
    <mergeCell ref="W652:X652"/>
    <mergeCell ref="W646:X646"/>
    <mergeCell ref="W647:X647"/>
    <mergeCell ref="X743:Y743"/>
    <mergeCell ref="H744:K744"/>
    <mergeCell ref="U744:W744"/>
    <mergeCell ref="U745:W745"/>
    <mergeCell ref="X754:Z754"/>
    <mergeCell ref="R667:S667"/>
    <mergeCell ref="X672:Z672"/>
    <mergeCell ref="Z662:Z663"/>
    <mergeCell ref="T648:V648"/>
    <mergeCell ref="P661:S663"/>
    <mergeCell ref="X662:Y663"/>
    <mergeCell ref="Y673:Z673"/>
    <mergeCell ref="B678:Z678"/>
    <mergeCell ref="B680:H680"/>
    <mergeCell ref="I680:O680"/>
    <mergeCell ref="B702:H702"/>
    <mergeCell ref="E580:I580"/>
    <mergeCell ref="N580:T580"/>
    <mergeCell ref="E581:G582"/>
    <mergeCell ref="H581:I581"/>
    <mergeCell ref="P582:Q582"/>
    <mergeCell ref="B723:H723"/>
    <mergeCell ref="I723:O723"/>
    <mergeCell ref="K587:L587"/>
    <mergeCell ref="R601:S601"/>
    <mergeCell ref="E588:F588"/>
    <mergeCell ref="G588:H588"/>
    <mergeCell ref="I588:J588"/>
    <mergeCell ref="B652:H652"/>
    <mergeCell ref="I652:O652"/>
    <mergeCell ref="T644:V644"/>
    <mergeCell ref="E587:F587"/>
    <mergeCell ref="P583:Q583"/>
    <mergeCell ref="J583:K583"/>
    <mergeCell ref="Q603:S603"/>
    <mergeCell ref="E584:F584"/>
    <mergeCell ref="P584:Q584"/>
    <mergeCell ref="E585:L585"/>
    <mergeCell ref="E586:F586"/>
    <mergeCell ref="G586:H586"/>
    <mergeCell ref="R508:S508"/>
    <mergeCell ref="Q510:S510"/>
    <mergeCell ref="F500:H500"/>
    <mergeCell ref="F501:H501"/>
    <mergeCell ref="F502:H502"/>
    <mergeCell ref="F503:H503"/>
    <mergeCell ref="F504:H504"/>
    <mergeCell ref="F505:H505"/>
    <mergeCell ref="R506:S506"/>
    <mergeCell ref="H507:K507"/>
    <mergeCell ref="R507:S507"/>
    <mergeCell ref="F491:H491"/>
    <mergeCell ref="F492:H492"/>
    <mergeCell ref="F496:H496"/>
    <mergeCell ref="F493:H493"/>
    <mergeCell ref="F494:H494"/>
    <mergeCell ref="F495:H495"/>
    <mergeCell ref="F497:H497"/>
    <mergeCell ref="F498:H498"/>
    <mergeCell ref="F499:H499"/>
    <mergeCell ref="M482:N482"/>
    <mergeCell ref="O482:P482"/>
    <mergeCell ref="O478:P478"/>
    <mergeCell ref="M479:N479"/>
    <mergeCell ref="F483:F488"/>
    <mergeCell ref="M483:N483"/>
    <mergeCell ref="O483:P483"/>
    <mergeCell ref="M484:N487"/>
    <mergeCell ref="F489:S489"/>
    <mergeCell ref="J401:K401"/>
    <mergeCell ref="U423:V423"/>
    <mergeCell ref="S416:T416"/>
    <mergeCell ref="U416:V416"/>
    <mergeCell ref="S417:T417"/>
    <mergeCell ref="U417:V417"/>
    <mergeCell ref="S418:T418"/>
    <mergeCell ref="U418:V418"/>
    <mergeCell ref="U419:V419"/>
    <mergeCell ref="U420:V420"/>
    <mergeCell ref="S421:T421"/>
    <mergeCell ref="S419:T419"/>
    <mergeCell ref="S420:T420"/>
    <mergeCell ref="U415:V415"/>
    <mergeCell ref="S403:S407"/>
    <mergeCell ref="S408:S412"/>
    <mergeCell ref="U421:V421"/>
    <mergeCell ref="S422:T422"/>
    <mergeCell ref="U422:V422"/>
    <mergeCell ref="U414:V414"/>
    <mergeCell ref="S415:T415"/>
    <mergeCell ref="S401:S402"/>
    <mergeCell ref="F433:H433"/>
    <mergeCell ref="F434:H434"/>
    <mergeCell ref="B436:V436"/>
    <mergeCell ref="J439:K439"/>
    <mergeCell ref="F441:F445"/>
    <mergeCell ref="R437:U437"/>
    <mergeCell ref="R438:S438"/>
    <mergeCell ref="L439:L440"/>
    <mergeCell ref="M439:M440"/>
    <mergeCell ref="N439:N440"/>
    <mergeCell ref="M438:Q438"/>
    <mergeCell ref="F438:L438"/>
    <mergeCell ref="S439:S440"/>
    <mergeCell ref="F437:Q437"/>
    <mergeCell ref="B381:C381"/>
    <mergeCell ref="B382:C382"/>
    <mergeCell ref="B384:C384"/>
    <mergeCell ref="L403:L407"/>
    <mergeCell ref="M403:M407"/>
    <mergeCell ref="B385:C385"/>
    <mergeCell ref="F466:H466"/>
    <mergeCell ref="F457:H457"/>
    <mergeCell ref="F467:H467"/>
    <mergeCell ref="F458:H458"/>
    <mergeCell ref="F459:H459"/>
    <mergeCell ref="F460:H460"/>
    <mergeCell ref="F456:H456"/>
    <mergeCell ref="F403:F407"/>
    <mergeCell ref="H439:I439"/>
    <mergeCell ref="B437:E437"/>
    <mergeCell ref="B438:E438"/>
    <mergeCell ref="B383:C383"/>
    <mergeCell ref="B399:E399"/>
    <mergeCell ref="F416:H416"/>
    <mergeCell ref="F424:H424"/>
    <mergeCell ref="F425:H425"/>
    <mergeCell ref="F426:H426"/>
    <mergeCell ref="F430:H430"/>
    <mergeCell ref="S342:T342"/>
    <mergeCell ref="U342:V342"/>
    <mergeCell ref="B372:C372"/>
    <mergeCell ref="B375:C375"/>
    <mergeCell ref="B376:C376"/>
    <mergeCell ref="B378:M378"/>
    <mergeCell ref="B379:C379"/>
    <mergeCell ref="D379:M379"/>
    <mergeCell ref="B366:C366"/>
    <mergeCell ref="B367:C367"/>
    <mergeCell ref="B368:C368"/>
    <mergeCell ref="B369:C369"/>
    <mergeCell ref="B370:C370"/>
    <mergeCell ref="B373:C373"/>
    <mergeCell ref="B371:C371"/>
    <mergeCell ref="D371:M371"/>
    <mergeCell ref="B374:C374"/>
    <mergeCell ref="B352:C352"/>
    <mergeCell ref="B353:C353"/>
    <mergeCell ref="B364:M364"/>
    <mergeCell ref="B365:C365"/>
    <mergeCell ref="D365:M365"/>
    <mergeCell ref="B350:M350"/>
    <mergeCell ref="B362:C362"/>
    <mergeCell ref="B361:C361"/>
    <mergeCell ref="I316:I319"/>
    <mergeCell ref="K323:K324"/>
    <mergeCell ref="H328:K328"/>
    <mergeCell ref="D351:M351"/>
    <mergeCell ref="B357:C357"/>
    <mergeCell ref="D357:M357"/>
    <mergeCell ref="B358:C358"/>
    <mergeCell ref="B359:C359"/>
    <mergeCell ref="B360:C360"/>
    <mergeCell ref="B354:C354"/>
    <mergeCell ref="B355:C355"/>
    <mergeCell ref="B356:C356"/>
    <mergeCell ref="B351:C351"/>
    <mergeCell ref="L278:M279"/>
    <mergeCell ref="U268:U269"/>
    <mergeCell ref="V268:V269"/>
    <mergeCell ref="I301:I304"/>
    <mergeCell ref="B303:D304"/>
    <mergeCell ref="K303:K304"/>
    <mergeCell ref="L304:V304"/>
    <mergeCell ref="F299:F300"/>
    <mergeCell ref="H299:H300"/>
    <mergeCell ref="I299:I300"/>
    <mergeCell ref="J299:J300"/>
    <mergeCell ref="K299:K300"/>
    <mergeCell ref="B299:D300"/>
    <mergeCell ref="E299:E300"/>
    <mergeCell ref="B301:D302"/>
    <mergeCell ref="E301:E304"/>
    <mergeCell ref="B298:K298"/>
    <mergeCell ref="O278:O279"/>
    <mergeCell ref="P278:R279"/>
    <mergeCell ref="N278:N279"/>
    <mergeCell ref="V278:V279"/>
    <mergeCell ref="B279:K279"/>
    <mergeCell ref="U278:U279"/>
    <mergeCell ref="L280:V280"/>
    <mergeCell ref="K314:K315"/>
    <mergeCell ref="B309:D310"/>
    <mergeCell ref="E309:E312"/>
    <mergeCell ref="I309:I312"/>
    <mergeCell ref="B311:D312"/>
    <mergeCell ref="K311:K312"/>
    <mergeCell ref="B305:K305"/>
    <mergeCell ref="B306:D306"/>
    <mergeCell ref="L282:V282"/>
    <mergeCell ref="L283:L285"/>
    <mergeCell ref="M283:V283"/>
    <mergeCell ref="B308:K308"/>
    <mergeCell ref="H306:H307"/>
    <mergeCell ref="I306:I307"/>
    <mergeCell ref="L312:L313"/>
    <mergeCell ref="B313:K313"/>
    <mergeCell ref="B307:D307"/>
    <mergeCell ref="E306:E307"/>
    <mergeCell ref="B314:D315"/>
    <mergeCell ref="E314:E315"/>
    <mergeCell ref="F314:F315"/>
    <mergeCell ref="H314:H315"/>
    <mergeCell ref="I314:I315"/>
    <mergeCell ref="J314:J315"/>
    <mergeCell ref="X1:Z1"/>
    <mergeCell ref="W2:X2"/>
    <mergeCell ref="Y2:Z2"/>
    <mergeCell ref="T61:W62"/>
    <mergeCell ref="X69:Z69"/>
    <mergeCell ref="W70:X70"/>
    <mergeCell ref="X59:Y60"/>
    <mergeCell ref="P10:Z10"/>
    <mergeCell ref="X61:Y62"/>
    <mergeCell ref="Y70:Z70"/>
    <mergeCell ref="R64:S64"/>
    <mergeCell ref="B9:Z9"/>
    <mergeCell ref="B10:H10"/>
    <mergeCell ref="I10:O10"/>
    <mergeCell ref="B30:H30"/>
    <mergeCell ref="I49:O49"/>
    <mergeCell ref="B49:H49"/>
    <mergeCell ref="P59:S61"/>
    <mergeCell ref="Q58:R58"/>
    <mergeCell ref="Z59:Z60"/>
    <mergeCell ref="P30:Z30"/>
    <mergeCell ref="Y11:Z11"/>
    <mergeCell ref="I30:O30"/>
    <mergeCell ref="U22:Z23"/>
    <mergeCell ref="P267:R267"/>
    <mergeCell ref="L264:M265"/>
    <mergeCell ref="O268:O269"/>
    <mergeCell ref="P268:R269"/>
    <mergeCell ref="L268:M269"/>
    <mergeCell ref="N268:N269"/>
    <mergeCell ref="X234:Z234"/>
    <mergeCell ref="W235:X235"/>
    <mergeCell ref="Y235:Z235"/>
    <mergeCell ref="L266:V266"/>
    <mergeCell ref="T262:T263"/>
    <mergeCell ref="L260:V260"/>
    <mergeCell ref="L267:M267"/>
    <mergeCell ref="T268:T269"/>
    <mergeCell ref="L262:M263"/>
    <mergeCell ref="O262:O263"/>
    <mergeCell ref="P262:R262"/>
    <mergeCell ref="V264:V265"/>
    <mergeCell ref="T341:V341"/>
    <mergeCell ref="Q331:S331"/>
    <mergeCell ref="R328:S328"/>
    <mergeCell ref="R329:S329"/>
    <mergeCell ref="K318:K319"/>
    <mergeCell ref="B320:K320"/>
    <mergeCell ref="B321:D322"/>
    <mergeCell ref="E321:E324"/>
    <mergeCell ref="H321:H324"/>
    <mergeCell ref="I321:I324"/>
    <mergeCell ref="R327:S327"/>
    <mergeCell ref="B323:D324"/>
    <mergeCell ref="H316:H319"/>
    <mergeCell ref="B325:K325"/>
    <mergeCell ref="B326:D326"/>
    <mergeCell ref="E316:E319"/>
    <mergeCell ref="B316:D317"/>
    <mergeCell ref="B318:D319"/>
    <mergeCell ref="B75:Z75"/>
    <mergeCell ref="U227:W227"/>
    <mergeCell ref="V223:W223"/>
    <mergeCell ref="H224:K224"/>
    <mergeCell ref="X151:Z151"/>
    <mergeCell ref="I77:O77"/>
    <mergeCell ref="K265:K266"/>
    <mergeCell ref="D265:D266"/>
    <mergeCell ref="E265:E266"/>
    <mergeCell ref="F265:F266"/>
    <mergeCell ref="X140:Y140"/>
    <mergeCell ref="B158:Z158"/>
    <mergeCell ref="H141:K141"/>
    <mergeCell ref="I160:O160"/>
    <mergeCell ref="B201:H201"/>
    <mergeCell ref="I201:O201"/>
    <mergeCell ref="I182:O182"/>
    <mergeCell ref="B262:K263"/>
    <mergeCell ref="B264:K264"/>
    <mergeCell ref="B160:H160"/>
    <mergeCell ref="B182:H182"/>
    <mergeCell ref="U141:W141"/>
    <mergeCell ref="Y152:Z152"/>
    <mergeCell ref="W152:X152"/>
    <mergeCell ref="I265:I266"/>
    <mergeCell ref="J265:J266"/>
    <mergeCell ref="O264:O265"/>
    <mergeCell ref="G265:G266"/>
    <mergeCell ref="H265:H266"/>
    <mergeCell ref="B77:H77"/>
    <mergeCell ref="P263:R263"/>
    <mergeCell ref="U142:W142"/>
    <mergeCell ref="L259:V259"/>
    <mergeCell ref="L243:P243"/>
    <mergeCell ref="B242:V242"/>
    <mergeCell ref="B243:F243"/>
    <mergeCell ref="G243:K243"/>
    <mergeCell ref="P265:R265"/>
    <mergeCell ref="I120:O120"/>
    <mergeCell ref="B120:H120"/>
    <mergeCell ref="I99:O99"/>
    <mergeCell ref="P264:R264"/>
    <mergeCell ref="S264:S265"/>
    <mergeCell ref="T264:T265"/>
    <mergeCell ref="U264:U265"/>
    <mergeCell ref="U224:W224"/>
    <mergeCell ref="U225:W225"/>
    <mergeCell ref="U226:W226"/>
    <mergeCell ref="B99:H99"/>
    <mergeCell ref="B265:B266"/>
    <mergeCell ref="C265:C266"/>
    <mergeCell ref="L261:M261"/>
    <mergeCell ref="P261:R261"/>
    <mergeCell ref="L286:V286"/>
    <mergeCell ref="B281:V281"/>
    <mergeCell ref="B282:F282"/>
    <mergeCell ref="G282:K282"/>
    <mergeCell ref="L271:V271"/>
    <mergeCell ref="S268:S269"/>
    <mergeCell ref="L275:V275"/>
    <mergeCell ref="L272:M272"/>
    <mergeCell ref="P272:R272"/>
    <mergeCell ref="L273:M274"/>
    <mergeCell ref="N273:N274"/>
    <mergeCell ref="L277:M277"/>
    <mergeCell ref="B273:K273"/>
    <mergeCell ref="U273:U274"/>
    <mergeCell ref="O273:O274"/>
    <mergeCell ref="V273:V274"/>
    <mergeCell ref="P273:R274"/>
    <mergeCell ref="S273:S274"/>
    <mergeCell ref="T273:T274"/>
    <mergeCell ref="L270:V270"/>
    <mergeCell ref="S278:S279"/>
    <mergeCell ref="L276:V276"/>
    <mergeCell ref="T278:T279"/>
    <mergeCell ref="P277:R277"/>
    <mergeCell ref="L295:V295"/>
    <mergeCell ref="B297:K297"/>
    <mergeCell ref="R400:S400"/>
    <mergeCell ref="S423:T423"/>
    <mergeCell ref="T400:U400"/>
    <mergeCell ref="F400:L400"/>
    <mergeCell ref="B400:E400"/>
    <mergeCell ref="L401:L402"/>
    <mergeCell ref="M401:M402"/>
    <mergeCell ref="T392:V392"/>
    <mergeCell ref="S393:T393"/>
    <mergeCell ref="U393:V393"/>
    <mergeCell ref="B398:T398"/>
    <mergeCell ref="R399:U399"/>
    <mergeCell ref="N401:N402"/>
    <mergeCell ref="O401:P401"/>
    <mergeCell ref="M408:M412"/>
    <mergeCell ref="M400:Q400"/>
    <mergeCell ref="F414:R414"/>
    <mergeCell ref="F401:F402"/>
    <mergeCell ref="G401:G402"/>
    <mergeCell ref="H401:I401"/>
    <mergeCell ref="S414:T414"/>
    <mergeCell ref="Q401:R401"/>
    <mergeCell ref="F399:Q399"/>
    <mergeCell ref="X604:Z604"/>
    <mergeCell ref="U451:V451"/>
    <mergeCell ref="S451:T451"/>
    <mergeCell ref="S441:S445"/>
    <mergeCell ref="S478:T478"/>
    <mergeCell ref="U478:V478"/>
    <mergeCell ref="S479:T479"/>
    <mergeCell ref="U479:V479"/>
    <mergeCell ref="S480:T480"/>
    <mergeCell ref="U480:V480"/>
    <mergeCell ref="U456:V456"/>
    <mergeCell ref="U476:V476"/>
    <mergeCell ref="S475:V475"/>
    <mergeCell ref="B521:V521"/>
    <mergeCell ref="B522:H522"/>
    <mergeCell ref="I522:O522"/>
    <mergeCell ref="F468:H468"/>
    <mergeCell ref="F454:H454"/>
    <mergeCell ref="F446:F450"/>
    <mergeCell ref="L446:L450"/>
    <mergeCell ref="M446:M450"/>
    <mergeCell ref="W605:X605"/>
    <mergeCell ref="Y605:Z605"/>
    <mergeCell ref="B612:Z612"/>
    <mergeCell ref="B613:H613"/>
    <mergeCell ref="I613:O613"/>
    <mergeCell ref="P613:Z613"/>
    <mergeCell ref="S460:T463"/>
    <mergeCell ref="S458:T458"/>
    <mergeCell ref="S476:T476"/>
    <mergeCell ref="F473:I473"/>
    <mergeCell ref="S477:T477"/>
    <mergeCell ref="U477:V477"/>
    <mergeCell ref="B555:V555"/>
    <mergeCell ref="M557:O557"/>
    <mergeCell ref="P557:Q557"/>
    <mergeCell ref="T557:U557"/>
    <mergeCell ref="T561:U561"/>
    <mergeCell ref="M562:O562"/>
    <mergeCell ref="P562:Q562"/>
    <mergeCell ref="M480:N480"/>
    <mergeCell ref="O480:P480"/>
    <mergeCell ref="M560:O560"/>
    <mergeCell ref="M559:O559"/>
    <mergeCell ref="P559:Q559"/>
    <mergeCell ref="T559:U559"/>
    <mergeCell ref="O479:P479"/>
    <mergeCell ref="F452:R452"/>
    <mergeCell ref="U458:V458"/>
    <mergeCell ref="S459:T459"/>
    <mergeCell ref="U459:V459"/>
    <mergeCell ref="S457:T457"/>
    <mergeCell ref="U457:V457"/>
    <mergeCell ref="S454:T454"/>
    <mergeCell ref="U454:V454"/>
    <mergeCell ref="U455:V455"/>
    <mergeCell ref="S456:T456"/>
    <mergeCell ref="S452:T452"/>
    <mergeCell ref="S455:T455"/>
    <mergeCell ref="F455:H455"/>
    <mergeCell ref="U453:V453"/>
    <mergeCell ref="S453:T453"/>
    <mergeCell ref="M476:N476"/>
    <mergeCell ref="O476:P476"/>
    <mergeCell ref="M481:N481"/>
    <mergeCell ref="O481:P481"/>
    <mergeCell ref="F408:F412"/>
    <mergeCell ref="L408:L412"/>
    <mergeCell ref="F417:H417"/>
    <mergeCell ref="F418:H418"/>
    <mergeCell ref="F419:H419"/>
    <mergeCell ref="F420:H420"/>
    <mergeCell ref="F421:H421"/>
    <mergeCell ref="F422:H422"/>
    <mergeCell ref="F423:H423"/>
    <mergeCell ref="F427:H427"/>
    <mergeCell ref="F428:H428"/>
    <mergeCell ref="F429:H429"/>
    <mergeCell ref="S424:T427"/>
    <mergeCell ref="U452:V452"/>
    <mergeCell ref="F439:F440"/>
    <mergeCell ref="G439:G440"/>
    <mergeCell ref="P522:V522"/>
    <mergeCell ref="B539:H539"/>
    <mergeCell ref="I539:O539"/>
    <mergeCell ref="P539:V539"/>
    <mergeCell ref="S446:S450"/>
    <mergeCell ref="F453:H453"/>
    <mergeCell ref="F461:H461"/>
    <mergeCell ref="F462:H462"/>
    <mergeCell ref="F463:H463"/>
    <mergeCell ref="F464:H464"/>
    <mergeCell ref="F465:H465"/>
    <mergeCell ref="Q439:R439"/>
    <mergeCell ref="L441:L445"/>
    <mergeCell ref="M441:M445"/>
    <mergeCell ref="O439:P439"/>
    <mergeCell ref="F431:H431"/>
    <mergeCell ref="F432:H432"/>
    <mergeCell ref="T562:U562"/>
    <mergeCell ref="T558:U558"/>
    <mergeCell ref="M558:O558"/>
    <mergeCell ref="P558:Q558"/>
    <mergeCell ref="M564:P564"/>
    <mergeCell ref="T565:U565"/>
    <mergeCell ref="B579:V579"/>
    <mergeCell ref="F477:F482"/>
    <mergeCell ref="F469:H469"/>
    <mergeCell ref="B472:V472"/>
    <mergeCell ref="F475:F476"/>
    <mergeCell ref="G475:G476"/>
    <mergeCell ref="H475:I475"/>
    <mergeCell ref="J475:K475"/>
    <mergeCell ref="M475:N475"/>
    <mergeCell ref="O475:P475"/>
    <mergeCell ref="F474:I474"/>
    <mergeCell ref="B473:E473"/>
    <mergeCell ref="B474:E474"/>
    <mergeCell ref="M473:P473"/>
    <mergeCell ref="F470:H470"/>
    <mergeCell ref="M477:N477"/>
    <mergeCell ref="O477:P477"/>
    <mergeCell ref="M478:N478"/>
    <mergeCell ref="M561:O561"/>
    <mergeCell ref="P561:Q561"/>
    <mergeCell ref="E857:E860"/>
    <mergeCell ref="I865:I868"/>
    <mergeCell ref="B867:D868"/>
    <mergeCell ref="B865:D866"/>
    <mergeCell ref="B838:F838"/>
    <mergeCell ref="G838:K838"/>
    <mergeCell ref="L838:V838"/>
    <mergeCell ref="L839:L841"/>
    <mergeCell ref="M839:V839"/>
    <mergeCell ref="L842:V842"/>
    <mergeCell ref="L851:V851"/>
    <mergeCell ref="B853:K853"/>
    <mergeCell ref="B854:K854"/>
    <mergeCell ref="B855:D856"/>
    <mergeCell ref="E855:E856"/>
    <mergeCell ref="F855:F856"/>
    <mergeCell ref="H855:H856"/>
    <mergeCell ref="I855:I856"/>
    <mergeCell ref="J855:J856"/>
    <mergeCell ref="I857:I860"/>
    <mergeCell ref="B859:D860"/>
    <mergeCell ref="B861:K861"/>
    <mergeCell ref="L860:V860"/>
    <mergeCell ref="K859:K860"/>
    <mergeCell ref="B872:D873"/>
    <mergeCell ref="E872:E875"/>
    <mergeCell ref="H872:H875"/>
    <mergeCell ref="I872:I875"/>
    <mergeCell ref="B874:D875"/>
    <mergeCell ref="K874:K875"/>
    <mergeCell ref="K867:K868"/>
    <mergeCell ref="L868:L869"/>
    <mergeCell ref="B869:K869"/>
    <mergeCell ref="B870:D871"/>
    <mergeCell ref="E870:E871"/>
    <mergeCell ref="F870:F871"/>
    <mergeCell ref="H870:H871"/>
    <mergeCell ref="I870:I871"/>
    <mergeCell ref="J870:J871"/>
    <mergeCell ref="E865:E868"/>
    <mergeCell ref="B881:K881"/>
    <mergeCell ref="B882:D882"/>
    <mergeCell ref="B883:V883"/>
    <mergeCell ref="B884:F884"/>
    <mergeCell ref="G884:K884"/>
    <mergeCell ref="L884:V884"/>
    <mergeCell ref="R885:S885"/>
    <mergeCell ref="P26:Z26"/>
    <mergeCell ref="P31:Z31"/>
    <mergeCell ref="B876:K876"/>
    <mergeCell ref="B877:D878"/>
    <mergeCell ref="E877:E880"/>
    <mergeCell ref="H877:H880"/>
    <mergeCell ref="I877:I880"/>
    <mergeCell ref="B879:D880"/>
    <mergeCell ref="K879:K880"/>
    <mergeCell ref="E862:E863"/>
    <mergeCell ref="H862:H863"/>
    <mergeCell ref="I862:I863"/>
    <mergeCell ref="B863:D863"/>
    <mergeCell ref="B864:K864"/>
    <mergeCell ref="B862:D862"/>
    <mergeCell ref="I702:O702"/>
    <mergeCell ref="K870:K871"/>
  </mergeCells>
  <phoneticPr fontId="35" type="noConversion"/>
  <conditionalFormatting sqref="B267:B271">
    <cfRule type="cellIs" dxfId="72" priority="365" operator="equal">
      <formula>"N/A"</formula>
    </cfRule>
  </conditionalFormatting>
  <conditionalFormatting sqref="B270:D271">
    <cfRule type="cellIs" dxfId="71" priority="383" operator="equal">
      <formula>"N/A"</formula>
    </cfRule>
  </conditionalFormatting>
  <conditionalFormatting sqref="C267:D270">
    <cfRule type="cellIs" dxfId="70" priority="378" operator="equal">
      <formula>"N/A"</formula>
    </cfRule>
  </conditionalFormatting>
  <conditionalFormatting sqref="C265:K265">
    <cfRule type="cellIs" dxfId="69" priority="347" operator="equal">
      <formula>"N/A"</formula>
    </cfRule>
  </conditionalFormatting>
  <conditionalFormatting sqref="E317:G319">
    <cfRule type="cellIs" dxfId="68" priority="260" operator="equal">
      <formula>"N/A"</formula>
    </cfRule>
  </conditionalFormatting>
  <conditionalFormatting sqref="E322:G324">
    <cfRule type="cellIs" dxfId="67" priority="233" operator="equal">
      <formula>"N/A"</formula>
    </cfRule>
  </conditionalFormatting>
  <conditionalFormatting sqref="E873:G875">
    <cfRule type="cellIs" dxfId="66" priority="119" operator="equal">
      <formula>"N/A"</formula>
    </cfRule>
  </conditionalFormatting>
  <conditionalFormatting sqref="E878:G880">
    <cfRule type="cellIs" dxfId="65" priority="92" operator="equal">
      <formula>"N/A"</formula>
    </cfRule>
  </conditionalFormatting>
  <conditionalFormatting sqref="E302:H304">
    <cfRule type="cellIs" dxfId="64" priority="312" operator="equal">
      <formula>"N/A"</formula>
    </cfRule>
  </conditionalFormatting>
  <conditionalFormatting sqref="E310:H312">
    <cfRule type="cellIs" dxfId="63" priority="278" operator="equal">
      <formula>"N/A"</formula>
    </cfRule>
  </conditionalFormatting>
  <conditionalFormatting sqref="E858:H860">
    <cfRule type="cellIs" dxfId="62" priority="171" operator="equal">
      <formula>"N/A"</formula>
    </cfRule>
  </conditionalFormatting>
  <conditionalFormatting sqref="E866:H868">
    <cfRule type="cellIs" dxfId="61" priority="137" operator="equal">
      <formula>"N/A"</formula>
    </cfRule>
  </conditionalFormatting>
  <conditionalFormatting sqref="E301:I301">
    <cfRule type="cellIs" dxfId="60" priority="308" operator="equal">
      <formula>"N/A"</formula>
    </cfRule>
  </conditionalFormatting>
  <conditionalFormatting sqref="E306:I306">
    <cfRule type="cellIs" dxfId="59" priority="296" operator="equal">
      <formula>"N/A"</formula>
    </cfRule>
  </conditionalFormatting>
  <conditionalFormatting sqref="E309:I309">
    <cfRule type="cellIs" dxfId="58" priority="275" operator="equal">
      <formula>"N/A"</formula>
    </cfRule>
  </conditionalFormatting>
  <conditionalFormatting sqref="E316:I316">
    <cfRule type="cellIs" dxfId="57" priority="257" operator="equal">
      <formula>"N/A"</formula>
    </cfRule>
  </conditionalFormatting>
  <conditionalFormatting sqref="E321:I321">
    <cfRule type="cellIs" dxfId="56" priority="231" operator="equal">
      <formula>"N/A"</formula>
    </cfRule>
  </conditionalFormatting>
  <conditionalFormatting sqref="E857:I857">
    <cfRule type="cellIs" dxfId="55" priority="167" operator="equal">
      <formula>"N/A"</formula>
    </cfRule>
  </conditionalFormatting>
  <conditionalFormatting sqref="E862:I862">
    <cfRule type="cellIs" dxfId="54" priority="155" operator="equal">
      <formula>"N/A"</formula>
    </cfRule>
  </conditionalFormatting>
  <conditionalFormatting sqref="E865:I865">
    <cfRule type="cellIs" dxfId="53" priority="134" operator="equal">
      <formula>"N/A"</formula>
    </cfRule>
  </conditionalFormatting>
  <conditionalFormatting sqref="E872:I872">
    <cfRule type="cellIs" dxfId="52" priority="116" operator="equal">
      <formula>"N/A"</formula>
    </cfRule>
  </conditionalFormatting>
  <conditionalFormatting sqref="E877:I877">
    <cfRule type="cellIs" dxfId="51" priority="90" operator="equal">
      <formula>"N/A"</formula>
    </cfRule>
  </conditionalFormatting>
  <conditionalFormatting sqref="E267:K271">
    <cfRule type="cellIs" dxfId="50" priority="348" operator="equal">
      <formula>"N/A"</formula>
    </cfRule>
  </conditionalFormatting>
  <conditionalFormatting sqref="E299:K299">
    <cfRule type="cellIs" dxfId="49" priority="309" operator="equal">
      <formula>"N/A"</formula>
    </cfRule>
  </conditionalFormatting>
  <conditionalFormatting sqref="E314:K314">
    <cfRule type="cellIs" dxfId="48" priority="258" operator="equal">
      <formula>"N/A"</formula>
    </cfRule>
  </conditionalFormatting>
  <conditionalFormatting sqref="E326:K326">
    <cfRule type="cellIs" dxfId="47" priority="246" operator="equal">
      <formula>"N/A"</formula>
    </cfRule>
  </conditionalFormatting>
  <conditionalFormatting sqref="E855:K855">
    <cfRule type="cellIs" dxfId="46" priority="168" operator="equal">
      <formula>"N/A"</formula>
    </cfRule>
  </conditionalFormatting>
  <conditionalFormatting sqref="E870:K870">
    <cfRule type="cellIs" dxfId="45" priority="117" operator="equal">
      <formula>"N/A"</formula>
    </cfRule>
  </conditionalFormatting>
  <conditionalFormatting sqref="E882:K882">
    <cfRule type="cellIs" dxfId="44" priority="105" operator="equal">
      <formula>"N/A"</formula>
    </cfRule>
  </conditionalFormatting>
  <conditionalFormatting sqref="F307:G307">
    <cfRule type="cellIs" dxfId="43" priority="291" operator="equal">
      <formula>"N/A"</formula>
    </cfRule>
  </conditionalFormatting>
  <conditionalFormatting sqref="F863:G863">
    <cfRule type="cellIs" dxfId="42" priority="150" operator="equal">
      <formula>"N/A"</formula>
    </cfRule>
  </conditionalFormatting>
  <conditionalFormatting sqref="H301:H304">
    <cfRule type="cellIs" dxfId="41" priority="311" operator="equal">
      <formula>"N/A"</formula>
    </cfRule>
  </conditionalFormatting>
  <conditionalFormatting sqref="H309:H312">
    <cfRule type="cellIs" dxfId="40" priority="277" operator="equal">
      <formula>"N/A"</formula>
    </cfRule>
  </conditionalFormatting>
  <conditionalFormatting sqref="H857:H860">
    <cfRule type="cellIs" dxfId="39" priority="170" operator="equal">
      <formula>"N/A"</formula>
    </cfRule>
  </conditionalFormatting>
  <conditionalFormatting sqref="H865:H868">
    <cfRule type="cellIs" dxfId="38" priority="136" operator="equal">
      <formula>"N/A"</formula>
    </cfRule>
  </conditionalFormatting>
  <conditionalFormatting sqref="J301:J304">
    <cfRule type="cellIs" dxfId="37" priority="325" operator="equal">
      <formula>"N/A"</formula>
    </cfRule>
  </conditionalFormatting>
  <conditionalFormatting sqref="J309:J312">
    <cfRule type="cellIs" dxfId="36" priority="279" operator="equal">
      <formula>"N/A"</formula>
    </cfRule>
  </conditionalFormatting>
  <conditionalFormatting sqref="J316:J319">
    <cfRule type="cellIs" dxfId="35" priority="263" operator="equal">
      <formula>"N/A"</formula>
    </cfRule>
  </conditionalFormatting>
  <conditionalFormatting sqref="J321:J324">
    <cfRule type="cellIs" dxfId="34" priority="234" operator="equal">
      <formula>"N/A"</formula>
    </cfRule>
  </conditionalFormatting>
  <conditionalFormatting sqref="J857:J860">
    <cfRule type="cellIs" dxfId="33" priority="184" operator="equal">
      <formula>"N/A"</formula>
    </cfRule>
  </conditionalFormatting>
  <conditionalFormatting sqref="J865:J868">
    <cfRule type="cellIs" dxfId="32" priority="138" operator="equal">
      <formula>"N/A"</formula>
    </cfRule>
  </conditionalFormatting>
  <conditionalFormatting sqref="J872:J875">
    <cfRule type="cellIs" dxfId="31" priority="122" operator="equal">
      <formula>"N/A"</formula>
    </cfRule>
  </conditionalFormatting>
  <conditionalFormatting sqref="J877:J880">
    <cfRule type="cellIs" dxfId="30" priority="93" operator="equal">
      <formula>"N/A"</formula>
    </cfRule>
  </conditionalFormatting>
  <conditionalFormatting sqref="J306:K307">
    <cfRule type="cellIs" dxfId="29" priority="292" operator="equal">
      <formula>"N/A"</formula>
    </cfRule>
  </conditionalFormatting>
  <conditionalFormatting sqref="J862:K863">
    <cfRule type="cellIs" dxfId="28" priority="151" operator="equal">
      <formula>"N/A"</formula>
    </cfRule>
  </conditionalFormatting>
  <conditionalFormatting sqref="K301:K303">
    <cfRule type="cellIs" dxfId="27" priority="330" operator="equal">
      <formula>"N/A"</formula>
    </cfRule>
  </conditionalFormatting>
  <conditionalFormatting sqref="K309:K311">
    <cfRule type="cellIs" dxfId="26" priority="284" operator="equal">
      <formula>"N/A"</formula>
    </cfRule>
  </conditionalFormatting>
  <conditionalFormatting sqref="K316:K318">
    <cfRule type="cellIs" dxfId="25" priority="268" operator="equal">
      <formula>"N/A"</formula>
    </cfRule>
  </conditionalFormatting>
  <conditionalFormatting sqref="K321:K323">
    <cfRule type="cellIs" dxfId="24" priority="239" operator="equal">
      <formula>"N/A"</formula>
    </cfRule>
  </conditionalFormatting>
  <conditionalFormatting sqref="K857:K859">
    <cfRule type="cellIs" dxfId="23" priority="189" operator="equal">
      <formula>"N/A"</formula>
    </cfRule>
  </conditionalFormatting>
  <conditionalFormatting sqref="K865:K867">
    <cfRule type="cellIs" dxfId="22" priority="143" operator="equal">
      <formula>"N/A"</formula>
    </cfRule>
  </conditionalFormatting>
  <conditionalFormatting sqref="K872:K874">
    <cfRule type="cellIs" dxfId="21" priority="127" operator="equal">
      <formula>"N/A"</formula>
    </cfRule>
  </conditionalFormatting>
  <conditionalFormatting sqref="K877:K879">
    <cfRule type="cellIs" dxfId="20" priority="98" operator="equal">
      <formula>"N/A"</formula>
    </cfRule>
  </conditionalFormatting>
  <conditionalFormatting sqref="L418:M421">
    <cfRule type="cellIs" dxfId="19" priority="211" stopIfTrue="1" operator="equal">
      <formula>"NA"</formula>
    </cfRule>
  </conditionalFormatting>
  <conditionalFormatting sqref="L456:M459">
    <cfRule type="cellIs" dxfId="18" priority="210" stopIfTrue="1" operator="equal">
      <formula>"NA"</formula>
    </cfRule>
  </conditionalFormatting>
  <conditionalFormatting sqref="L493:M496">
    <cfRule type="cellIs" dxfId="17" priority="209" stopIfTrue="1" operator="equal">
      <formula>"NA"</formula>
    </cfRule>
  </conditionalFormatting>
  <conditionalFormatting sqref="M477:M478 M480">
    <cfRule type="cellIs" dxfId="16" priority="213" stopIfTrue="1" operator="equal">
      <formula>"NA"</formula>
    </cfRule>
  </conditionalFormatting>
  <conditionalFormatting sqref="O477:O478">
    <cfRule type="cellIs" dxfId="15" priority="212" stopIfTrue="1" operator="equal">
      <formula>"NA"</formula>
    </cfRule>
  </conditionalFormatting>
  <conditionalFormatting sqref="S453:S454 S456">
    <cfRule type="cellIs" dxfId="14" priority="216" stopIfTrue="1" operator="equal">
      <formula>"NA"</formula>
    </cfRule>
  </conditionalFormatting>
  <conditionalFormatting sqref="T896:T897">
    <cfRule type="cellIs" dxfId="13" priority="47" operator="equal">
      <formula>"N/A"</formula>
    </cfRule>
  </conditionalFormatting>
  <conditionalFormatting sqref="T908:T909">
    <cfRule type="cellIs" dxfId="12" priority="46" operator="equal">
      <formula>"N/A"</formula>
    </cfRule>
  </conditionalFormatting>
  <conditionalFormatting sqref="U416:U418 S416:S419">
    <cfRule type="cellIs" dxfId="11" priority="218" stopIfTrue="1" operator="equal">
      <formula>"NA"</formula>
    </cfRule>
  </conditionalFormatting>
  <conditionalFormatting sqref="U453:U454">
    <cfRule type="cellIs" dxfId="10" priority="215" stopIfTrue="1" operator="equal">
      <formula>"NA"</formula>
    </cfRule>
  </conditionalFormatting>
  <conditionalFormatting sqref="V262:V265">
    <cfRule type="cellIs" dxfId="9" priority="369" operator="equal">
      <formula>"N/A"</formula>
    </cfRule>
  </conditionalFormatting>
  <conditionalFormatting sqref="V285">
    <cfRule type="cellIs" dxfId="8" priority="65" operator="equal">
      <formula>"N/A"</formula>
    </cfRule>
  </conditionalFormatting>
  <conditionalFormatting sqref="V287:V289">
    <cfRule type="cellIs" dxfId="7" priority="54" operator="equal">
      <formula>"N/A"</formula>
    </cfRule>
  </conditionalFormatting>
  <conditionalFormatting sqref="V296:V298">
    <cfRule type="cellIs" dxfId="6" priority="51" operator="equal">
      <formula>"N/A"</formula>
    </cfRule>
  </conditionalFormatting>
  <conditionalFormatting sqref="V313">
    <cfRule type="cellIs" dxfId="5" priority="50" operator="equal">
      <formula>"N/A"</formula>
    </cfRule>
  </conditionalFormatting>
  <conditionalFormatting sqref="V841">
    <cfRule type="cellIs" dxfId="4" priority="190" operator="equal">
      <formula>"N/A"</formula>
    </cfRule>
  </conditionalFormatting>
  <conditionalFormatting sqref="V869">
    <cfRule type="cellIs" dxfId="3" priority="166" operator="equal">
      <formula>"N/A"</formula>
    </cfRule>
  </conditionalFormatting>
  <conditionalFormatting sqref="V886:V887">
    <cfRule type="cellIs" dxfId="2" priority="49" operator="equal">
      <formula>"N/A"</formula>
    </cfRule>
  </conditionalFormatting>
  <conditionalFormatting sqref="V896:V897">
    <cfRule type="cellIs" dxfId="1" priority="48" operator="equal">
      <formula>"N/A"</formula>
    </cfRule>
  </conditionalFormatting>
  <conditionalFormatting sqref="V908:V909">
    <cfRule type="cellIs" dxfId="0" priority="45" operator="equal">
      <formula>"N/A"</formula>
    </cfRule>
  </conditionalFormatting>
  <hyperlinks>
    <hyperlink ref="W5" r:id="rId1" xr:uid="{B7B64502-E4C7-4EDD-B19B-4FA45C87A2F5}"/>
    <hyperlink ref="S345" r:id="rId2" xr:uid="{BE300F13-F05E-4AF8-92E9-6AE6C82F777B}"/>
    <hyperlink ref="S396" r:id="rId3" xr:uid="{4AF2777A-CB3D-4DFB-B7F3-BACAC22970D7}"/>
    <hyperlink ref="W238" r:id="rId4" xr:uid="{3887F84D-6103-4B6F-AC51-1EC0D4F182A2}"/>
    <hyperlink ref="W608" r:id="rId5" xr:uid="{7A885232-D87D-4D65-93CE-2CEFB2727BA3}"/>
    <hyperlink ref="W676" r:id="rId6" xr:uid="{C8866453-2E03-4D79-AE5A-5061B7DBE3FC}"/>
    <hyperlink ref="W758" r:id="rId7" xr:uid="{932F4A92-3A6F-4714-A7CA-AE717D9771FF}"/>
    <hyperlink ref="W931" r:id="rId8" xr:uid="{8674C291-50AC-4E99-9551-23DE79F5A853}"/>
  </hyperlinks>
  <printOptions horizontalCentered="1"/>
  <pageMargins left="0.2" right="0.2" top="0.75" bottom="0.75" header="0.3" footer="0.3"/>
  <pageSetup scale="35" fitToHeight="0" orientation="portrait" r:id="rId9"/>
  <rowBreaks count="9" manualBreakCount="9">
    <brk id="68" max="25" man="1"/>
    <brk id="150" max="25" man="1"/>
    <brk id="233" max="25" man="1"/>
    <brk id="603" max="25" man="1"/>
    <brk id="671" max="25" man="1"/>
    <brk id="753" max="25" man="1"/>
    <brk id="836" max="25" man="1"/>
    <brk id="1003" max="25" man="1"/>
    <brk id="1076" max="25" man="1"/>
  </rowBreaks>
  <ignoredErrors>
    <ignoredError sqref="I101:I108" formula="1"/>
  </ignoredErrors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User</dc:creator>
  <cp:lastModifiedBy>Shawn Dumas</cp:lastModifiedBy>
  <cp:lastPrinted>2026-02-13T15:31:34Z</cp:lastPrinted>
  <dcterms:created xsi:type="dcterms:W3CDTF">2019-05-24T13:35:45Z</dcterms:created>
  <dcterms:modified xsi:type="dcterms:W3CDTF">2026-03-20T15:46:17Z</dcterms:modified>
</cp:coreProperties>
</file>